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Desktop\Force Curve Data\"/>
    </mc:Choice>
  </mc:AlternateContent>
  <xr:revisionPtr revIDLastSave="0" documentId="13_ncr:1_{B020BECD-13E6-4DBB-AACE-8567D53278C5}" xr6:coauthVersionLast="47" xr6:coauthVersionMax="47" xr10:uidLastSave="{00000000-0000-0000-0000-000000000000}"/>
  <bookViews>
    <workbookView xWindow="29610" yWindow="-660" windowWidth="12330" windowHeight="15015" xr2:uid="{98508051-2175-486C-BFEB-A67357BC256F}"/>
  </bookViews>
  <sheets>
    <sheet name="Tactility" sheetId="2" r:id="rId1"/>
    <sheet name="TactilityF" sheetId="6" r:id="rId2"/>
    <sheet name="TEST" sheetId="3" r:id="rId3"/>
    <sheet name="TES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4" i="6" l="1"/>
  <c r="Q793" i="6"/>
  <c r="O793" i="6"/>
  <c r="Q792" i="6"/>
  <c r="O792" i="6"/>
  <c r="Q791" i="6"/>
  <c r="O791" i="6"/>
  <c r="Q790" i="6"/>
  <c r="O790" i="6"/>
  <c r="Q789" i="6"/>
  <c r="O789" i="6"/>
  <c r="Q788" i="6"/>
  <c r="O788" i="6"/>
  <c r="Q787" i="6"/>
  <c r="O787" i="6"/>
  <c r="Q786" i="6"/>
  <c r="O786" i="6"/>
  <c r="Q785" i="6"/>
  <c r="O785" i="6"/>
  <c r="Q784" i="6"/>
  <c r="O784" i="6"/>
  <c r="Q783" i="6"/>
  <c r="O783" i="6"/>
  <c r="Q782" i="6"/>
  <c r="O782" i="6"/>
  <c r="Q781" i="6"/>
  <c r="O781" i="6"/>
  <c r="Q780" i="6"/>
  <c r="O780" i="6"/>
  <c r="Q779" i="6"/>
  <c r="O779" i="6"/>
  <c r="Q778" i="6"/>
  <c r="O778" i="6"/>
  <c r="Q777" i="6"/>
  <c r="O777" i="6"/>
  <c r="Q776" i="6"/>
  <c r="O776" i="6"/>
  <c r="Q775" i="6"/>
  <c r="O775" i="6"/>
  <c r="Q774" i="6"/>
  <c r="O774" i="6"/>
  <c r="Q773" i="6"/>
  <c r="O773" i="6"/>
  <c r="Q772" i="6"/>
  <c r="O772" i="6"/>
  <c r="Q771" i="6"/>
  <c r="O771" i="6"/>
  <c r="Q770" i="6"/>
  <c r="O770" i="6"/>
  <c r="Q769" i="6"/>
  <c r="O769" i="6"/>
  <c r="Q768" i="6"/>
  <c r="O768" i="6"/>
  <c r="Q767" i="6"/>
  <c r="O767" i="6"/>
  <c r="Q766" i="6"/>
  <c r="O766" i="6"/>
  <c r="Q765" i="6"/>
  <c r="O765" i="6"/>
  <c r="Q764" i="6"/>
  <c r="O764" i="6"/>
  <c r="Q763" i="6"/>
  <c r="O763" i="6"/>
  <c r="Q762" i="6"/>
  <c r="O762" i="6"/>
  <c r="Q761" i="6"/>
  <c r="O761" i="6"/>
  <c r="Q760" i="6"/>
  <c r="O760" i="6"/>
  <c r="Q759" i="6"/>
  <c r="O759" i="6"/>
  <c r="Q758" i="6"/>
  <c r="O758" i="6"/>
  <c r="Q757" i="6"/>
  <c r="O757" i="6"/>
  <c r="Q756" i="6"/>
  <c r="O756" i="6"/>
  <c r="Q755" i="6"/>
  <c r="O755" i="6"/>
  <c r="Q754" i="6"/>
  <c r="O754" i="6"/>
  <c r="Q753" i="6"/>
  <c r="O753" i="6"/>
  <c r="Q752" i="6"/>
  <c r="O752" i="6"/>
  <c r="Q751" i="6"/>
  <c r="O751" i="6"/>
  <c r="Q750" i="6"/>
  <c r="O750" i="6"/>
  <c r="Q749" i="6"/>
  <c r="O749" i="6"/>
  <c r="Q748" i="6"/>
  <c r="O748" i="6"/>
  <c r="Q747" i="6"/>
  <c r="O747" i="6"/>
  <c r="Q746" i="6"/>
  <c r="O746" i="6"/>
  <c r="Q745" i="6"/>
  <c r="O745" i="6"/>
  <c r="Q744" i="6"/>
  <c r="O744" i="6"/>
  <c r="Q743" i="6"/>
  <c r="O743" i="6"/>
  <c r="Q742" i="6"/>
  <c r="O742" i="6"/>
  <c r="Q741" i="6"/>
  <c r="O741" i="6"/>
  <c r="Q740" i="6"/>
  <c r="O740" i="6"/>
  <c r="Q739" i="6"/>
  <c r="O739" i="6"/>
  <c r="Q738" i="6"/>
  <c r="O738" i="6"/>
  <c r="Q737" i="6"/>
  <c r="O737" i="6"/>
  <c r="Q736" i="6"/>
  <c r="O736" i="6"/>
  <c r="Q735" i="6"/>
  <c r="O735" i="6"/>
  <c r="Q734" i="6"/>
  <c r="O734" i="6"/>
  <c r="Q733" i="6"/>
  <c r="O733" i="6"/>
  <c r="Q732" i="6"/>
  <c r="O732" i="6"/>
  <c r="Q731" i="6"/>
  <c r="O731" i="6"/>
  <c r="Q730" i="6"/>
  <c r="O730" i="6"/>
  <c r="Q729" i="6"/>
  <c r="O729" i="6"/>
  <c r="Q728" i="6"/>
  <c r="O728" i="6"/>
  <c r="Q727" i="6"/>
  <c r="O727" i="6"/>
  <c r="Q726" i="6"/>
  <c r="O726" i="6"/>
  <c r="Q725" i="6"/>
  <c r="O725" i="6"/>
  <c r="Q724" i="6"/>
  <c r="O724" i="6"/>
  <c r="Q723" i="6"/>
  <c r="O723" i="6"/>
  <c r="Q722" i="6"/>
  <c r="O722" i="6"/>
  <c r="Q721" i="6"/>
  <c r="O721" i="6"/>
  <c r="Q720" i="6"/>
  <c r="O720" i="6"/>
  <c r="Q719" i="6"/>
  <c r="O719" i="6"/>
  <c r="Q718" i="6"/>
  <c r="O718" i="6"/>
  <c r="Q717" i="6"/>
  <c r="O717" i="6"/>
  <c r="Q716" i="6"/>
  <c r="O716" i="6"/>
  <c r="Q715" i="6"/>
  <c r="O715" i="6"/>
  <c r="Q714" i="6"/>
  <c r="O714" i="6"/>
  <c r="Q713" i="6"/>
  <c r="O713" i="6"/>
  <c r="Q712" i="6"/>
  <c r="O712" i="6"/>
  <c r="Q711" i="6"/>
  <c r="O711" i="6"/>
  <c r="Q710" i="6"/>
  <c r="O710" i="6"/>
  <c r="Q709" i="6"/>
  <c r="O709" i="6"/>
  <c r="Q708" i="6"/>
  <c r="O708" i="6"/>
  <c r="Q707" i="6"/>
  <c r="O707" i="6"/>
  <c r="Q706" i="6"/>
  <c r="O706" i="6"/>
  <c r="Q705" i="6"/>
  <c r="O705" i="6"/>
  <c r="Q704" i="6"/>
  <c r="O704" i="6"/>
  <c r="Q703" i="6"/>
  <c r="O703" i="6"/>
  <c r="Q702" i="6"/>
  <c r="O702" i="6"/>
  <c r="Q701" i="6"/>
  <c r="O701" i="6"/>
  <c r="Q700" i="6"/>
  <c r="O700" i="6"/>
  <c r="Q699" i="6"/>
  <c r="O699" i="6"/>
  <c r="Q698" i="6"/>
  <c r="O698" i="6"/>
  <c r="Q697" i="6"/>
  <c r="O697" i="6"/>
  <c r="Q696" i="6"/>
  <c r="O696" i="6"/>
  <c r="Q695" i="6"/>
  <c r="O695" i="6"/>
  <c r="Q694" i="6"/>
  <c r="O694" i="6"/>
  <c r="Q693" i="6"/>
  <c r="O693" i="6"/>
  <c r="Q692" i="6"/>
  <c r="O692" i="6"/>
  <c r="Q691" i="6"/>
  <c r="O691" i="6"/>
  <c r="Q690" i="6"/>
  <c r="O690" i="6"/>
  <c r="Q689" i="6"/>
  <c r="O689" i="6"/>
  <c r="Q688" i="6"/>
  <c r="O688" i="6"/>
  <c r="Q687" i="6"/>
  <c r="O687" i="6"/>
  <c r="Q686" i="6"/>
  <c r="O686" i="6"/>
  <c r="Q685" i="6"/>
  <c r="O685" i="6"/>
  <c r="Q684" i="6"/>
  <c r="O684" i="6"/>
  <c r="Q683" i="6"/>
  <c r="O683" i="6"/>
  <c r="Q682" i="6"/>
  <c r="O682" i="6"/>
  <c r="Q681" i="6"/>
  <c r="O681" i="6"/>
  <c r="Q680" i="6"/>
  <c r="O680" i="6"/>
  <c r="Q679" i="6"/>
  <c r="O679" i="6"/>
  <c r="Q678" i="6"/>
  <c r="O678" i="6"/>
  <c r="Q677" i="6"/>
  <c r="O677" i="6"/>
  <c r="Q676" i="6"/>
  <c r="O676" i="6"/>
  <c r="Q675" i="6"/>
  <c r="O675" i="6"/>
  <c r="Q674" i="6"/>
  <c r="O674" i="6"/>
  <c r="Q673" i="6"/>
  <c r="O673" i="6"/>
  <c r="Q672" i="6"/>
  <c r="O672" i="6"/>
  <c r="Q671" i="6"/>
  <c r="O671" i="6"/>
  <c r="Q670" i="6"/>
  <c r="O670" i="6"/>
  <c r="Q669" i="6"/>
  <c r="O669" i="6"/>
  <c r="Q668" i="6"/>
  <c r="O668" i="6"/>
  <c r="Q667" i="6"/>
  <c r="O667" i="6"/>
  <c r="Q666" i="6"/>
  <c r="O666" i="6"/>
  <c r="Q665" i="6"/>
  <c r="O665" i="6"/>
  <c r="Q664" i="6"/>
  <c r="O664" i="6"/>
  <c r="Q663" i="6"/>
  <c r="O663" i="6"/>
  <c r="Q662" i="6"/>
  <c r="O662" i="6"/>
  <c r="Q661" i="6"/>
  <c r="O661" i="6"/>
  <c r="Q660" i="6"/>
  <c r="O660" i="6"/>
  <c r="Q659" i="6"/>
  <c r="O659" i="6"/>
  <c r="Q658" i="6"/>
  <c r="O658" i="6"/>
  <c r="Q657" i="6"/>
  <c r="O657" i="6"/>
  <c r="Q656" i="6"/>
  <c r="O656" i="6"/>
  <c r="Q655" i="6"/>
  <c r="O655" i="6"/>
  <c r="Q654" i="6"/>
  <c r="O654" i="6"/>
  <c r="Q653" i="6"/>
  <c r="O653" i="6"/>
  <c r="Q652" i="6"/>
  <c r="O652" i="6"/>
  <c r="Q651" i="6"/>
  <c r="O651" i="6"/>
  <c r="Q650" i="6"/>
  <c r="O650" i="6"/>
  <c r="Q649" i="6"/>
  <c r="O649" i="6"/>
  <c r="Q648" i="6"/>
  <c r="O648" i="6"/>
  <c r="Q647" i="6"/>
  <c r="O647" i="6"/>
  <c r="Q646" i="6"/>
  <c r="O646" i="6"/>
  <c r="Q645" i="6"/>
  <c r="O645" i="6"/>
  <c r="Q644" i="6"/>
  <c r="O644" i="6"/>
  <c r="Q643" i="6"/>
  <c r="O643" i="6"/>
  <c r="Q642" i="6"/>
  <c r="O642" i="6"/>
  <c r="Q641" i="6"/>
  <c r="O641" i="6"/>
  <c r="Q640" i="6"/>
  <c r="O640" i="6"/>
  <c r="Q639" i="6"/>
  <c r="O639" i="6"/>
  <c r="Q638" i="6"/>
  <c r="O638" i="6"/>
  <c r="Q637" i="6"/>
  <c r="O637" i="6"/>
  <c r="Q636" i="6"/>
  <c r="O636" i="6"/>
  <c r="Q635" i="6"/>
  <c r="O635" i="6"/>
  <c r="Q634" i="6"/>
  <c r="O634" i="6"/>
  <c r="Q633" i="6"/>
  <c r="O633" i="6"/>
  <c r="Q632" i="6"/>
  <c r="O632" i="6"/>
  <c r="Q631" i="6"/>
  <c r="O631" i="6"/>
  <c r="Q630" i="6"/>
  <c r="O630" i="6"/>
  <c r="Q629" i="6"/>
  <c r="O629" i="6"/>
  <c r="Q628" i="6"/>
  <c r="O628" i="6"/>
  <c r="Q627" i="6"/>
  <c r="O627" i="6"/>
  <c r="Q626" i="6"/>
  <c r="O626" i="6"/>
  <c r="Q625" i="6"/>
  <c r="O625" i="6"/>
  <c r="Q624" i="6"/>
  <c r="O624" i="6"/>
  <c r="Q623" i="6"/>
  <c r="O623" i="6"/>
  <c r="Q622" i="6"/>
  <c r="O622" i="6"/>
  <c r="Q621" i="6"/>
  <c r="O621" i="6"/>
  <c r="Q620" i="6"/>
  <c r="O620" i="6"/>
  <c r="Q619" i="6"/>
  <c r="O619" i="6"/>
  <c r="Q618" i="6"/>
  <c r="O618" i="6"/>
  <c r="Q617" i="6"/>
  <c r="O617" i="6"/>
  <c r="Q616" i="6"/>
  <c r="O616" i="6"/>
  <c r="Q615" i="6"/>
  <c r="O615" i="6"/>
  <c r="Q614" i="6"/>
  <c r="O614" i="6"/>
  <c r="Q613" i="6"/>
  <c r="O613" i="6"/>
  <c r="Q612" i="6"/>
  <c r="O612" i="6"/>
  <c r="Q611" i="6"/>
  <c r="O611" i="6"/>
  <c r="Q610" i="6"/>
  <c r="O610" i="6"/>
  <c r="Q609" i="6"/>
  <c r="O609" i="6"/>
  <c r="Q608" i="6"/>
  <c r="O608" i="6"/>
  <c r="Q607" i="6"/>
  <c r="O607" i="6"/>
  <c r="Q606" i="6"/>
  <c r="O606" i="6"/>
  <c r="Q605" i="6"/>
  <c r="O605" i="6"/>
  <c r="Q604" i="6"/>
  <c r="O604" i="6"/>
  <c r="Q603" i="6"/>
  <c r="O603" i="6"/>
  <c r="Q602" i="6"/>
  <c r="O602" i="6"/>
  <c r="Q601" i="6"/>
  <c r="O601" i="6"/>
  <c r="Q600" i="6"/>
  <c r="O600" i="6"/>
  <c r="Q599" i="6"/>
  <c r="O599" i="6"/>
  <c r="Q598" i="6"/>
  <c r="O598" i="6"/>
  <c r="Q597" i="6"/>
  <c r="O597" i="6"/>
  <c r="Q596" i="6"/>
  <c r="O596" i="6"/>
  <c r="Q595" i="6"/>
  <c r="O595" i="6"/>
  <c r="Q594" i="6"/>
  <c r="O594" i="6"/>
  <c r="Q593" i="6"/>
  <c r="O593" i="6"/>
  <c r="Q592" i="6"/>
  <c r="O592" i="6"/>
  <c r="Q591" i="6"/>
  <c r="O591" i="6"/>
  <c r="Q590" i="6"/>
  <c r="O590" i="6"/>
  <c r="Q589" i="6"/>
  <c r="O589" i="6"/>
  <c r="Q588" i="6"/>
  <c r="O588" i="6"/>
  <c r="Q587" i="6"/>
  <c r="O587" i="6"/>
  <c r="Q586" i="6"/>
  <c r="O586" i="6"/>
  <c r="Q585" i="6"/>
  <c r="O585" i="6"/>
  <c r="Q584" i="6"/>
  <c r="O584" i="6"/>
  <c r="Q583" i="6"/>
  <c r="O583" i="6"/>
  <c r="Q582" i="6"/>
  <c r="O582" i="6"/>
  <c r="Q581" i="6"/>
  <c r="O581" i="6"/>
  <c r="Q580" i="6"/>
  <c r="O580" i="6"/>
  <c r="Q579" i="6"/>
  <c r="O579" i="6"/>
  <c r="Q578" i="6"/>
  <c r="O578" i="6"/>
  <c r="Q577" i="6"/>
  <c r="O577" i="6"/>
  <c r="Q576" i="6"/>
  <c r="O576" i="6"/>
  <c r="Q575" i="6"/>
  <c r="O575" i="6"/>
  <c r="Q574" i="6"/>
  <c r="O574" i="6"/>
  <c r="Q573" i="6"/>
  <c r="O573" i="6"/>
  <c r="Q572" i="6"/>
  <c r="O572" i="6"/>
  <c r="Q571" i="6"/>
  <c r="O571" i="6"/>
  <c r="Q570" i="6"/>
  <c r="O570" i="6"/>
  <c r="Q569" i="6"/>
  <c r="O569" i="6"/>
  <c r="Q568" i="6"/>
  <c r="O568" i="6"/>
  <c r="Q567" i="6"/>
  <c r="O567" i="6"/>
  <c r="Q566" i="6"/>
  <c r="O566" i="6"/>
  <c r="Q565" i="6"/>
  <c r="O565" i="6"/>
  <c r="Q564" i="6"/>
  <c r="O564" i="6"/>
  <c r="Q563" i="6"/>
  <c r="O563" i="6"/>
  <c r="Q562" i="6"/>
  <c r="O562" i="6"/>
  <c r="Q561" i="6"/>
  <c r="O561" i="6"/>
  <c r="Q560" i="6"/>
  <c r="O560" i="6"/>
  <c r="Q559" i="6"/>
  <c r="O559" i="6"/>
  <c r="Q558" i="6"/>
  <c r="O558" i="6"/>
  <c r="Q557" i="6"/>
  <c r="O557" i="6"/>
  <c r="Q556" i="6"/>
  <c r="O556" i="6"/>
  <c r="Q555" i="6"/>
  <c r="O555" i="6"/>
  <c r="Q554" i="6"/>
  <c r="O554" i="6"/>
  <c r="Q553" i="6"/>
  <c r="O553" i="6"/>
  <c r="Q552" i="6"/>
  <c r="O552" i="6"/>
  <c r="Q551" i="6"/>
  <c r="O551" i="6"/>
  <c r="Q550" i="6"/>
  <c r="O550" i="6"/>
  <c r="Q549" i="6"/>
  <c r="O549" i="6"/>
  <c r="Q548" i="6"/>
  <c r="O548" i="6"/>
  <c r="Q547" i="6"/>
  <c r="O547" i="6"/>
  <c r="Q546" i="6"/>
  <c r="O546" i="6"/>
  <c r="Q545" i="6"/>
  <c r="O545" i="6"/>
  <c r="Q544" i="6"/>
  <c r="O544" i="6"/>
  <c r="Q543" i="6"/>
  <c r="O543" i="6"/>
  <c r="Q542" i="6"/>
  <c r="O542" i="6"/>
  <c r="Q541" i="6"/>
  <c r="O541" i="6"/>
  <c r="Q540" i="6"/>
  <c r="O540" i="6"/>
  <c r="Q539" i="6"/>
  <c r="O539" i="6"/>
  <c r="Q538" i="6"/>
  <c r="O538" i="6"/>
  <c r="Q537" i="6"/>
  <c r="O537" i="6"/>
  <c r="Q536" i="6"/>
  <c r="O536" i="6"/>
  <c r="Q535" i="6"/>
  <c r="O535" i="6"/>
  <c r="Q534" i="6"/>
  <c r="O534" i="6"/>
  <c r="Q533" i="6"/>
  <c r="O533" i="6"/>
  <c r="Q532" i="6"/>
  <c r="O532" i="6"/>
  <c r="Q531" i="6"/>
  <c r="O531" i="6"/>
  <c r="Q530" i="6"/>
  <c r="O530" i="6"/>
  <c r="Q529" i="6"/>
  <c r="O529" i="6"/>
  <c r="Q528" i="6"/>
  <c r="O528" i="6"/>
  <c r="Q527" i="6"/>
  <c r="O527" i="6"/>
  <c r="Q526" i="6"/>
  <c r="O526" i="6"/>
  <c r="Q525" i="6"/>
  <c r="O525" i="6"/>
  <c r="Q524" i="6"/>
  <c r="O524" i="6"/>
  <c r="Q523" i="6"/>
  <c r="O523" i="6"/>
  <c r="Q522" i="6"/>
  <c r="O522" i="6"/>
  <c r="Q521" i="6"/>
  <c r="O521" i="6"/>
  <c r="Q520" i="6"/>
  <c r="O520" i="6"/>
  <c r="Q519" i="6"/>
  <c r="O519" i="6"/>
  <c r="Q518" i="6"/>
  <c r="O518" i="6"/>
  <c r="Q517" i="6"/>
  <c r="O517" i="6"/>
  <c r="Q516" i="6"/>
  <c r="O516" i="6"/>
  <c r="Q515" i="6"/>
  <c r="O515" i="6"/>
  <c r="Q514" i="6"/>
  <c r="O514" i="6"/>
  <c r="Q513" i="6"/>
  <c r="O513" i="6"/>
  <c r="Q512" i="6"/>
  <c r="O512" i="6"/>
  <c r="Q511" i="6"/>
  <c r="O511" i="6"/>
  <c r="Q510" i="6"/>
  <c r="O510" i="6"/>
  <c r="Q509" i="6"/>
  <c r="O509" i="6"/>
  <c r="Q508" i="6"/>
  <c r="O508" i="6"/>
  <c r="Q507" i="6"/>
  <c r="O507" i="6"/>
  <c r="Q506" i="6"/>
  <c r="O506" i="6"/>
  <c r="Q505" i="6"/>
  <c r="O505" i="6"/>
  <c r="Q504" i="6"/>
  <c r="O504" i="6"/>
  <c r="Q503" i="6"/>
  <c r="O503" i="6"/>
  <c r="Q502" i="6"/>
  <c r="O502" i="6"/>
  <c r="Q501" i="6"/>
  <c r="O501" i="6"/>
  <c r="Q500" i="6"/>
  <c r="O500" i="6"/>
  <c r="Q499" i="6"/>
  <c r="O499" i="6"/>
  <c r="Q498" i="6"/>
  <c r="O498" i="6"/>
  <c r="Q497" i="6"/>
  <c r="O497" i="6"/>
  <c r="Q496" i="6"/>
  <c r="O496" i="6"/>
  <c r="Q495" i="6"/>
  <c r="O495" i="6"/>
  <c r="Q494" i="6"/>
  <c r="O494" i="6"/>
  <c r="Q493" i="6"/>
  <c r="O493" i="6"/>
  <c r="Q492" i="6"/>
  <c r="O492" i="6"/>
  <c r="Q491" i="6"/>
  <c r="O491" i="6"/>
  <c r="Q490" i="6"/>
  <c r="O490" i="6"/>
  <c r="Q489" i="6"/>
  <c r="O489" i="6"/>
  <c r="Q488" i="6"/>
  <c r="O488" i="6"/>
  <c r="Q487" i="6"/>
  <c r="O487" i="6"/>
  <c r="Q486" i="6"/>
  <c r="O486" i="6"/>
  <c r="Q485" i="6"/>
  <c r="O485" i="6"/>
  <c r="Q484" i="6"/>
  <c r="O484" i="6"/>
  <c r="Q483" i="6"/>
  <c r="O483" i="6"/>
  <c r="Q482" i="6"/>
  <c r="O482" i="6"/>
  <c r="Q481" i="6"/>
  <c r="O481" i="6"/>
  <c r="Q480" i="6"/>
  <c r="O480" i="6"/>
  <c r="Q479" i="6"/>
  <c r="O479" i="6"/>
  <c r="Q478" i="6"/>
  <c r="O478" i="6"/>
  <c r="Q477" i="6"/>
  <c r="O477" i="6"/>
  <c r="Q476" i="6"/>
  <c r="O476" i="6"/>
  <c r="Q475" i="6"/>
  <c r="O475" i="6"/>
  <c r="Q474" i="6"/>
  <c r="O474" i="6"/>
  <c r="Q473" i="6"/>
  <c r="O473" i="6"/>
  <c r="Q472" i="6"/>
  <c r="O472" i="6"/>
  <c r="Q471" i="6"/>
  <c r="O471" i="6"/>
  <c r="Q470" i="6"/>
  <c r="O470" i="6"/>
  <c r="Q469" i="6"/>
  <c r="O469" i="6"/>
  <c r="Q468" i="6"/>
  <c r="O468" i="6"/>
  <c r="Q467" i="6"/>
  <c r="O467" i="6"/>
  <c r="Q466" i="6"/>
  <c r="O466" i="6"/>
  <c r="Q465" i="6"/>
  <c r="O465" i="6"/>
  <c r="Q464" i="6"/>
  <c r="O464" i="6"/>
  <c r="Q463" i="6"/>
  <c r="O463" i="6"/>
  <c r="Q462" i="6"/>
  <c r="O462" i="6"/>
  <c r="Q461" i="6"/>
  <c r="O461" i="6"/>
  <c r="Q460" i="6"/>
  <c r="O460" i="6"/>
  <c r="Q459" i="6"/>
  <c r="O459" i="6"/>
  <c r="Q458" i="6"/>
  <c r="O458" i="6"/>
  <c r="Q457" i="6"/>
  <c r="O457" i="6"/>
  <c r="Q456" i="6"/>
  <c r="O456" i="6"/>
  <c r="Q455" i="6"/>
  <c r="O455" i="6"/>
  <c r="Q454" i="6"/>
  <c r="O454" i="6"/>
  <c r="Q453" i="6"/>
  <c r="O453" i="6"/>
  <c r="Q452" i="6"/>
  <c r="O452" i="6"/>
  <c r="Q451" i="6"/>
  <c r="O451" i="6"/>
  <c r="Q450" i="6"/>
  <c r="O450" i="6"/>
  <c r="Q449" i="6"/>
  <c r="O449" i="6"/>
  <c r="Q448" i="6"/>
  <c r="O448" i="6"/>
  <c r="Q447" i="6"/>
  <c r="O447" i="6"/>
  <c r="Q446" i="6"/>
  <c r="O446" i="6"/>
  <c r="Q445" i="6"/>
  <c r="O445" i="6"/>
  <c r="Q444" i="6"/>
  <c r="O444" i="6"/>
  <c r="Q443" i="6"/>
  <c r="O443" i="6"/>
  <c r="Q442" i="6"/>
  <c r="O442" i="6"/>
  <c r="Q441" i="6"/>
  <c r="O441" i="6"/>
  <c r="Q440" i="6"/>
  <c r="O440" i="6"/>
  <c r="Q439" i="6"/>
  <c r="O439" i="6"/>
  <c r="Q438" i="6"/>
  <c r="O438" i="6"/>
  <c r="Q437" i="6"/>
  <c r="O437" i="6"/>
  <c r="Q436" i="6"/>
  <c r="O436" i="6"/>
  <c r="Q435" i="6"/>
  <c r="O435" i="6"/>
  <c r="Q434" i="6"/>
  <c r="O434" i="6"/>
  <c r="Q433" i="6"/>
  <c r="O433" i="6"/>
  <c r="Q432" i="6"/>
  <c r="O432" i="6"/>
  <c r="Q431" i="6"/>
  <c r="O431" i="6"/>
  <c r="Q430" i="6"/>
  <c r="O430" i="6"/>
  <c r="Q429" i="6"/>
  <c r="O429" i="6"/>
  <c r="Q428" i="6"/>
  <c r="O428" i="6"/>
  <c r="Q427" i="6"/>
  <c r="O427" i="6"/>
  <c r="Q426" i="6"/>
  <c r="O426" i="6"/>
  <c r="Q425" i="6"/>
  <c r="O425" i="6"/>
  <c r="Q424" i="6"/>
  <c r="O424" i="6"/>
  <c r="Q423" i="6"/>
  <c r="O423" i="6"/>
  <c r="Q422" i="6"/>
  <c r="O422" i="6"/>
  <c r="Q421" i="6"/>
  <c r="O421" i="6"/>
  <c r="Q420" i="6"/>
  <c r="O420" i="6"/>
  <c r="Q419" i="6"/>
  <c r="O419" i="6"/>
  <c r="Q418" i="6"/>
  <c r="O418" i="6"/>
  <c r="Q417" i="6"/>
  <c r="O417" i="6"/>
  <c r="Q416" i="6"/>
  <c r="O416" i="6"/>
  <c r="Q415" i="6"/>
  <c r="O415" i="6"/>
  <c r="Q414" i="6"/>
  <c r="O414" i="6"/>
  <c r="Q413" i="6"/>
  <c r="O413" i="6"/>
  <c r="Q412" i="6"/>
  <c r="O412" i="6"/>
  <c r="Q411" i="6"/>
  <c r="O411" i="6"/>
  <c r="Q410" i="6"/>
  <c r="O410" i="6"/>
  <c r="Q409" i="6"/>
  <c r="O409" i="6"/>
  <c r="Q408" i="6"/>
  <c r="O408" i="6"/>
  <c r="Q407" i="6"/>
  <c r="O407" i="6"/>
  <c r="Q406" i="6"/>
  <c r="O406" i="6"/>
  <c r="Q405" i="6"/>
  <c r="O405" i="6"/>
  <c r="Q404" i="6"/>
  <c r="O404" i="6"/>
  <c r="Q403" i="6"/>
  <c r="O403" i="6"/>
  <c r="Q402" i="6"/>
  <c r="O402" i="6"/>
  <c r="Q401" i="6"/>
  <c r="O401" i="6"/>
  <c r="Q400" i="6"/>
  <c r="O400" i="6"/>
  <c r="Q399" i="6"/>
  <c r="O399" i="6"/>
  <c r="Q398" i="6"/>
  <c r="O398" i="6"/>
  <c r="Q397" i="6"/>
  <c r="O397" i="6"/>
  <c r="Q396" i="6"/>
  <c r="O396" i="6"/>
  <c r="Q395" i="6"/>
  <c r="O395" i="6"/>
  <c r="Q394" i="6"/>
  <c r="O394" i="6"/>
  <c r="Q393" i="6"/>
  <c r="O393" i="6"/>
  <c r="Q392" i="6"/>
  <c r="O392" i="6"/>
  <c r="Q391" i="6"/>
  <c r="O391" i="6"/>
  <c r="Q390" i="6"/>
  <c r="O390" i="6"/>
  <c r="Q389" i="6"/>
  <c r="O389" i="6"/>
  <c r="Q388" i="6"/>
  <c r="O388" i="6"/>
  <c r="Q387" i="6"/>
  <c r="O387" i="6"/>
  <c r="Q386" i="6"/>
  <c r="O386" i="6"/>
  <c r="Q385" i="6"/>
  <c r="O385" i="6"/>
  <c r="Q384" i="6"/>
  <c r="O384" i="6"/>
  <c r="Q383" i="6"/>
  <c r="O383" i="6"/>
  <c r="Q382" i="6"/>
  <c r="O382" i="6"/>
  <c r="Q381" i="6"/>
  <c r="O381" i="6"/>
  <c r="Q380" i="6"/>
  <c r="O380" i="6"/>
  <c r="Q379" i="6"/>
  <c r="O379" i="6"/>
  <c r="Q378" i="6"/>
  <c r="O378" i="6"/>
  <c r="Q377" i="6"/>
  <c r="O377" i="6"/>
  <c r="Q376" i="6"/>
  <c r="O376" i="6"/>
  <c r="Q375" i="6"/>
  <c r="O375" i="6"/>
  <c r="Q374" i="6"/>
  <c r="O374" i="6"/>
  <c r="Q373" i="6"/>
  <c r="O373" i="6"/>
  <c r="Q372" i="6"/>
  <c r="O372" i="6"/>
  <c r="Q371" i="6"/>
  <c r="O371" i="6"/>
  <c r="Q370" i="6"/>
  <c r="O370" i="6"/>
  <c r="Q369" i="6"/>
  <c r="O369" i="6"/>
  <c r="Q368" i="6"/>
  <c r="O368" i="6"/>
  <c r="Q367" i="6"/>
  <c r="O367" i="6"/>
  <c r="Q366" i="6"/>
  <c r="O366" i="6"/>
  <c r="Q365" i="6"/>
  <c r="O365" i="6"/>
  <c r="Q364" i="6"/>
  <c r="O364" i="6"/>
  <c r="Q363" i="6"/>
  <c r="O363" i="6"/>
  <c r="Q362" i="6"/>
  <c r="O362" i="6"/>
  <c r="Q361" i="6"/>
  <c r="O361" i="6"/>
  <c r="Q360" i="6"/>
  <c r="O360" i="6"/>
  <c r="Q359" i="6"/>
  <c r="O359" i="6"/>
  <c r="Q358" i="6"/>
  <c r="O358" i="6"/>
  <c r="Q357" i="6"/>
  <c r="O357" i="6"/>
  <c r="Q356" i="6"/>
  <c r="O356" i="6"/>
  <c r="Q355" i="6"/>
  <c r="O355" i="6"/>
  <c r="Q354" i="6"/>
  <c r="O354" i="6"/>
  <c r="Q353" i="6"/>
  <c r="O353" i="6"/>
  <c r="Q352" i="6"/>
  <c r="O352" i="6"/>
  <c r="Q351" i="6"/>
  <c r="O351" i="6"/>
  <c r="Q350" i="6"/>
  <c r="O350" i="6"/>
  <c r="Q349" i="6"/>
  <c r="O349" i="6"/>
  <c r="Q348" i="6"/>
  <c r="O348" i="6"/>
  <c r="Q347" i="6"/>
  <c r="O347" i="6"/>
  <c r="Q346" i="6"/>
  <c r="O346" i="6"/>
  <c r="Q345" i="6"/>
  <c r="O345" i="6"/>
  <c r="Q344" i="6"/>
  <c r="O344" i="6"/>
  <c r="Q343" i="6"/>
  <c r="O343" i="6"/>
  <c r="Q342" i="6"/>
  <c r="O342" i="6"/>
  <c r="Q341" i="6"/>
  <c r="O341" i="6"/>
  <c r="Q340" i="6"/>
  <c r="O340" i="6"/>
  <c r="Q339" i="6"/>
  <c r="O339" i="6"/>
  <c r="Q338" i="6"/>
  <c r="O338" i="6"/>
  <c r="Q337" i="6"/>
  <c r="O337" i="6"/>
  <c r="Q336" i="6"/>
  <c r="O336" i="6"/>
  <c r="Q335" i="6"/>
  <c r="O335" i="6"/>
  <c r="Q334" i="6"/>
  <c r="O334" i="6"/>
  <c r="Q333" i="6"/>
  <c r="O333" i="6"/>
  <c r="Q332" i="6"/>
  <c r="O332" i="6"/>
  <c r="Q331" i="6"/>
  <c r="O331" i="6"/>
  <c r="Q330" i="6"/>
  <c r="O330" i="6"/>
  <c r="Q329" i="6"/>
  <c r="O329" i="6"/>
  <c r="Q328" i="6"/>
  <c r="O328" i="6"/>
  <c r="Q327" i="6"/>
  <c r="O327" i="6"/>
  <c r="Q326" i="6"/>
  <c r="O326" i="6"/>
  <c r="Q325" i="6"/>
  <c r="O325" i="6"/>
  <c r="Q324" i="6"/>
  <c r="O324" i="6"/>
  <c r="Q323" i="6"/>
  <c r="O323" i="6"/>
  <c r="Q322" i="6"/>
  <c r="O322" i="6"/>
  <c r="Q321" i="6"/>
  <c r="O321" i="6"/>
  <c r="Q320" i="6"/>
  <c r="O320" i="6"/>
  <c r="Q319" i="6"/>
  <c r="O319" i="6"/>
  <c r="Q318" i="6"/>
  <c r="O318" i="6"/>
  <c r="Q317" i="6"/>
  <c r="O317" i="6"/>
  <c r="Q316" i="6"/>
  <c r="O316" i="6"/>
  <c r="Q315" i="6"/>
  <c r="O315" i="6"/>
  <c r="Q314" i="6"/>
  <c r="O314" i="6"/>
  <c r="Q313" i="6"/>
  <c r="O313" i="6"/>
  <c r="Q312" i="6"/>
  <c r="O312" i="6"/>
  <c r="Q311" i="6"/>
  <c r="O311" i="6"/>
  <c r="Q310" i="6"/>
  <c r="O310" i="6"/>
  <c r="Q309" i="6"/>
  <c r="O309" i="6"/>
  <c r="Q308" i="6"/>
  <c r="O308" i="6"/>
  <c r="Q307" i="6"/>
  <c r="O307" i="6"/>
  <c r="Q306" i="6"/>
  <c r="O306" i="6"/>
  <c r="Q305" i="6"/>
  <c r="O305" i="6"/>
  <c r="Q304" i="6"/>
  <c r="O304" i="6"/>
  <c r="Q303" i="6"/>
  <c r="O303" i="6"/>
  <c r="Q302" i="6"/>
  <c r="O302" i="6"/>
  <c r="Q301" i="6"/>
  <c r="O301" i="6"/>
  <c r="Q300" i="6"/>
  <c r="O300" i="6"/>
  <c r="Q299" i="6"/>
  <c r="O299" i="6"/>
  <c r="Q298" i="6"/>
  <c r="O298" i="6"/>
  <c r="Q297" i="6"/>
  <c r="O297" i="6"/>
  <c r="Q296" i="6"/>
  <c r="O296" i="6"/>
  <c r="Q295" i="6"/>
  <c r="O295" i="6"/>
  <c r="Q294" i="6"/>
  <c r="O294" i="6"/>
  <c r="Q293" i="6"/>
  <c r="O293" i="6"/>
  <c r="Q292" i="6"/>
  <c r="O292" i="6"/>
  <c r="Q291" i="6"/>
  <c r="O291" i="6"/>
  <c r="Q290" i="6"/>
  <c r="O290" i="6"/>
  <c r="Q289" i="6"/>
  <c r="O289" i="6"/>
  <c r="Q288" i="6"/>
  <c r="O288" i="6"/>
  <c r="Q287" i="6"/>
  <c r="O287" i="6"/>
  <c r="Q286" i="6"/>
  <c r="O286" i="6"/>
  <c r="Q285" i="6"/>
  <c r="O285" i="6"/>
  <c r="Q284" i="6"/>
  <c r="O284" i="6"/>
  <c r="Q283" i="6"/>
  <c r="O283" i="6"/>
  <c r="Q282" i="6"/>
  <c r="O282" i="6"/>
  <c r="Q281" i="6"/>
  <c r="O281" i="6"/>
  <c r="Q280" i="6"/>
  <c r="O280" i="6"/>
  <c r="Q279" i="6"/>
  <c r="O279" i="6"/>
  <c r="Q278" i="6"/>
  <c r="O278" i="6"/>
  <c r="Q277" i="6"/>
  <c r="O277" i="6"/>
  <c r="Q276" i="6"/>
  <c r="O276" i="6"/>
  <c r="Q275" i="6"/>
  <c r="O275" i="6"/>
  <c r="Q274" i="6"/>
  <c r="O274" i="6"/>
  <c r="Q273" i="6"/>
  <c r="O273" i="6"/>
  <c r="Q272" i="6"/>
  <c r="O272" i="6"/>
  <c r="Q271" i="6"/>
  <c r="O271" i="6"/>
  <c r="Q270" i="6"/>
  <c r="O270" i="6"/>
  <c r="Q269" i="6"/>
  <c r="O269" i="6"/>
  <c r="Q268" i="6"/>
  <c r="O268" i="6"/>
  <c r="Q267" i="6"/>
  <c r="O267" i="6"/>
  <c r="Q266" i="6"/>
  <c r="O266" i="6"/>
  <c r="Q265" i="6"/>
  <c r="O265" i="6"/>
  <c r="Q264" i="6"/>
  <c r="O264" i="6"/>
  <c r="Q263" i="6"/>
  <c r="O263" i="6"/>
  <c r="Q262" i="6"/>
  <c r="O262" i="6"/>
  <c r="Q261" i="6"/>
  <c r="O261" i="6"/>
  <c r="Q260" i="6"/>
  <c r="O260" i="6"/>
  <c r="Q259" i="6"/>
  <c r="O259" i="6"/>
  <c r="Q258" i="6"/>
  <c r="O258" i="6"/>
  <c r="Q257" i="6"/>
  <c r="O257" i="6"/>
  <c r="Q256" i="6"/>
  <c r="O256" i="6"/>
  <c r="Q255" i="6"/>
  <c r="O255" i="6"/>
  <c r="Q254" i="6"/>
  <c r="O254" i="6"/>
  <c r="Q253" i="6"/>
  <c r="O253" i="6"/>
  <c r="Q252" i="6"/>
  <c r="O252" i="6"/>
  <c r="Q251" i="6"/>
  <c r="O251" i="6"/>
  <c r="Q250" i="6"/>
  <c r="O250" i="6"/>
  <c r="Q249" i="6"/>
  <c r="O249" i="6"/>
  <c r="Q248" i="6"/>
  <c r="O248" i="6"/>
  <c r="Q247" i="6"/>
  <c r="O247" i="6"/>
  <c r="Q246" i="6"/>
  <c r="O246" i="6"/>
  <c r="Q245" i="6"/>
  <c r="O245" i="6"/>
  <c r="Q244" i="6"/>
  <c r="O244" i="6"/>
  <c r="Q243" i="6"/>
  <c r="O243" i="6"/>
  <c r="Q242" i="6"/>
  <c r="O242" i="6"/>
  <c r="Q241" i="6"/>
  <c r="O241" i="6"/>
  <c r="Q240" i="6"/>
  <c r="O240" i="6"/>
  <c r="Q239" i="6"/>
  <c r="O239" i="6"/>
  <c r="Q238" i="6"/>
  <c r="O238" i="6"/>
  <c r="Q237" i="6"/>
  <c r="O237" i="6"/>
  <c r="Q236" i="6"/>
  <c r="O236" i="6"/>
  <c r="Q235" i="6"/>
  <c r="O235" i="6"/>
  <c r="Q234" i="6"/>
  <c r="O234" i="6"/>
  <c r="Q233" i="6"/>
  <c r="O233" i="6"/>
  <c r="Q232" i="6"/>
  <c r="O232" i="6"/>
  <c r="Q231" i="6"/>
  <c r="O231" i="6"/>
  <c r="Q230" i="6"/>
  <c r="O230" i="6"/>
  <c r="Q229" i="6"/>
  <c r="O229" i="6"/>
  <c r="Q228" i="6"/>
  <c r="O228" i="6"/>
  <c r="Q227" i="6"/>
  <c r="O227" i="6"/>
  <c r="Q226" i="6"/>
  <c r="O226" i="6"/>
  <c r="Q225" i="6"/>
  <c r="O225" i="6"/>
  <c r="Q224" i="6"/>
  <c r="O224" i="6"/>
  <c r="Q223" i="6"/>
  <c r="O223" i="6"/>
  <c r="Q222" i="6"/>
  <c r="O222" i="6"/>
  <c r="Q221" i="6"/>
  <c r="O221" i="6"/>
  <c r="Q220" i="6"/>
  <c r="O220" i="6"/>
  <c r="Q219" i="6"/>
  <c r="O219" i="6"/>
  <c r="Q218" i="6"/>
  <c r="O218" i="6"/>
  <c r="Q217" i="6"/>
  <c r="O217" i="6"/>
  <c r="Q216" i="6"/>
  <c r="O216" i="6"/>
  <c r="Q215" i="6"/>
  <c r="O215" i="6"/>
  <c r="Q214" i="6"/>
  <c r="O214" i="6"/>
  <c r="Q213" i="6"/>
  <c r="O213" i="6"/>
  <c r="Q212" i="6"/>
  <c r="O212" i="6"/>
  <c r="Q211" i="6"/>
  <c r="O211" i="6"/>
  <c r="Q210" i="6"/>
  <c r="O210" i="6"/>
  <c r="Q209" i="6"/>
  <c r="O209" i="6"/>
  <c r="Q208" i="6"/>
  <c r="O208" i="6"/>
  <c r="Q207" i="6"/>
  <c r="O207" i="6"/>
  <c r="Q206" i="6"/>
  <c r="O206" i="6"/>
  <c r="Q205" i="6"/>
  <c r="O205" i="6"/>
  <c r="Q204" i="6"/>
  <c r="O204" i="6"/>
  <c r="Q203" i="6"/>
  <c r="O203" i="6"/>
  <c r="Q202" i="6"/>
  <c r="O202" i="6"/>
  <c r="Q201" i="6"/>
  <c r="O201" i="6"/>
  <c r="Q200" i="6"/>
  <c r="O200" i="6"/>
  <c r="Q199" i="6"/>
  <c r="O199" i="6"/>
  <c r="Q198" i="6"/>
  <c r="O198" i="6"/>
  <c r="Q197" i="6"/>
  <c r="O197" i="6"/>
  <c r="Q196" i="6"/>
  <c r="O196" i="6"/>
  <c r="Q195" i="6"/>
  <c r="O195" i="6"/>
  <c r="Q194" i="6"/>
  <c r="O194" i="6"/>
  <c r="Q193" i="6"/>
  <c r="O193" i="6"/>
  <c r="Q192" i="6"/>
  <c r="O192" i="6"/>
  <c r="Q191" i="6"/>
  <c r="O191" i="6"/>
  <c r="Q190" i="6"/>
  <c r="O190" i="6"/>
  <c r="Q189" i="6"/>
  <c r="O189" i="6"/>
  <c r="Q188" i="6"/>
  <c r="O188" i="6"/>
  <c r="Q187" i="6"/>
  <c r="O187" i="6"/>
  <c r="Q186" i="6"/>
  <c r="O186" i="6"/>
  <c r="Q185" i="6"/>
  <c r="O185" i="6"/>
  <c r="Q184" i="6"/>
  <c r="O184" i="6"/>
  <c r="Q183" i="6"/>
  <c r="O183" i="6"/>
  <c r="Q182" i="6"/>
  <c r="O182" i="6"/>
  <c r="Q181" i="6"/>
  <c r="O181" i="6"/>
  <c r="Q180" i="6"/>
  <c r="O180" i="6"/>
  <c r="Q179" i="6"/>
  <c r="O179" i="6"/>
  <c r="Q178" i="6"/>
  <c r="O178" i="6"/>
  <c r="Q177" i="6"/>
  <c r="O177" i="6"/>
  <c r="Q176" i="6"/>
  <c r="O176" i="6"/>
  <c r="Q175" i="6"/>
  <c r="O175" i="6"/>
  <c r="Q174" i="6"/>
  <c r="O174" i="6"/>
  <c r="Q173" i="6"/>
  <c r="O173" i="6"/>
  <c r="Q172" i="6"/>
  <c r="O172" i="6"/>
  <c r="Q171" i="6"/>
  <c r="O171" i="6"/>
  <c r="Q170" i="6"/>
  <c r="O170" i="6"/>
  <c r="Q169" i="6"/>
  <c r="O169" i="6"/>
  <c r="Q168" i="6"/>
  <c r="O168" i="6"/>
  <c r="Q167" i="6"/>
  <c r="O167" i="6"/>
  <c r="Q166" i="6"/>
  <c r="O166" i="6"/>
  <c r="Q165" i="6"/>
  <c r="O165" i="6"/>
  <c r="Q164" i="6"/>
  <c r="O164" i="6"/>
  <c r="Q163" i="6"/>
  <c r="O163" i="6"/>
  <c r="Q162" i="6"/>
  <c r="O162" i="6"/>
  <c r="Q161" i="6"/>
  <c r="O161" i="6"/>
  <c r="Q160" i="6"/>
  <c r="O160" i="6"/>
  <c r="Q159" i="6"/>
  <c r="O159" i="6"/>
  <c r="Q158" i="6"/>
  <c r="O158" i="6"/>
  <c r="Q157" i="6"/>
  <c r="O157" i="6"/>
  <c r="Q156" i="6"/>
  <c r="O156" i="6"/>
  <c r="Q155" i="6"/>
  <c r="O155" i="6"/>
  <c r="Q154" i="6"/>
  <c r="O154" i="6"/>
  <c r="Q153" i="6"/>
  <c r="O153" i="6"/>
  <c r="Q152" i="6"/>
  <c r="O152" i="6"/>
  <c r="Q151" i="6"/>
  <c r="O151" i="6"/>
  <c r="Q150" i="6"/>
  <c r="O150" i="6"/>
  <c r="Q149" i="6"/>
  <c r="O149" i="6"/>
  <c r="Q148" i="6"/>
  <c r="O148" i="6"/>
  <c r="Q147" i="6"/>
  <c r="O147" i="6"/>
  <c r="Q146" i="6"/>
  <c r="O146" i="6"/>
  <c r="Q145" i="6"/>
  <c r="O145" i="6"/>
  <c r="Q144" i="6"/>
  <c r="O144" i="6"/>
  <c r="Q143" i="6"/>
  <c r="O143" i="6"/>
  <c r="Q142" i="6"/>
  <c r="O142" i="6"/>
  <c r="Q141" i="6"/>
  <c r="O141" i="6"/>
  <c r="Q140" i="6"/>
  <c r="O140" i="6"/>
  <c r="Q139" i="6"/>
  <c r="O139" i="6"/>
  <c r="Q138" i="6"/>
  <c r="O138" i="6"/>
  <c r="Q137" i="6"/>
  <c r="O137" i="6"/>
  <c r="Q136" i="6"/>
  <c r="O136" i="6"/>
  <c r="Q135" i="6"/>
  <c r="O135" i="6"/>
  <c r="Q134" i="6"/>
  <c r="O134" i="6"/>
  <c r="Q133" i="6"/>
  <c r="O133" i="6"/>
  <c r="Q132" i="6"/>
  <c r="O132" i="6"/>
  <c r="Q131" i="6"/>
  <c r="O131" i="6"/>
  <c r="Q130" i="6"/>
  <c r="O130" i="6"/>
  <c r="Q129" i="6"/>
  <c r="O129" i="6"/>
  <c r="Q128" i="6"/>
  <c r="O128" i="6"/>
  <c r="Q127" i="6"/>
  <c r="O127" i="6"/>
  <c r="Q126" i="6"/>
  <c r="O126" i="6"/>
  <c r="Q125" i="6"/>
  <c r="O125" i="6"/>
  <c r="Q124" i="6"/>
  <c r="O124" i="6"/>
  <c r="Q123" i="6"/>
  <c r="O123" i="6"/>
  <c r="Q122" i="6"/>
  <c r="O122" i="6"/>
  <c r="Q121" i="6"/>
  <c r="O121" i="6"/>
  <c r="Q120" i="6"/>
  <c r="O120" i="6"/>
  <c r="Q119" i="6"/>
  <c r="O119" i="6"/>
  <c r="Q118" i="6"/>
  <c r="O118" i="6"/>
  <c r="Q117" i="6"/>
  <c r="O117" i="6"/>
  <c r="Q116" i="6"/>
  <c r="O116" i="6"/>
  <c r="Q115" i="6"/>
  <c r="O115" i="6"/>
  <c r="Q114" i="6"/>
  <c r="O114" i="6"/>
  <c r="Q113" i="6"/>
  <c r="O113" i="6"/>
  <c r="Q112" i="6"/>
  <c r="O112" i="6"/>
  <c r="Q111" i="6"/>
  <c r="O111" i="6"/>
  <c r="Q110" i="6"/>
  <c r="O110" i="6"/>
  <c r="Q109" i="6"/>
  <c r="O109" i="6"/>
  <c r="Q108" i="6"/>
  <c r="O108" i="6"/>
  <c r="Q107" i="6"/>
  <c r="O107" i="6"/>
  <c r="Q106" i="6"/>
  <c r="O106" i="6"/>
  <c r="Q105" i="6"/>
  <c r="O105" i="6"/>
  <c r="Q104" i="6"/>
  <c r="O104" i="6"/>
  <c r="Q103" i="6"/>
  <c r="O103" i="6"/>
  <c r="Q102" i="6"/>
  <c r="O102" i="6"/>
  <c r="Q101" i="6"/>
  <c r="O101" i="6"/>
  <c r="Q100" i="6"/>
  <c r="O100" i="6"/>
  <c r="Q99" i="6"/>
  <c r="O99" i="6"/>
  <c r="Q98" i="6"/>
  <c r="O98" i="6"/>
  <c r="Q97" i="6"/>
  <c r="O97" i="6"/>
  <c r="Q96" i="6"/>
  <c r="O96" i="6"/>
  <c r="Q95" i="6"/>
  <c r="O95" i="6"/>
  <c r="Q94" i="6"/>
  <c r="O94" i="6"/>
  <c r="Q93" i="6"/>
  <c r="O93" i="6"/>
  <c r="Q92" i="6"/>
  <c r="O92" i="6"/>
  <c r="Q91" i="6"/>
  <c r="O91" i="6"/>
  <c r="Q90" i="6"/>
  <c r="O90" i="6"/>
  <c r="Q89" i="6"/>
  <c r="O89" i="6"/>
  <c r="Q88" i="6"/>
  <c r="O88" i="6"/>
  <c r="Q87" i="6"/>
  <c r="O87" i="6"/>
  <c r="Q86" i="6"/>
  <c r="O86" i="6"/>
  <c r="Q85" i="6"/>
  <c r="O85" i="6"/>
  <c r="Q84" i="6"/>
  <c r="O84" i="6"/>
  <c r="Q83" i="6"/>
  <c r="O83" i="6"/>
  <c r="Q82" i="6"/>
  <c r="O82" i="6"/>
  <c r="Q81" i="6"/>
  <c r="O81" i="6"/>
  <c r="Q80" i="6"/>
  <c r="O80" i="6"/>
  <c r="Q79" i="6"/>
  <c r="O79" i="6"/>
  <c r="Q78" i="6"/>
  <c r="O78" i="6"/>
  <c r="Q77" i="6"/>
  <c r="O77" i="6"/>
  <c r="Q76" i="6"/>
  <c r="O76" i="6"/>
  <c r="Q75" i="6"/>
  <c r="O75" i="6"/>
  <c r="Q74" i="6"/>
  <c r="O74" i="6"/>
  <c r="Q73" i="6"/>
  <c r="O73" i="6"/>
  <c r="Q72" i="6"/>
  <c r="O72" i="6"/>
  <c r="Q71" i="6"/>
  <c r="O71" i="6"/>
  <c r="Q70" i="6"/>
  <c r="O70" i="6"/>
  <c r="Q69" i="6"/>
  <c r="O69" i="6"/>
  <c r="Q68" i="6"/>
  <c r="O68" i="6"/>
  <c r="Q67" i="6"/>
  <c r="O67" i="6"/>
  <c r="Q66" i="6"/>
  <c r="O66" i="6"/>
  <c r="Q65" i="6"/>
  <c r="O65" i="6"/>
  <c r="Q64" i="6"/>
  <c r="O64" i="6"/>
  <c r="Q63" i="6"/>
  <c r="O63" i="6"/>
  <c r="Q62" i="6"/>
  <c r="O62" i="6"/>
  <c r="Q61" i="6"/>
  <c r="O61" i="6"/>
  <c r="Q60" i="6"/>
  <c r="O60" i="6"/>
  <c r="AC59" i="6"/>
  <c r="BF24" i="6" s="1"/>
  <c r="Z59" i="6" a="1"/>
  <c r="Z59" i="6" s="1"/>
  <c r="AA59" i="6" s="1"/>
  <c r="Y59" i="6"/>
  <c r="AC21" i="6" s="1"/>
  <c r="Q59" i="6"/>
  <c r="O59" i="6"/>
  <c r="Z58" i="6" a="1"/>
  <c r="Z58" i="6" s="1"/>
  <c r="AA58" i="6" s="1"/>
  <c r="Y58" i="6"/>
  <c r="Q58" i="6"/>
  <c r="O58" i="6"/>
  <c r="Q57" i="6"/>
  <c r="O57" i="6"/>
  <c r="Q56" i="6"/>
  <c r="O56" i="6"/>
  <c r="Q55" i="6"/>
  <c r="O55" i="6"/>
  <c r="Q54" i="6"/>
  <c r="O54" i="6"/>
  <c r="Q53" i="6"/>
  <c r="O53" i="6"/>
  <c r="Q52" i="6"/>
  <c r="O52" i="6"/>
  <c r="Q51" i="6"/>
  <c r="O51" i="6"/>
  <c r="Q50" i="6"/>
  <c r="O50" i="6"/>
  <c r="Q49" i="6"/>
  <c r="O49" i="6"/>
  <c r="Q48" i="6"/>
  <c r="O48" i="6"/>
  <c r="Q47" i="6"/>
  <c r="O47" i="6"/>
  <c r="Q46" i="6"/>
  <c r="O46" i="6"/>
  <c r="Q45" i="6"/>
  <c r="O45" i="6"/>
  <c r="X44" i="6"/>
  <c r="AC47" i="6" s="1"/>
  <c r="Q44" i="6"/>
  <c r="O44" i="6"/>
  <c r="Z43" i="6" a="1"/>
  <c r="Z43" i="6" s="1"/>
  <c r="AA43" i="6" s="1"/>
  <c r="Y43" i="6"/>
  <c r="Q43" i="6"/>
  <c r="O43" i="6"/>
  <c r="Q42" i="6"/>
  <c r="O42" i="6"/>
  <c r="Q41" i="6"/>
  <c r="O41" i="6"/>
  <c r="Q40" i="6"/>
  <c r="O40" i="6"/>
  <c r="Q39" i="6"/>
  <c r="O39" i="6"/>
  <c r="Q38" i="6"/>
  <c r="O38" i="6"/>
  <c r="Q37" i="6"/>
  <c r="O37" i="6"/>
  <c r="Q36" i="6"/>
  <c r="O36" i="6"/>
  <c r="Q35" i="6"/>
  <c r="O35" i="6"/>
  <c r="Q34" i="6"/>
  <c r="O34" i="6"/>
  <c r="Q33" i="6"/>
  <c r="O33" i="6"/>
  <c r="Q32" i="6"/>
  <c r="O32" i="6"/>
  <c r="Q31" i="6"/>
  <c r="O31" i="6"/>
  <c r="Q30" i="6"/>
  <c r="O30" i="6"/>
  <c r="X29" i="6"/>
  <c r="Z29" i="6" s="1" a="1"/>
  <c r="Z29" i="6" s="1"/>
  <c r="AA29" i="6" s="1"/>
  <c r="Q29" i="6"/>
  <c r="O29" i="6"/>
  <c r="Z28" i="6" a="1"/>
  <c r="Z28" i="6" s="1"/>
  <c r="AA28" i="6" s="1"/>
  <c r="Y28" i="6"/>
  <c r="Q28" i="6"/>
  <c r="O28" i="6"/>
  <c r="Q27" i="6"/>
  <c r="O27" i="6"/>
  <c r="Q26" i="6"/>
  <c r="O26" i="6"/>
  <c r="Q25" i="6"/>
  <c r="O25" i="6"/>
  <c r="X24" i="6"/>
  <c r="AC24" i="6" s="1"/>
  <c r="Q24" i="6"/>
  <c r="O24" i="6"/>
  <c r="Z23" i="6" a="1"/>
  <c r="Z23" i="6" s="1"/>
  <c r="AA23" i="6" s="1"/>
  <c r="Y23" i="6"/>
  <c r="Q23" i="6"/>
  <c r="O23" i="6"/>
  <c r="Q22" i="6"/>
  <c r="O22" i="6"/>
  <c r="Q21" i="6"/>
  <c r="O21" i="6"/>
  <c r="Q20" i="6"/>
  <c r="O20" i="6"/>
  <c r="Q19" i="6"/>
  <c r="O19" i="6"/>
  <c r="Q18" i="6"/>
  <c r="O18" i="6"/>
  <c r="Q17" i="6"/>
  <c r="O17" i="6"/>
  <c r="Q16" i="6"/>
  <c r="O16" i="6"/>
  <c r="Q15" i="6"/>
  <c r="O15" i="6"/>
  <c r="Q14" i="6"/>
  <c r="O14" i="6"/>
  <c r="Q13" i="6"/>
  <c r="O13" i="6"/>
  <c r="Q12" i="6"/>
  <c r="O12" i="6"/>
  <c r="Q11" i="6"/>
  <c r="O11" i="6"/>
  <c r="Q10" i="6"/>
  <c r="O10" i="6"/>
  <c r="Q9" i="6"/>
  <c r="O9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Q8" i="6"/>
  <c r="O8" i="6"/>
  <c r="B8" i="6"/>
  <c r="Q7" i="6"/>
  <c r="O7" i="6"/>
  <c r="K5" i="6"/>
  <c r="L5" i="6" s="1"/>
  <c r="M5" i="6" s="1"/>
  <c r="N5" i="6" s="1"/>
  <c r="O5" i="6" s="1"/>
  <c r="P5" i="6" s="1"/>
  <c r="Q5" i="6" s="1"/>
  <c r="R5" i="6" s="1"/>
  <c r="S5" i="6" s="1"/>
  <c r="G5" i="6"/>
  <c r="H5" i="6" s="1"/>
  <c r="I5" i="6" s="1"/>
  <c r="J5" i="6" s="1"/>
  <c r="F5" i="6"/>
  <c r="Y29" i="6" l="1"/>
  <c r="AC32" i="6"/>
  <c r="AN24" i="6" s="1"/>
  <c r="Z24" i="6" a="1"/>
  <c r="Z24" i="6" s="1"/>
  <c r="AA24" i="6" s="1"/>
  <c r="P416" i="6"/>
  <c r="P27" i="6"/>
  <c r="P19" i="6"/>
  <c r="P11" i="6"/>
  <c r="P15" i="6"/>
  <c r="P21" i="6"/>
  <c r="P16" i="6"/>
  <c r="P13" i="6"/>
  <c r="P47" i="6"/>
  <c r="P7" i="6"/>
  <c r="P8" i="6"/>
  <c r="P9" i="6"/>
  <c r="P10" i="6"/>
  <c r="P14" i="6"/>
  <c r="P20" i="6"/>
  <c r="P41" i="6"/>
  <c r="P44" i="6"/>
  <c r="P29" i="6"/>
  <c r="P31" i="6"/>
  <c r="P36" i="6"/>
  <c r="P38" i="6"/>
  <c r="P40" i="6"/>
  <c r="P52" i="6"/>
  <c r="P57" i="6"/>
  <c r="P104" i="6"/>
  <c r="P12" i="6"/>
  <c r="P17" i="6"/>
  <c r="P18" i="6"/>
  <c r="P22" i="6"/>
  <c r="R21" i="6" s="1"/>
  <c r="S21" i="6" s="1"/>
  <c r="P25" i="6"/>
  <c r="P30" i="6"/>
  <c r="R30" i="6" s="1"/>
  <c r="S30" i="6" s="1"/>
  <c r="P33" i="6"/>
  <c r="P35" i="6"/>
  <c r="P56" i="6"/>
  <c r="P95" i="6"/>
  <c r="P136" i="6"/>
  <c r="P60" i="6"/>
  <c r="P62" i="6"/>
  <c r="P64" i="6"/>
  <c r="P66" i="6"/>
  <c r="P68" i="6"/>
  <c r="P70" i="6"/>
  <c r="P103" i="6"/>
  <c r="P112" i="6"/>
  <c r="P144" i="6"/>
  <c r="P23" i="6"/>
  <c r="P32" i="6"/>
  <c r="P37" i="6"/>
  <c r="P42" i="6"/>
  <c r="P51" i="6"/>
  <c r="P53" i="6"/>
  <c r="P55" i="6"/>
  <c r="P88" i="6"/>
  <c r="P111" i="6"/>
  <c r="P120" i="6"/>
  <c r="P152" i="6"/>
  <c r="P45" i="6"/>
  <c r="P46" i="6"/>
  <c r="P48" i="6"/>
  <c r="P50" i="6"/>
  <c r="P59" i="6"/>
  <c r="P71" i="6"/>
  <c r="P73" i="6"/>
  <c r="P75" i="6"/>
  <c r="P77" i="6"/>
  <c r="P79" i="6"/>
  <c r="P81" i="6"/>
  <c r="P83" i="6"/>
  <c r="P85" i="6"/>
  <c r="P87" i="6"/>
  <c r="P96" i="6"/>
  <c r="P119" i="6"/>
  <c r="P128" i="6"/>
  <c r="P160" i="6"/>
  <c r="Y44" i="6"/>
  <c r="AC33" i="6"/>
  <c r="AO24" i="6" s="1"/>
  <c r="AC48" i="6"/>
  <c r="AX24" i="6" s="1"/>
  <c r="AW24" i="6"/>
  <c r="AC60" i="6"/>
  <c r="BG24" i="6" s="1"/>
  <c r="AC25" i="6"/>
  <c r="AJ24" i="6" s="1"/>
  <c r="AI24" i="6"/>
  <c r="AC29" i="6"/>
  <c r="P168" i="6"/>
  <c r="P176" i="6"/>
  <c r="P184" i="6"/>
  <c r="P192" i="6"/>
  <c r="P200" i="6"/>
  <c r="P208" i="6"/>
  <c r="P216" i="6"/>
  <c r="P221" i="6"/>
  <c r="P232" i="6"/>
  <c r="P245" i="6"/>
  <c r="P261" i="6"/>
  <c r="P277" i="6"/>
  <c r="P293" i="6"/>
  <c r="P309" i="6"/>
  <c r="P325" i="6"/>
  <c r="P341" i="6"/>
  <c r="P357" i="6"/>
  <c r="P373" i="6"/>
  <c r="P391" i="6"/>
  <c r="P393" i="6"/>
  <c r="P480" i="6"/>
  <c r="P495" i="6"/>
  <c r="P72" i="6"/>
  <c r="P74" i="6"/>
  <c r="P76" i="6"/>
  <c r="P78" i="6"/>
  <c r="P80" i="6"/>
  <c r="R79" i="6" s="1"/>
  <c r="S79" i="6" s="1"/>
  <c r="P82" i="6"/>
  <c r="P84" i="6"/>
  <c r="P86" i="6"/>
  <c r="P93" i="6"/>
  <c r="P94" i="6"/>
  <c r="R94" i="6" s="1"/>
  <c r="S94" i="6" s="1"/>
  <c r="P101" i="6"/>
  <c r="P102" i="6"/>
  <c r="P109" i="6"/>
  <c r="P110" i="6"/>
  <c r="P117" i="6"/>
  <c r="P118" i="6"/>
  <c r="P126" i="6"/>
  <c r="P134" i="6"/>
  <c r="P142" i="6"/>
  <c r="P150" i="6"/>
  <c r="P158" i="6"/>
  <c r="P166" i="6"/>
  <c r="P174" i="6"/>
  <c r="P182" i="6"/>
  <c r="P190" i="6"/>
  <c r="P198" i="6"/>
  <c r="P206" i="6"/>
  <c r="P214" i="6"/>
  <c r="P223" i="6"/>
  <c r="P225" i="6"/>
  <c r="P229" i="6"/>
  <c r="P240" i="6"/>
  <c r="P249" i="6"/>
  <c r="P265" i="6"/>
  <c r="P281" i="6"/>
  <c r="P297" i="6"/>
  <c r="P313" i="6"/>
  <c r="P329" i="6"/>
  <c r="P345" i="6"/>
  <c r="P361" i="6"/>
  <c r="P377" i="6"/>
  <c r="P477" i="6"/>
  <c r="P568" i="6"/>
  <c r="P792" i="6"/>
  <c r="P784" i="6"/>
  <c r="P776" i="6"/>
  <c r="P768" i="6"/>
  <c r="P760" i="6"/>
  <c r="P752" i="6"/>
  <c r="P744" i="6"/>
  <c r="P737" i="6"/>
  <c r="P735" i="6"/>
  <c r="P733" i="6"/>
  <c r="P731" i="6"/>
  <c r="P729" i="6"/>
  <c r="P727" i="6"/>
  <c r="P725" i="6"/>
  <c r="P723" i="6"/>
  <c r="P721" i="6"/>
  <c r="P719" i="6"/>
  <c r="P717" i="6"/>
  <c r="P715" i="6"/>
  <c r="P713" i="6"/>
  <c r="P711" i="6"/>
  <c r="P709" i="6"/>
  <c r="P772" i="6"/>
  <c r="P740" i="6"/>
  <c r="P730" i="6"/>
  <c r="P722" i="6"/>
  <c r="P714" i="6"/>
  <c r="R714" i="6" s="1"/>
  <c r="S714" i="6" s="1"/>
  <c r="P706" i="6"/>
  <c r="P702" i="6"/>
  <c r="P698" i="6"/>
  <c r="P694" i="6"/>
  <c r="P690" i="6"/>
  <c r="P686" i="6"/>
  <c r="P682" i="6"/>
  <c r="P678" i="6"/>
  <c r="P674" i="6"/>
  <c r="P670" i="6"/>
  <c r="P666" i="6"/>
  <c r="P662" i="6"/>
  <c r="P655" i="6"/>
  <c r="P647" i="6"/>
  <c r="P639" i="6"/>
  <c r="P631" i="6"/>
  <c r="P623" i="6"/>
  <c r="P615" i="6"/>
  <c r="P607" i="6"/>
  <c r="P599" i="6"/>
  <c r="P591" i="6"/>
  <c r="P583" i="6"/>
  <c r="P728" i="6"/>
  <c r="P724" i="6"/>
  <c r="P710" i="6"/>
  <c r="P701" i="6"/>
  <c r="R701" i="6" s="1"/>
  <c r="S701" i="6" s="1"/>
  <c r="P700" i="6"/>
  <c r="P699" i="6"/>
  <c r="P685" i="6"/>
  <c r="P684" i="6"/>
  <c r="P683" i="6"/>
  <c r="P669" i="6"/>
  <c r="P668" i="6"/>
  <c r="P667" i="6"/>
  <c r="P764" i="6"/>
  <c r="P756" i="6"/>
  <c r="P748" i="6"/>
  <c r="P734" i="6"/>
  <c r="R734" i="6" s="1"/>
  <c r="S734" i="6" s="1"/>
  <c r="P720" i="6"/>
  <c r="P716" i="6"/>
  <c r="P697" i="6"/>
  <c r="P696" i="6"/>
  <c r="P695" i="6"/>
  <c r="P681" i="6"/>
  <c r="P680" i="6"/>
  <c r="P679" i="6"/>
  <c r="P665" i="6"/>
  <c r="R665" i="6" s="1"/>
  <c r="S665" i="6" s="1"/>
  <c r="P664" i="6"/>
  <c r="P663" i="6"/>
  <c r="P653" i="6"/>
  <c r="P648" i="6"/>
  <c r="P641" i="6"/>
  <c r="P635" i="6"/>
  <c r="P621" i="6"/>
  <c r="P616" i="6"/>
  <c r="P609" i="6"/>
  <c r="P603" i="6"/>
  <c r="P589" i="6"/>
  <c r="P584" i="6"/>
  <c r="P579" i="6"/>
  <c r="P571" i="6"/>
  <c r="P788" i="6"/>
  <c r="P780" i="6"/>
  <c r="P726" i="6"/>
  <c r="P712" i="6"/>
  <c r="R712" i="6" s="1"/>
  <c r="S712" i="6" s="1"/>
  <c r="P708" i="6"/>
  <c r="P707" i="6"/>
  <c r="P693" i="6"/>
  <c r="R693" i="6" s="1"/>
  <c r="S693" i="6" s="1"/>
  <c r="P692" i="6"/>
  <c r="P691" i="6"/>
  <c r="P677" i="6"/>
  <c r="P676" i="6"/>
  <c r="P675" i="6"/>
  <c r="P661" i="6"/>
  <c r="P660" i="6"/>
  <c r="P659" i="6"/>
  <c r="P645" i="6"/>
  <c r="P640" i="6"/>
  <c r="P633" i="6"/>
  <c r="P627" i="6"/>
  <c r="P613" i="6"/>
  <c r="P608" i="6"/>
  <c r="P601" i="6"/>
  <c r="P595" i="6"/>
  <c r="P581" i="6"/>
  <c r="P573" i="6"/>
  <c r="P732" i="6"/>
  <c r="R732" i="6" s="1"/>
  <c r="S732" i="6" s="1"/>
  <c r="P718" i="6"/>
  <c r="P704" i="6"/>
  <c r="P687" i="6"/>
  <c r="P643" i="6"/>
  <c r="P637" i="6"/>
  <c r="P625" i="6"/>
  <c r="P619" i="6"/>
  <c r="P600" i="6"/>
  <c r="R600" i="6" s="1"/>
  <c r="S600" i="6" s="1"/>
  <c r="P597" i="6"/>
  <c r="P577" i="6"/>
  <c r="P575" i="6"/>
  <c r="P705" i="6"/>
  <c r="P688" i="6"/>
  <c r="P671" i="6"/>
  <c r="P656" i="6"/>
  <c r="P644" i="6"/>
  <c r="P638" i="6"/>
  <c r="P620" i="6"/>
  <c r="P617" i="6"/>
  <c r="P598" i="6"/>
  <c r="P689" i="6"/>
  <c r="P672" i="6"/>
  <c r="P657" i="6"/>
  <c r="P651" i="6"/>
  <c r="P632" i="6"/>
  <c r="P629" i="6"/>
  <c r="P611" i="6"/>
  <c r="P605" i="6"/>
  <c r="P593" i="6"/>
  <c r="P587" i="6"/>
  <c r="P569" i="6"/>
  <c r="P567" i="6"/>
  <c r="P565" i="6"/>
  <c r="P563" i="6"/>
  <c r="P561" i="6"/>
  <c r="P559" i="6"/>
  <c r="P557" i="6"/>
  <c r="P555" i="6"/>
  <c r="P553" i="6"/>
  <c r="P551" i="6"/>
  <c r="P549" i="6"/>
  <c r="P547" i="6"/>
  <c r="P545" i="6"/>
  <c r="P543" i="6"/>
  <c r="P541" i="6"/>
  <c r="P539" i="6"/>
  <c r="P537" i="6"/>
  <c r="P535" i="6"/>
  <c r="P533" i="6"/>
  <c r="P531" i="6"/>
  <c r="P529" i="6"/>
  <c r="P527" i="6"/>
  <c r="P525" i="6"/>
  <c r="P523" i="6"/>
  <c r="P521" i="6"/>
  <c r="P519" i="6"/>
  <c r="P517" i="6"/>
  <c r="P515" i="6"/>
  <c r="P513" i="6"/>
  <c r="P511" i="6"/>
  <c r="P509" i="6"/>
  <c r="P507" i="6"/>
  <c r="P505" i="6"/>
  <c r="P503" i="6"/>
  <c r="P501" i="6"/>
  <c r="P649" i="6"/>
  <c r="P606" i="6"/>
  <c r="P585" i="6"/>
  <c r="P490" i="6"/>
  <c r="P482" i="6"/>
  <c r="P474" i="6"/>
  <c r="P466" i="6"/>
  <c r="P458" i="6"/>
  <c r="P450" i="6"/>
  <c r="P442" i="6"/>
  <c r="P434" i="6"/>
  <c r="P426" i="6"/>
  <c r="P418" i="6"/>
  <c r="P410" i="6"/>
  <c r="P402" i="6"/>
  <c r="P673" i="6"/>
  <c r="P652" i="6"/>
  <c r="P630" i="6"/>
  <c r="P612" i="6"/>
  <c r="P592" i="6"/>
  <c r="R592" i="6" s="1"/>
  <c r="S592" i="6" s="1"/>
  <c r="P588" i="6"/>
  <c r="P570" i="6"/>
  <c r="P492" i="6"/>
  <c r="P484" i="6"/>
  <c r="P476" i="6"/>
  <c r="P468" i="6"/>
  <c r="P460" i="6"/>
  <c r="P452" i="6"/>
  <c r="P444" i="6"/>
  <c r="P436" i="6"/>
  <c r="P428" i="6"/>
  <c r="P420" i="6"/>
  <c r="P412" i="6"/>
  <c r="P404" i="6"/>
  <c r="P396" i="6"/>
  <c r="P703" i="6"/>
  <c r="P483" i="6"/>
  <c r="P467" i="6"/>
  <c r="R467" i="6" s="1"/>
  <c r="S467" i="6" s="1"/>
  <c r="P451" i="6"/>
  <c r="P435" i="6"/>
  <c r="P419" i="6"/>
  <c r="P403" i="6"/>
  <c r="R403" i="6" s="1"/>
  <c r="S403" i="6" s="1"/>
  <c r="P736" i="6"/>
  <c r="P624" i="6"/>
  <c r="P572" i="6"/>
  <c r="P488" i="6"/>
  <c r="P486" i="6"/>
  <c r="P472" i="6"/>
  <c r="P470" i="6"/>
  <c r="P456" i="6"/>
  <c r="P454" i="6"/>
  <c r="P440" i="6"/>
  <c r="P438" i="6"/>
  <c r="P424" i="6"/>
  <c r="P422" i="6"/>
  <c r="P408" i="6"/>
  <c r="P406" i="6"/>
  <c r="P580" i="6"/>
  <c r="P491" i="6"/>
  <c r="R491" i="6" s="1"/>
  <c r="S491" i="6" s="1"/>
  <c r="P475" i="6"/>
  <c r="P459" i="6"/>
  <c r="P443" i="6"/>
  <c r="P427" i="6"/>
  <c r="R427" i="6" s="1"/>
  <c r="S427" i="6" s="1"/>
  <c r="P411" i="6"/>
  <c r="P395" i="6"/>
  <c r="P478" i="6"/>
  <c r="P432" i="6"/>
  <c r="P414" i="6"/>
  <c r="P578" i="6"/>
  <c r="P494" i="6"/>
  <c r="P448" i="6"/>
  <c r="P430" i="6"/>
  <c r="P235" i="6"/>
  <c r="P227" i="6"/>
  <c r="P219" i="6"/>
  <c r="P217" i="6"/>
  <c r="P215" i="6"/>
  <c r="P213" i="6"/>
  <c r="P211" i="6"/>
  <c r="P209" i="6"/>
  <c r="P207" i="6"/>
  <c r="P205" i="6"/>
  <c r="P203" i="6"/>
  <c r="P201" i="6"/>
  <c r="P199" i="6"/>
  <c r="P197" i="6"/>
  <c r="P195" i="6"/>
  <c r="P193" i="6"/>
  <c r="P191" i="6"/>
  <c r="P189" i="6"/>
  <c r="P187" i="6"/>
  <c r="P185" i="6"/>
  <c r="P183" i="6"/>
  <c r="P181" i="6"/>
  <c r="P179" i="6"/>
  <c r="P177" i="6"/>
  <c r="P175" i="6"/>
  <c r="P173" i="6"/>
  <c r="P171" i="6"/>
  <c r="P169" i="6"/>
  <c r="P167" i="6"/>
  <c r="P165" i="6"/>
  <c r="P163" i="6"/>
  <c r="P161" i="6"/>
  <c r="P159" i="6"/>
  <c r="P157" i="6"/>
  <c r="P155" i="6"/>
  <c r="P153" i="6"/>
  <c r="P151" i="6"/>
  <c r="P149" i="6"/>
  <c r="P147" i="6"/>
  <c r="P145" i="6"/>
  <c r="P143" i="6"/>
  <c r="P141" i="6"/>
  <c r="P139" i="6"/>
  <c r="P137" i="6"/>
  <c r="P135" i="6"/>
  <c r="R135" i="6" s="1"/>
  <c r="S135" i="6" s="1"/>
  <c r="P133" i="6"/>
  <c r="P131" i="6"/>
  <c r="P129" i="6"/>
  <c r="P127" i="6"/>
  <c r="P125" i="6"/>
  <c r="P123" i="6"/>
  <c r="P497" i="6"/>
  <c r="P464" i="6"/>
  <c r="P446" i="6"/>
  <c r="P400" i="6"/>
  <c r="P24" i="6"/>
  <c r="P26" i="6"/>
  <c r="P28" i="6"/>
  <c r="P34" i="6"/>
  <c r="P39" i="6"/>
  <c r="P43" i="6"/>
  <c r="P49" i="6"/>
  <c r="P54" i="6"/>
  <c r="P58" i="6"/>
  <c r="P91" i="6"/>
  <c r="P92" i="6"/>
  <c r="P99" i="6"/>
  <c r="P100" i="6"/>
  <c r="P107" i="6"/>
  <c r="P108" i="6"/>
  <c r="P115" i="6"/>
  <c r="P116" i="6"/>
  <c r="P124" i="6"/>
  <c r="P132" i="6"/>
  <c r="P140" i="6"/>
  <c r="P148" i="6"/>
  <c r="P156" i="6"/>
  <c r="P164" i="6"/>
  <c r="P172" i="6"/>
  <c r="P180" i="6"/>
  <c r="P188" i="6"/>
  <c r="P196" i="6"/>
  <c r="P204" i="6"/>
  <c r="P212" i="6"/>
  <c r="P231" i="6"/>
  <c r="P233" i="6"/>
  <c r="P237" i="6"/>
  <c r="P253" i="6"/>
  <c r="P269" i="6"/>
  <c r="P285" i="6"/>
  <c r="P301" i="6"/>
  <c r="P317" i="6"/>
  <c r="P333" i="6"/>
  <c r="P349" i="6"/>
  <c r="P365" i="6"/>
  <c r="P381" i="6"/>
  <c r="P413" i="6"/>
  <c r="P449" i="6"/>
  <c r="P462" i="6"/>
  <c r="P506" i="6"/>
  <c r="Y24" i="6"/>
  <c r="Z44" i="6" a="1"/>
  <c r="Z44" i="6" s="1"/>
  <c r="AA44" i="6" s="1"/>
  <c r="AC44" i="6" s="1"/>
  <c r="P61" i="6"/>
  <c r="R61" i="6" s="1"/>
  <c r="S61" i="6" s="1"/>
  <c r="P63" i="6"/>
  <c r="P65" i="6"/>
  <c r="R65" i="6" s="1"/>
  <c r="S65" i="6" s="1"/>
  <c r="P67" i="6"/>
  <c r="P69" i="6"/>
  <c r="R69" i="6" s="1"/>
  <c r="S69" i="6" s="1"/>
  <c r="P89" i="6"/>
  <c r="P90" i="6"/>
  <c r="P97" i="6"/>
  <c r="P98" i="6"/>
  <c r="P105" i="6"/>
  <c r="P106" i="6"/>
  <c r="P113" i="6"/>
  <c r="P114" i="6"/>
  <c r="P121" i="6"/>
  <c r="R120" i="6" s="1"/>
  <c r="S120" i="6" s="1"/>
  <c r="P122" i="6"/>
  <c r="P130" i="6"/>
  <c r="P138" i="6"/>
  <c r="P146" i="6"/>
  <c r="P154" i="6"/>
  <c r="P162" i="6"/>
  <c r="P170" i="6"/>
  <c r="P178" i="6"/>
  <c r="P186" i="6"/>
  <c r="P194" i="6"/>
  <c r="P202" i="6"/>
  <c r="P210" i="6"/>
  <c r="P218" i="6"/>
  <c r="P224" i="6"/>
  <c r="P239" i="6"/>
  <c r="P241" i="6"/>
  <c r="P257" i="6"/>
  <c r="P273" i="6"/>
  <c r="P289" i="6"/>
  <c r="P305" i="6"/>
  <c r="P321" i="6"/>
  <c r="P337" i="6"/>
  <c r="P353" i="6"/>
  <c r="P369" i="6"/>
  <c r="P385" i="6"/>
  <c r="P398" i="6"/>
  <c r="P457" i="6"/>
  <c r="P226" i="6"/>
  <c r="P234" i="6"/>
  <c r="R234" i="6" s="1"/>
  <c r="S234" i="6" s="1"/>
  <c r="P244" i="6"/>
  <c r="R244" i="6" s="1"/>
  <c r="S244" i="6" s="1"/>
  <c r="P248" i="6"/>
  <c r="P252" i="6"/>
  <c r="P256" i="6"/>
  <c r="R256" i="6" s="1"/>
  <c r="S256" i="6" s="1"/>
  <c r="P260" i="6"/>
  <c r="P264" i="6"/>
  <c r="P268" i="6"/>
  <c r="P272" i="6"/>
  <c r="P276" i="6"/>
  <c r="P280" i="6"/>
  <c r="R280" i="6" s="1"/>
  <c r="S280" i="6" s="1"/>
  <c r="P284" i="6"/>
  <c r="P288" i="6"/>
  <c r="P292" i="6"/>
  <c r="P296" i="6"/>
  <c r="P300" i="6"/>
  <c r="P304" i="6"/>
  <c r="P308" i="6"/>
  <c r="R308" i="6" s="1"/>
  <c r="S308" i="6" s="1"/>
  <c r="P312" i="6"/>
  <c r="P316" i="6"/>
  <c r="P320" i="6"/>
  <c r="R320" i="6" s="1"/>
  <c r="S320" i="6" s="1"/>
  <c r="P324" i="6"/>
  <c r="P328" i="6"/>
  <c r="P332" i="6"/>
  <c r="P336" i="6"/>
  <c r="P340" i="6"/>
  <c r="P344" i="6"/>
  <c r="R344" i="6" s="1"/>
  <c r="S344" i="6" s="1"/>
  <c r="P348" i="6"/>
  <c r="P352" i="6"/>
  <c r="P356" i="6"/>
  <c r="P360" i="6"/>
  <c r="P364" i="6"/>
  <c r="P368" i="6"/>
  <c r="P372" i="6"/>
  <c r="R372" i="6" s="1"/>
  <c r="S372" i="6" s="1"/>
  <c r="P376" i="6"/>
  <c r="P380" i="6"/>
  <c r="P384" i="6"/>
  <c r="R384" i="6" s="1"/>
  <c r="S384" i="6" s="1"/>
  <c r="P387" i="6"/>
  <c r="P397" i="6"/>
  <c r="P433" i="6"/>
  <c r="P441" i="6"/>
  <c r="P461" i="6"/>
  <c r="P499" i="6"/>
  <c r="P646" i="6"/>
  <c r="P220" i="6"/>
  <c r="P228" i="6"/>
  <c r="P236" i="6"/>
  <c r="R236" i="6" s="1"/>
  <c r="S236" i="6" s="1"/>
  <c r="P243" i="6"/>
  <c r="P247" i="6"/>
  <c r="P251" i="6"/>
  <c r="P255" i="6"/>
  <c r="P259" i="6"/>
  <c r="P263" i="6"/>
  <c r="P267" i="6"/>
  <c r="P271" i="6"/>
  <c r="P275" i="6"/>
  <c r="P279" i="6"/>
  <c r="P283" i="6"/>
  <c r="P287" i="6"/>
  <c r="P291" i="6"/>
  <c r="P295" i="6"/>
  <c r="P299" i="6"/>
  <c r="P303" i="6"/>
  <c r="P307" i="6"/>
  <c r="P311" i="6"/>
  <c r="P315" i="6"/>
  <c r="P319" i="6"/>
  <c r="P323" i="6"/>
  <c r="P327" i="6"/>
  <c r="P331" i="6"/>
  <c r="P335" i="6"/>
  <c r="P339" i="6"/>
  <c r="P343" i="6"/>
  <c r="P347" i="6"/>
  <c r="P351" i="6"/>
  <c r="P355" i="6"/>
  <c r="P359" i="6"/>
  <c r="P363" i="6"/>
  <c r="P367" i="6"/>
  <c r="P371" i="6"/>
  <c r="P375" i="6"/>
  <c r="P379" i="6"/>
  <c r="P383" i="6"/>
  <c r="P392" i="6"/>
  <c r="P417" i="6"/>
  <c r="R417" i="6" s="1"/>
  <c r="S417" i="6" s="1"/>
  <c r="P425" i="6"/>
  <c r="P445" i="6"/>
  <c r="P481" i="6"/>
  <c r="P489" i="6"/>
  <c r="P538" i="6"/>
  <c r="R538" i="6" s="1"/>
  <c r="S538" i="6" s="1"/>
  <c r="P222" i="6"/>
  <c r="R222" i="6" s="1"/>
  <c r="S222" i="6" s="1"/>
  <c r="P230" i="6"/>
  <c r="P238" i="6"/>
  <c r="P242" i="6"/>
  <c r="P246" i="6"/>
  <c r="P250" i="6"/>
  <c r="P254" i="6"/>
  <c r="P258" i="6"/>
  <c r="P262" i="6"/>
  <c r="P266" i="6"/>
  <c r="P270" i="6"/>
  <c r="P274" i="6"/>
  <c r="P278" i="6"/>
  <c r="P282" i="6"/>
  <c r="P286" i="6"/>
  <c r="P290" i="6"/>
  <c r="P294" i="6"/>
  <c r="P298" i="6"/>
  <c r="P302" i="6"/>
  <c r="P306" i="6"/>
  <c r="P310" i="6"/>
  <c r="P314" i="6"/>
  <c r="P318" i="6"/>
  <c r="P322" i="6"/>
  <c r="P326" i="6"/>
  <c r="P330" i="6"/>
  <c r="P334" i="6"/>
  <c r="P338" i="6"/>
  <c r="P342" i="6"/>
  <c r="P346" i="6"/>
  <c r="P350" i="6"/>
  <c r="P354" i="6"/>
  <c r="P358" i="6"/>
  <c r="P362" i="6"/>
  <c r="P366" i="6"/>
  <c r="P370" i="6"/>
  <c r="P374" i="6"/>
  <c r="P378" i="6"/>
  <c r="P382" i="6"/>
  <c r="P386" i="6"/>
  <c r="P389" i="6"/>
  <c r="P401" i="6"/>
  <c r="P409" i="6"/>
  <c r="P429" i="6"/>
  <c r="P465" i="6"/>
  <c r="P473" i="6"/>
  <c r="P493" i="6"/>
  <c r="P522" i="6"/>
  <c r="P552" i="6"/>
  <c r="P554" i="6"/>
  <c r="P394" i="6"/>
  <c r="P407" i="6"/>
  <c r="P423" i="6"/>
  <c r="P439" i="6"/>
  <c r="P455" i="6"/>
  <c r="P471" i="6"/>
  <c r="P487" i="6"/>
  <c r="P496" i="6"/>
  <c r="P512" i="6"/>
  <c r="P528" i="6"/>
  <c r="P582" i="6"/>
  <c r="P618" i="6"/>
  <c r="P388" i="6"/>
  <c r="P405" i="6"/>
  <c r="R405" i="6" s="1"/>
  <c r="S405" i="6" s="1"/>
  <c r="P421" i="6"/>
  <c r="P437" i="6"/>
  <c r="P453" i="6"/>
  <c r="P469" i="6"/>
  <c r="R469" i="6" s="1"/>
  <c r="S469" i="6" s="1"/>
  <c r="P485" i="6"/>
  <c r="P498" i="6"/>
  <c r="P514" i="6"/>
  <c r="R514" i="6" s="1"/>
  <c r="S514" i="6" s="1"/>
  <c r="P530" i="6"/>
  <c r="P544" i="6"/>
  <c r="P546" i="6"/>
  <c r="P560" i="6"/>
  <c r="P562" i="6"/>
  <c r="P586" i="6"/>
  <c r="P628" i="6"/>
  <c r="P390" i="6"/>
  <c r="P399" i="6"/>
  <c r="P415" i="6"/>
  <c r="P431" i="6"/>
  <c r="P447" i="6"/>
  <c r="P463" i="6"/>
  <c r="P479" i="6"/>
  <c r="R479" i="6" s="1"/>
  <c r="S479" i="6" s="1"/>
  <c r="P504" i="6"/>
  <c r="P520" i="6"/>
  <c r="P536" i="6"/>
  <c r="P502" i="6"/>
  <c r="P510" i="6"/>
  <c r="P518" i="6"/>
  <c r="P526" i="6"/>
  <c r="P534" i="6"/>
  <c r="P540" i="6"/>
  <c r="P548" i="6"/>
  <c r="P556" i="6"/>
  <c r="P564" i="6"/>
  <c r="P594" i="6"/>
  <c r="P500" i="6"/>
  <c r="P508" i="6"/>
  <c r="P516" i="6"/>
  <c r="P524" i="6"/>
  <c r="P532" i="6"/>
  <c r="P542" i="6"/>
  <c r="P550" i="6"/>
  <c r="P558" i="6"/>
  <c r="P566" i="6"/>
  <c r="P576" i="6"/>
  <c r="P658" i="6"/>
  <c r="P749" i="6"/>
  <c r="P604" i="6"/>
  <c r="P622" i="6"/>
  <c r="R622" i="6" s="1"/>
  <c r="S622" i="6" s="1"/>
  <c r="P596" i="6"/>
  <c r="P614" i="6"/>
  <c r="P626" i="6"/>
  <c r="P650" i="6"/>
  <c r="P741" i="6"/>
  <c r="P765" i="6"/>
  <c r="P786" i="6"/>
  <c r="P574" i="6"/>
  <c r="P590" i="6"/>
  <c r="R590" i="6" s="1"/>
  <c r="S590" i="6" s="1"/>
  <c r="P636" i="6"/>
  <c r="P654" i="6"/>
  <c r="P602" i="6"/>
  <c r="P634" i="6"/>
  <c r="P754" i="6"/>
  <c r="P762" i="6"/>
  <c r="P770" i="6"/>
  <c r="P782" i="6"/>
  <c r="P790" i="6"/>
  <c r="P610" i="6"/>
  <c r="P642" i="6"/>
  <c r="P738" i="6"/>
  <c r="P750" i="6"/>
  <c r="P758" i="6"/>
  <c r="P766" i="6"/>
  <c r="P773" i="6"/>
  <c r="P781" i="6"/>
  <c r="P794" i="6"/>
  <c r="P742" i="6"/>
  <c r="P746" i="6"/>
  <c r="P757" i="6"/>
  <c r="P774" i="6"/>
  <c r="P778" i="6"/>
  <c r="P789" i="6"/>
  <c r="P743" i="6"/>
  <c r="P751" i="6"/>
  <c r="P759" i="6"/>
  <c r="P767" i="6"/>
  <c r="P775" i="6"/>
  <c r="P783" i="6"/>
  <c r="P791" i="6"/>
  <c r="P745" i="6"/>
  <c r="P753" i="6"/>
  <c r="P761" i="6"/>
  <c r="P769" i="6"/>
  <c r="P777" i="6"/>
  <c r="P785" i="6"/>
  <c r="P793" i="6"/>
  <c r="P739" i="6"/>
  <c r="R739" i="6" s="1"/>
  <c r="S739" i="6" s="1"/>
  <c r="P747" i="6"/>
  <c r="P755" i="6"/>
  <c r="P763" i="6"/>
  <c r="P771" i="6"/>
  <c r="P779" i="6"/>
  <c r="P787" i="6"/>
  <c r="R763" i="6" l="1"/>
  <c r="S763" i="6" s="1"/>
  <c r="R783" i="6"/>
  <c r="S783" i="6" s="1"/>
  <c r="R650" i="6"/>
  <c r="S650" i="6" s="1"/>
  <c r="R260" i="6"/>
  <c r="S260" i="6" s="1"/>
  <c r="R36" i="6"/>
  <c r="S36" i="6" s="1"/>
  <c r="R13" i="6"/>
  <c r="S13" i="6" s="1"/>
  <c r="R751" i="6"/>
  <c r="S751" i="6" s="1"/>
  <c r="R642" i="6"/>
  <c r="S642" i="6" s="1"/>
  <c r="R542" i="6"/>
  <c r="S542" i="6" s="1"/>
  <c r="R526" i="6"/>
  <c r="S526" i="6" s="1"/>
  <c r="R324" i="6"/>
  <c r="S324" i="6" s="1"/>
  <c r="R604" i="6"/>
  <c r="S604" i="6" s="1"/>
  <c r="R566" i="6"/>
  <c r="S566" i="6" s="1"/>
  <c r="R518" i="6"/>
  <c r="S518" i="6" s="1"/>
  <c r="R447" i="6"/>
  <c r="S447" i="6" s="1"/>
  <c r="R390" i="6"/>
  <c r="S390" i="6" s="1"/>
  <c r="R453" i="6"/>
  <c r="S453" i="6" s="1"/>
  <c r="R26" i="6"/>
  <c r="S26" i="6" s="1"/>
  <c r="R520" i="6"/>
  <c r="S520" i="6" s="1"/>
  <c r="R512" i="6"/>
  <c r="S512" i="6" s="1"/>
  <c r="R493" i="6"/>
  <c r="S493" i="6" s="1"/>
  <c r="R188" i="6"/>
  <c r="S188" i="6" s="1"/>
  <c r="R156" i="6"/>
  <c r="S156" i="6" s="1"/>
  <c r="R124" i="6"/>
  <c r="S124" i="6" s="1"/>
  <c r="R43" i="6"/>
  <c r="S43" i="6" s="1"/>
  <c r="R779" i="6"/>
  <c r="S779" i="6" s="1"/>
  <c r="R747" i="6"/>
  <c r="S747" i="6" s="1"/>
  <c r="R767" i="6"/>
  <c r="S767" i="6" s="1"/>
  <c r="R558" i="6"/>
  <c r="S558" i="6" s="1"/>
  <c r="R510" i="6"/>
  <c r="S510" i="6" s="1"/>
  <c r="R431" i="6"/>
  <c r="S431" i="6" s="1"/>
  <c r="R628" i="6"/>
  <c r="S628" i="6" s="1"/>
  <c r="R546" i="6"/>
  <c r="S546" i="6" s="1"/>
  <c r="R39" i="6"/>
  <c r="S39" i="6" s="1"/>
  <c r="R24" i="6"/>
  <c r="S24" i="6" s="1"/>
  <c r="R136" i="6"/>
  <c r="S136" i="6" s="1"/>
  <c r="R152" i="6"/>
  <c r="S152" i="6" s="1"/>
  <c r="R82" i="6"/>
  <c r="S82" i="6" s="1"/>
  <c r="R74" i="6"/>
  <c r="S74" i="6" s="1"/>
  <c r="R47" i="6"/>
  <c r="S47" i="6" s="1"/>
  <c r="R103" i="6"/>
  <c r="S103" i="6" s="1"/>
  <c r="R20" i="6"/>
  <c r="S20" i="6" s="1"/>
  <c r="R7" i="6"/>
  <c r="S7" i="6" s="1"/>
  <c r="R19" i="6"/>
  <c r="S19" i="6" s="1"/>
  <c r="R415" i="6"/>
  <c r="S415" i="6" s="1"/>
  <c r="R582" i="6"/>
  <c r="S582" i="6" s="1"/>
  <c r="R239" i="6"/>
  <c r="S239" i="6" s="1"/>
  <c r="R204" i="6"/>
  <c r="S204" i="6" s="1"/>
  <c r="R172" i="6"/>
  <c r="S172" i="6" s="1"/>
  <c r="R140" i="6"/>
  <c r="S140" i="6" s="1"/>
  <c r="R34" i="6"/>
  <c r="S34" i="6" s="1"/>
  <c r="R46" i="6"/>
  <c r="S46" i="6" s="1"/>
  <c r="R56" i="6"/>
  <c r="S56" i="6" s="1"/>
  <c r="R40" i="6"/>
  <c r="S40" i="6" s="1"/>
  <c r="R14" i="6"/>
  <c r="S14" i="6" s="1"/>
  <c r="R16" i="6"/>
  <c r="S16" i="6" s="1"/>
  <c r="R596" i="6"/>
  <c r="S596" i="6" s="1"/>
  <c r="R658" i="6"/>
  <c r="S658" i="6" s="1"/>
  <c r="R516" i="6"/>
  <c r="S516" i="6" s="1"/>
  <c r="R564" i="6"/>
  <c r="S564" i="6" s="1"/>
  <c r="R328" i="6"/>
  <c r="S328" i="6" s="1"/>
  <c r="R264" i="6"/>
  <c r="S264" i="6" s="1"/>
  <c r="R457" i="6"/>
  <c r="S457" i="6" s="1"/>
  <c r="R29" i="6"/>
  <c r="S29" i="6" s="1"/>
  <c r="R41" i="6"/>
  <c r="S41" i="6" s="1"/>
  <c r="R35" i="6"/>
  <c r="S35" i="6" s="1"/>
  <c r="R218" i="6"/>
  <c r="S218" i="6" s="1"/>
  <c r="R186" i="6"/>
  <c r="S186" i="6" s="1"/>
  <c r="R119" i="6"/>
  <c r="S119" i="6" s="1"/>
  <c r="R55" i="6"/>
  <c r="S55" i="6" s="1"/>
  <c r="R556" i="6"/>
  <c r="S556" i="6" s="1"/>
  <c r="R407" i="6"/>
  <c r="S407" i="6" s="1"/>
  <c r="R425" i="6"/>
  <c r="S425" i="6" s="1"/>
  <c r="R340" i="6"/>
  <c r="S340" i="6" s="1"/>
  <c r="R276" i="6"/>
  <c r="S276" i="6" s="1"/>
  <c r="R224" i="6"/>
  <c r="S224" i="6" s="1"/>
  <c r="R67" i="6"/>
  <c r="S67" i="6" s="1"/>
  <c r="R54" i="6"/>
  <c r="S54" i="6" s="1"/>
  <c r="R598" i="6"/>
  <c r="S598" i="6" s="1"/>
  <c r="R677" i="6"/>
  <c r="S677" i="6" s="1"/>
  <c r="R722" i="6"/>
  <c r="S722" i="6" s="1"/>
  <c r="R93" i="6"/>
  <c r="S93" i="6" s="1"/>
  <c r="R95" i="6"/>
  <c r="S95" i="6" s="1"/>
  <c r="R18" i="6"/>
  <c r="S18" i="6" s="1"/>
  <c r="R743" i="6"/>
  <c r="S743" i="6" s="1"/>
  <c r="R471" i="6"/>
  <c r="S471" i="6" s="1"/>
  <c r="R532" i="6"/>
  <c r="S532" i="6" s="1"/>
  <c r="R489" i="6"/>
  <c r="S489" i="6" s="1"/>
  <c r="R336" i="6"/>
  <c r="S336" i="6" s="1"/>
  <c r="R49" i="6"/>
  <c r="S49" i="6" s="1"/>
  <c r="R28" i="6"/>
  <c r="S28" i="6" s="1"/>
  <c r="R755" i="6"/>
  <c r="S755" i="6" s="1"/>
  <c r="R775" i="6"/>
  <c r="S775" i="6" s="1"/>
  <c r="R508" i="6"/>
  <c r="S508" i="6" s="1"/>
  <c r="R429" i="6"/>
  <c r="S429" i="6" s="1"/>
  <c r="R626" i="6"/>
  <c r="S626" i="6" s="1"/>
  <c r="R500" i="6"/>
  <c r="S500" i="6" s="1"/>
  <c r="R548" i="6"/>
  <c r="S548" i="6" s="1"/>
  <c r="R220" i="6"/>
  <c r="S220" i="6" s="1"/>
  <c r="R272" i="6"/>
  <c r="S272" i="6" s="1"/>
  <c r="R413" i="6"/>
  <c r="S413" i="6" s="1"/>
  <c r="R771" i="6"/>
  <c r="S771" i="6" s="1"/>
  <c r="R636" i="6"/>
  <c r="S636" i="6" s="1"/>
  <c r="R524" i="6"/>
  <c r="S524" i="6" s="1"/>
  <c r="R594" i="6"/>
  <c r="S594" i="6" s="1"/>
  <c r="R540" i="6"/>
  <c r="S540" i="6" s="1"/>
  <c r="R439" i="6"/>
  <c r="S439" i="6" s="1"/>
  <c r="R143" i="6"/>
  <c r="S143" i="6" s="1"/>
  <c r="R151" i="6"/>
  <c r="S151" i="6" s="1"/>
  <c r="R191" i="6"/>
  <c r="S191" i="6" s="1"/>
  <c r="R117" i="6"/>
  <c r="S117" i="6" s="1"/>
  <c r="R550" i="6"/>
  <c r="S550" i="6" s="1"/>
  <c r="R534" i="6"/>
  <c r="S534" i="6" s="1"/>
  <c r="R502" i="6"/>
  <c r="S502" i="6" s="1"/>
  <c r="R586" i="6"/>
  <c r="S586" i="6" s="1"/>
  <c r="R437" i="6"/>
  <c r="S437" i="6" s="1"/>
  <c r="R496" i="6"/>
  <c r="S496" i="6" s="1"/>
  <c r="R554" i="6"/>
  <c r="S554" i="6" s="1"/>
  <c r="R401" i="6"/>
  <c r="S401" i="6" s="1"/>
  <c r="R481" i="6"/>
  <c r="S481" i="6" s="1"/>
  <c r="R433" i="6"/>
  <c r="S433" i="6" s="1"/>
  <c r="R348" i="6"/>
  <c r="S348" i="6" s="1"/>
  <c r="R332" i="6"/>
  <c r="S332" i="6" s="1"/>
  <c r="R284" i="6"/>
  <c r="S284" i="6" s="1"/>
  <c r="R104" i="6"/>
  <c r="S104" i="6" s="1"/>
  <c r="R77" i="6"/>
  <c r="S77" i="6" s="1"/>
  <c r="R22" i="6"/>
  <c r="S22" i="6" s="1"/>
  <c r="R399" i="6"/>
  <c r="S399" i="6" s="1"/>
  <c r="R485" i="6"/>
  <c r="S485" i="6" s="1"/>
  <c r="R421" i="6"/>
  <c r="S421" i="6" s="1"/>
  <c r="R465" i="6"/>
  <c r="S465" i="6" s="1"/>
  <c r="R374" i="6"/>
  <c r="S374" i="6" s="1"/>
  <c r="R358" i="6"/>
  <c r="S358" i="6" s="1"/>
  <c r="R342" i="6"/>
  <c r="S342" i="6" s="1"/>
  <c r="R326" i="6"/>
  <c r="S326" i="6" s="1"/>
  <c r="R310" i="6"/>
  <c r="S310" i="6" s="1"/>
  <c r="R294" i="6"/>
  <c r="S294" i="6" s="1"/>
  <c r="R278" i="6"/>
  <c r="S278" i="6" s="1"/>
  <c r="R262" i="6"/>
  <c r="S262" i="6" s="1"/>
  <c r="R246" i="6"/>
  <c r="S246" i="6" s="1"/>
  <c r="R383" i="6"/>
  <c r="S383" i="6" s="1"/>
  <c r="R367" i="6"/>
  <c r="S367" i="6" s="1"/>
  <c r="R351" i="6"/>
  <c r="S351" i="6" s="1"/>
  <c r="R335" i="6"/>
  <c r="S335" i="6" s="1"/>
  <c r="R319" i="6"/>
  <c r="S319" i="6" s="1"/>
  <c r="R303" i="6"/>
  <c r="S303" i="6" s="1"/>
  <c r="R287" i="6"/>
  <c r="S287" i="6" s="1"/>
  <c r="R271" i="6"/>
  <c r="S271" i="6" s="1"/>
  <c r="R255" i="6"/>
  <c r="S255" i="6" s="1"/>
  <c r="R202" i="6"/>
  <c r="S202" i="6" s="1"/>
  <c r="R170" i="6"/>
  <c r="S170" i="6" s="1"/>
  <c r="R138" i="6"/>
  <c r="S138" i="6" s="1"/>
  <c r="R127" i="6"/>
  <c r="S127" i="6" s="1"/>
  <c r="R84" i="6"/>
  <c r="S84" i="6" s="1"/>
  <c r="R76" i="6"/>
  <c r="S76" i="6" s="1"/>
  <c r="R37" i="6"/>
  <c r="S37" i="6" s="1"/>
  <c r="R17" i="6"/>
  <c r="S17" i="6" s="1"/>
  <c r="R44" i="6"/>
  <c r="S44" i="6" s="1"/>
  <c r="R10" i="6"/>
  <c r="S10" i="6" s="1"/>
  <c r="R108" i="6"/>
  <c r="S108" i="6" s="1"/>
  <c r="R12" i="6"/>
  <c r="S12" i="6" s="1"/>
  <c r="R15" i="6"/>
  <c r="S15" i="6" s="1"/>
  <c r="R793" i="6"/>
  <c r="S793" i="6" s="1"/>
  <c r="R761" i="6"/>
  <c r="S761" i="6" s="1"/>
  <c r="R781" i="6"/>
  <c r="S781" i="6" s="1"/>
  <c r="R754" i="6"/>
  <c r="S754" i="6" s="1"/>
  <c r="R370" i="6"/>
  <c r="S370" i="6" s="1"/>
  <c r="R354" i="6"/>
  <c r="S354" i="6" s="1"/>
  <c r="R338" i="6"/>
  <c r="S338" i="6" s="1"/>
  <c r="R322" i="6"/>
  <c r="S322" i="6" s="1"/>
  <c r="R306" i="6"/>
  <c r="S306" i="6" s="1"/>
  <c r="R290" i="6"/>
  <c r="S290" i="6" s="1"/>
  <c r="R274" i="6"/>
  <c r="S274" i="6" s="1"/>
  <c r="R258" i="6"/>
  <c r="S258" i="6" s="1"/>
  <c r="R242" i="6"/>
  <c r="S242" i="6" s="1"/>
  <c r="R379" i="6"/>
  <c r="S379" i="6" s="1"/>
  <c r="R363" i="6"/>
  <c r="S363" i="6" s="1"/>
  <c r="R347" i="6"/>
  <c r="S347" i="6" s="1"/>
  <c r="R331" i="6"/>
  <c r="S331" i="6" s="1"/>
  <c r="R315" i="6"/>
  <c r="S315" i="6" s="1"/>
  <c r="R299" i="6"/>
  <c r="S299" i="6" s="1"/>
  <c r="R97" i="6"/>
  <c r="S97" i="6" s="1"/>
  <c r="R449" i="6"/>
  <c r="S449" i="6" s="1"/>
  <c r="R100" i="6"/>
  <c r="S100" i="6" s="1"/>
  <c r="R91" i="6"/>
  <c r="S91" i="6" s="1"/>
  <c r="R125" i="6"/>
  <c r="S125" i="6" s="1"/>
  <c r="R133" i="6"/>
  <c r="S133" i="6" s="1"/>
  <c r="R157" i="6"/>
  <c r="S157" i="6" s="1"/>
  <c r="R165" i="6"/>
  <c r="S165" i="6" s="1"/>
  <c r="R189" i="6"/>
  <c r="S189" i="6" s="1"/>
  <c r="R197" i="6"/>
  <c r="S197" i="6" s="1"/>
  <c r="R443" i="6"/>
  <c r="S443" i="6" s="1"/>
  <c r="R580" i="6"/>
  <c r="S580" i="6" s="1"/>
  <c r="R570" i="6"/>
  <c r="S570" i="6" s="1"/>
  <c r="R118" i="6"/>
  <c r="S118" i="6" s="1"/>
  <c r="R102" i="6"/>
  <c r="S102" i="6" s="1"/>
  <c r="R52" i="6"/>
  <c r="S52" i="6" s="1"/>
  <c r="R32" i="6"/>
  <c r="S32" i="6" s="1"/>
  <c r="R8" i="6"/>
  <c r="S8" i="6" s="1"/>
  <c r="R154" i="6"/>
  <c r="S154" i="6" s="1"/>
  <c r="R122" i="6"/>
  <c r="S122" i="6" s="1"/>
  <c r="R106" i="6"/>
  <c r="S106" i="6" s="1"/>
  <c r="R229" i="6"/>
  <c r="S229" i="6" s="1"/>
  <c r="R206" i="6"/>
  <c r="S206" i="6" s="1"/>
  <c r="R174" i="6"/>
  <c r="S174" i="6" s="1"/>
  <c r="R142" i="6"/>
  <c r="S142" i="6" s="1"/>
  <c r="R51" i="6"/>
  <c r="S51" i="6" s="1"/>
  <c r="R87" i="6"/>
  <c r="S87" i="6" s="1"/>
  <c r="R71" i="6"/>
  <c r="S71" i="6" s="1"/>
  <c r="R9" i="6"/>
  <c r="S9" i="6" s="1"/>
  <c r="R11" i="6"/>
  <c r="S11" i="6" s="1"/>
  <c r="R774" i="6"/>
  <c r="S774" i="6" s="1"/>
  <c r="R782" i="6"/>
  <c r="S782" i="6" s="1"/>
  <c r="R745" i="6"/>
  <c r="S745" i="6" s="1"/>
  <c r="R757" i="6"/>
  <c r="S757" i="6" s="1"/>
  <c r="R741" i="6"/>
  <c r="S741" i="6" s="1"/>
  <c r="R375" i="6"/>
  <c r="S375" i="6" s="1"/>
  <c r="R343" i="6"/>
  <c r="S343" i="6" s="1"/>
  <c r="R327" i="6"/>
  <c r="S327" i="6" s="1"/>
  <c r="R311" i="6"/>
  <c r="S311" i="6" s="1"/>
  <c r="R295" i="6"/>
  <c r="S295" i="6" s="1"/>
  <c r="R279" i="6"/>
  <c r="S279" i="6" s="1"/>
  <c r="R263" i="6"/>
  <c r="S263" i="6" s="1"/>
  <c r="R247" i="6"/>
  <c r="S247" i="6" s="1"/>
  <c r="R352" i="6"/>
  <c r="S352" i="6" s="1"/>
  <c r="R288" i="6"/>
  <c r="S288" i="6" s="1"/>
  <c r="R317" i="6"/>
  <c r="S317" i="6" s="1"/>
  <c r="R231" i="6"/>
  <c r="S231" i="6" s="1"/>
  <c r="R377" i="6"/>
  <c r="S377" i="6" s="1"/>
  <c r="R785" i="6"/>
  <c r="S785" i="6" s="1"/>
  <c r="R765" i="6"/>
  <c r="S765" i="6" s="1"/>
  <c r="R777" i="6"/>
  <c r="S777" i="6" s="1"/>
  <c r="R359" i="6"/>
  <c r="S359" i="6" s="1"/>
  <c r="R769" i="6"/>
  <c r="S769" i="6" s="1"/>
  <c r="R789" i="6"/>
  <c r="S789" i="6" s="1"/>
  <c r="R750" i="6"/>
  <c r="S750" i="6" s="1"/>
  <c r="R230" i="6"/>
  <c r="S230" i="6" s="1"/>
  <c r="R268" i="6"/>
  <c r="S268" i="6" s="1"/>
  <c r="R369" i="6"/>
  <c r="S369" i="6" s="1"/>
  <c r="R305" i="6"/>
  <c r="S305" i="6" s="1"/>
  <c r="R241" i="6"/>
  <c r="S241" i="6" s="1"/>
  <c r="R210" i="6"/>
  <c r="S210" i="6" s="1"/>
  <c r="R178" i="6"/>
  <c r="S178" i="6" s="1"/>
  <c r="R146" i="6"/>
  <c r="S146" i="6" s="1"/>
  <c r="R301" i="6"/>
  <c r="S301" i="6" s="1"/>
  <c r="R88" i="6"/>
  <c r="S88" i="6" s="1"/>
  <c r="R389" i="6"/>
  <c r="S389" i="6" s="1"/>
  <c r="R63" i="6"/>
  <c r="S63" i="6" s="1"/>
  <c r="R62" i="6"/>
  <c r="S62" i="6" s="1"/>
  <c r="R58" i="6"/>
  <c r="S58" i="6" s="1"/>
  <c r="R57" i="6"/>
  <c r="S57" i="6" s="1"/>
  <c r="R283" i="6"/>
  <c r="S283" i="6" s="1"/>
  <c r="R267" i="6"/>
  <c r="S267" i="6" s="1"/>
  <c r="R251" i="6"/>
  <c r="S251" i="6" s="1"/>
  <c r="R228" i="6"/>
  <c r="S228" i="6" s="1"/>
  <c r="R387" i="6"/>
  <c r="S387" i="6" s="1"/>
  <c r="R356" i="6"/>
  <c r="S356" i="6" s="1"/>
  <c r="R292" i="6"/>
  <c r="S292" i="6" s="1"/>
  <c r="R398" i="6"/>
  <c r="S398" i="6" s="1"/>
  <c r="R194" i="6"/>
  <c r="S194" i="6" s="1"/>
  <c r="R162" i="6"/>
  <c r="S162" i="6" s="1"/>
  <c r="R130" i="6"/>
  <c r="S130" i="6" s="1"/>
  <c r="R114" i="6"/>
  <c r="S114" i="6" s="1"/>
  <c r="R462" i="6"/>
  <c r="S462" i="6" s="1"/>
  <c r="R381" i="6"/>
  <c r="S381" i="6" s="1"/>
  <c r="R253" i="6"/>
  <c r="S253" i="6" s="1"/>
  <c r="R141" i="6"/>
  <c r="S141" i="6" s="1"/>
  <c r="R149" i="6"/>
  <c r="S149" i="6" s="1"/>
  <c r="R173" i="6"/>
  <c r="S173" i="6" s="1"/>
  <c r="R181" i="6"/>
  <c r="S181" i="6" s="1"/>
  <c r="R205" i="6"/>
  <c r="S205" i="6" s="1"/>
  <c r="R213" i="6"/>
  <c r="S213" i="6" s="1"/>
  <c r="R227" i="6"/>
  <c r="S227" i="6" s="1"/>
  <c r="R494" i="6"/>
  <c r="S494" i="6" s="1"/>
  <c r="R424" i="6"/>
  <c r="S424" i="6" s="1"/>
  <c r="R456" i="6"/>
  <c r="S456" i="6" s="1"/>
  <c r="R488" i="6"/>
  <c r="S488" i="6" s="1"/>
  <c r="R630" i="6"/>
  <c r="S630" i="6" s="1"/>
  <c r="R410" i="6"/>
  <c r="S410" i="6" s="1"/>
  <c r="R474" i="6"/>
  <c r="S474" i="6" s="1"/>
  <c r="R606" i="6"/>
  <c r="S606" i="6" s="1"/>
  <c r="R505" i="6"/>
  <c r="S505" i="6" s="1"/>
  <c r="R513" i="6"/>
  <c r="S513" i="6" s="1"/>
  <c r="R521" i="6"/>
  <c r="S521" i="6" s="1"/>
  <c r="R529" i="6"/>
  <c r="S529" i="6" s="1"/>
  <c r="R537" i="6"/>
  <c r="S537" i="6" s="1"/>
  <c r="R561" i="6"/>
  <c r="S561" i="6" s="1"/>
  <c r="R611" i="6"/>
  <c r="S611" i="6" s="1"/>
  <c r="R617" i="6"/>
  <c r="S617" i="6" s="1"/>
  <c r="R575" i="6"/>
  <c r="S575" i="6" s="1"/>
  <c r="R619" i="6"/>
  <c r="S619" i="6" s="1"/>
  <c r="R687" i="6"/>
  <c r="S687" i="6" s="1"/>
  <c r="R573" i="6"/>
  <c r="S573" i="6" s="1"/>
  <c r="R608" i="6"/>
  <c r="S608" i="6" s="1"/>
  <c r="R640" i="6"/>
  <c r="S640" i="6" s="1"/>
  <c r="R661" i="6"/>
  <c r="S661" i="6" s="1"/>
  <c r="R691" i="6"/>
  <c r="S691" i="6" s="1"/>
  <c r="R708" i="6"/>
  <c r="S708" i="6" s="1"/>
  <c r="R788" i="6"/>
  <c r="S788" i="6" s="1"/>
  <c r="R621" i="6"/>
  <c r="S621" i="6" s="1"/>
  <c r="R653" i="6"/>
  <c r="S653" i="6" s="1"/>
  <c r="R679" i="6"/>
  <c r="S679" i="6" s="1"/>
  <c r="R696" i="6"/>
  <c r="S696" i="6" s="1"/>
  <c r="R667" i="6"/>
  <c r="S667" i="6" s="1"/>
  <c r="R684" i="6"/>
  <c r="S684" i="6" s="1"/>
  <c r="R583" i="6"/>
  <c r="S583" i="6" s="1"/>
  <c r="R615" i="6"/>
  <c r="S615" i="6" s="1"/>
  <c r="R647" i="6"/>
  <c r="S647" i="6" s="1"/>
  <c r="R670" i="6"/>
  <c r="S670" i="6" s="1"/>
  <c r="R702" i="6"/>
  <c r="S702" i="6" s="1"/>
  <c r="R730" i="6"/>
  <c r="S730" i="6" s="1"/>
  <c r="R711" i="6"/>
  <c r="S711" i="6" s="1"/>
  <c r="R719" i="6"/>
  <c r="S719" i="6" s="1"/>
  <c r="R727" i="6"/>
  <c r="S727" i="6" s="1"/>
  <c r="R735" i="6"/>
  <c r="S735" i="6" s="1"/>
  <c r="R760" i="6"/>
  <c r="S760" i="6" s="1"/>
  <c r="R792" i="6"/>
  <c r="S792" i="6" s="1"/>
  <c r="R361" i="6"/>
  <c r="S361" i="6" s="1"/>
  <c r="R313" i="6"/>
  <c r="S313" i="6" s="1"/>
  <c r="R110" i="6"/>
  <c r="S110" i="6" s="1"/>
  <c r="R393" i="6"/>
  <c r="S393" i="6" s="1"/>
  <c r="R200" i="6"/>
  <c r="S200" i="6" s="1"/>
  <c r="R168" i="6"/>
  <c r="S168" i="6" s="1"/>
  <c r="R59" i="6"/>
  <c r="S59" i="6" s="1"/>
  <c r="R45" i="6"/>
  <c r="S45" i="6" s="1"/>
  <c r="R365" i="6"/>
  <c r="S365" i="6" s="1"/>
  <c r="R237" i="6"/>
  <c r="S237" i="6" s="1"/>
  <c r="R116" i="6"/>
  <c r="S116" i="6" s="1"/>
  <c r="R464" i="6"/>
  <c r="S464" i="6" s="1"/>
  <c r="R159" i="6"/>
  <c r="S159" i="6" s="1"/>
  <c r="R175" i="6"/>
  <c r="S175" i="6" s="1"/>
  <c r="R207" i="6"/>
  <c r="S207" i="6" s="1"/>
  <c r="R578" i="6"/>
  <c r="S578" i="6" s="1"/>
  <c r="R395" i="6"/>
  <c r="S395" i="6" s="1"/>
  <c r="R459" i="6"/>
  <c r="S459" i="6" s="1"/>
  <c r="R419" i="6"/>
  <c r="S419" i="6" s="1"/>
  <c r="R483" i="6"/>
  <c r="S483" i="6" s="1"/>
  <c r="R412" i="6"/>
  <c r="S412" i="6" s="1"/>
  <c r="R444" i="6"/>
  <c r="S444" i="6" s="1"/>
  <c r="R476" i="6"/>
  <c r="S476" i="6" s="1"/>
  <c r="R450" i="6"/>
  <c r="S450" i="6" s="1"/>
  <c r="R649" i="6"/>
  <c r="S649" i="6" s="1"/>
  <c r="R507" i="6"/>
  <c r="S507" i="6" s="1"/>
  <c r="R523" i="6"/>
  <c r="S523" i="6" s="1"/>
  <c r="R547" i="6"/>
  <c r="S547" i="6" s="1"/>
  <c r="R563" i="6"/>
  <c r="S563" i="6" s="1"/>
  <c r="R672" i="6"/>
  <c r="S672" i="6" s="1"/>
  <c r="R704" i="6"/>
  <c r="S704" i="6" s="1"/>
  <c r="R645" i="6"/>
  <c r="S645" i="6" s="1"/>
  <c r="R675" i="6"/>
  <c r="S675" i="6" s="1"/>
  <c r="R692" i="6"/>
  <c r="S692" i="6" s="1"/>
  <c r="R603" i="6"/>
  <c r="S603" i="6" s="1"/>
  <c r="R635" i="6"/>
  <c r="S635" i="6" s="1"/>
  <c r="R663" i="6"/>
  <c r="S663" i="6" s="1"/>
  <c r="R680" i="6"/>
  <c r="S680" i="6" s="1"/>
  <c r="R697" i="6"/>
  <c r="S697" i="6" s="1"/>
  <c r="R748" i="6"/>
  <c r="S748" i="6" s="1"/>
  <c r="R668" i="6"/>
  <c r="S668" i="6" s="1"/>
  <c r="R591" i="6"/>
  <c r="S591" i="6" s="1"/>
  <c r="R623" i="6"/>
  <c r="S623" i="6" s="1"/>
  <c r="R706" i="6"/>
  <c r="S706" i="6" s="1"/>
  <c r="R740" i="6"/>
  <c r="S740" i="6" s="1"/>
  <c r="R713" i="6"/>
  <c r="S713" i="6" s="1"/>
  <c r="R721" i="6"/>
  <c r="S721" i="6" s="1"/>
  <c r="R737" i="6"/>
  <c r="S737" i="6" s="1"/>
  <c r="R297" i="6"/>
  <c r="S297" i="6" s="1"/>
  <c r="R249" i="6"/>
  <c r="S249" i="6" s="1"/>
  <c r="R190" i="6"/>
  <c r="S190" i="6" s="1"/>
  <c r="R158" i="6"/>
  <c r="S158" i="6" s="1"/>
  <c r="R126" i="6"/>
  <c r="S126" i="6" s="1"/>
  <c r="R80" i="6"/>
  <c r="S80" i="6" s="1"/>
  <c r="R72" i="6"/>
  <c r="S72" i="6" s="1"/>
  <c r="R50" i="6"/>
  <c r="S50" i="6" s="1"/>
  <c r="R70" i="6"/>
  <c r="S70" i="6" s="1"/>
  <c r="R632" i="6"/>
  <c r="S632" i="6" s="1"/>
  <c r="R638" i="6"/>
  <c r="S638" i="6" s="1"/>
  <c r="R659" i="6"/>
  <c r="S659" i="6" s="1"/>
  <c r="R676" i="6"/>
  <c r="S676" i="6" s="1"/>
  <c r="R664" i="6"/>
  <c r="S664" i="6" s="1"/>
  <c r="R681" i="6"/>
  <c r="S681" i="6" s="1"/>
  <c r="R716" i="6"/>
  <c r="S716" i="6" s="1"/>
  <c r="R724" i="6"/>
  <c r="S724" i="6" s="1"/>
  <c r="R86" i="6"/>
  <c r="S86" i="6" s="1"/>
  <c r="R78" i="6"/>
  <c r="S78" i="6" s="1"/>
  <c r="R216" i="6"/>
  <c r="S216" i="6" s="1"/>
  <c r="R184" i="6"/>
  <c r="S184" i="6" s="1"/>
  <c r="R85" i="6"/>
  <c r="S85" i="6" s="1"/>
  <c r="R38" i="6"/>
  <c r="S38" i="6" s="1"/>
  <c r="R111" i="6"/>
  <c r="S111" i="6" s="1"/>
  <c r="R31" i="6"/>
  <c r="S31" i="6" s="1"/>
  <c r="R499" i="6"/>
  <c r="S499" i="6" s="1"/>
  <c r="R446" i="6"/>
  <c r="S446" i="6" s="1"/>
  <c r="R436" i="6"/>
  <c r="S436" i="6" s="1"/>
  <c r="R468" i="6"/>
  <c r="S468" i="6" s="1"/>
  <c r="R442" i="6"/>
  <c r="S442" i="6" s="1"/>
  <c r="R545" i="6"/>
  <c r="S545" i="6" s="1"/>
  <c r="R569" i="6"/>
  <c r="S569" i="6" s="1"/>
  <c r="R657" i="6"/>
  <c r="S657" i="6" s="1"/>
  <c r="R656" i="6"/>
  <c r="S656" i="6" s="1"/>
  <c r="R589" i="6"/>
  <c r="S589" i="6" s="1"/>
  <c r="AC45" i="6"/>
  <c r="AY24" i="6" s="1"/>
  <c r="Y47" i="6"/>
  <c r="R791" i="6"/>
  <c r="S791" i="6" s="1"/>
  <c r="R759" i="6"/>
  <c r="S759" i="6" s="1"/>
  <c r="R766" i="6"/>
  <c r="S766" i="6" s="1"/>
  <c r="R167" i="6"/>
  <c r="S167" i="6" s="1"/>
  <c r="R199" i="6"/>
  <c r="S199" i="6" s="1"/>
  <c r="R215" i="6"/>
  <c r="S215" i="6" s="1"/>
  <c r="R235" i="6"/>
  <c r="S235" i="6" s="1"/>
  <c r="R406" i="6"/>
  <c r="S406" i="6" s="1"/>
  <c r="R470" i="6"/>
  <c r="S470" i="6" s="1"/>
  <c r="R572" i="6"/>
  <c r="S572" i="6" s="1"/>
  <c r="R588" i="6"/>
  <c r="S588" i="6" s="1"/>
  <c r="R418" i="6"/>
  <c r="S418" i="6" s="1"/>
  <c r="R482" i="6"/>
  <c r="S482" i="6" s="1"/>
  <c r="R671" i="6"/>
  <c r="S671" i="6" s="1"/>
  <c r="R577" i="6"/>
  <c r="S577" i="6" s="1"/>
  <c r="R625" i="6"/>
  <c r="S625" i="6" s="1"/>
  <c r="R581" i="6"/>
  <c r="S581" i="6" s="1"/>
  <c r="R613" i="6"/>
  <c r="S613" i="6" s="1"/>
  <c r="R571" i="6"/>
  <c r="S571" i="6" s="1"/>
  <c r="R685" i="6"/>
  <c r="S685" i="6" s="1"/>
  <c r="R710" i="6"/>
  <c r="S710" i="6" s="1"/>
  <c r="R674" i="6"/>
  <c r="S674" i="6" s="1"/>
  <c r="R729" i="6"/>
  <c r="S729" i="6" s="1"/>
  <c r="R768" i="6"/>
  <c r="S768" i="6" s="1"/>
  <c r="R101" i="6"/>
  <c r="S101" i="6" s="1"/>
  <c r="R790" i="6"/>
  <c r="S790" i="6" s="1"/>
  <c r="R574" i="6"/>
  <c r="S574" i="6" s="1"/>
  <c r="R749" i="6"/>
  <c r="S749" i="6" s="1"/>
  <c r="R504" i="6"/>
  <c r="S504" i="6" s="1"/>
  <c r="R463" i="6"/>
  <c r="S463" i="6" s="1"/>
  <c r="R562" i="6"/>
  <c r="S562" i="6" s="1"/>
  <c r="R388" i="6"/>
  <c r="S388" i="6" s="1"/>
  <c r="R528" i="6"/>
  <c r="S528" i="6" s="1"/>
  <c r="R522" i="6"/>
  <c r="S522" i="6" s="1"/>
  <c r="R382" i="6"/>
  <c r="S382" i="6" s="1"/>
  <c r="R366" i="6"/>
  <c r="S366" i="6" s="1"/>
  <c r="R350" i="6"/>
  <c r="S350" i="6" s="1"/>
  <c r="R334" i="6"/>
  <c r="S334" i="6" s="1"/>
  <c r="R318" i="6"/>
  <c r="S318" i="6" s="1"/>
  <c r="R302" i="6"/>
  <c r="S302" i="6" s="1"/>
  <c r="R286" i="6"/>
  <c r="S286" i="6" s="1"/>
  <c r="R270" i="6"/>
  <c r="S270" i="6" s="1"/>
  <c r="R254" i="6"/>
  <c r="S254" i="6" s="1"/>
  <c r="R238" i="6"/>
  <c r="S238" i="6" s="1"/>
  <c r="R445" i="6"/>
  <c r="S445" i="6" s="1"/>
  <c r="R392" i="6"/>
  <c r="S392" i="6" s="1"/>
  <c r="R461" i="6"/>
  <c r="S461" i="6" s="1"/>
  <c r="R397" i="6"/>
  <c r="S397" i="6" s="1"/>
  <c r="R380" i="6"/>
  <c r="S380" i="6" s="1"/>
  <c r="R364" i="6"/>
  <c r="S364" i="6" s="1"/>
  <c r="R316" i="6"/>
  <c r="S316" i="6" s="1"/>
  <c r="R300" i="6"/>
  <c r="S300" i="6" s="1"/>
  <c r="R252" i="6"/>
  <c r="S252" i="6" s="1"/>
  <c r="R226" i="6"/>
  <c r="S226" i="6" s="1"/>
  <c r="R337" i="6"/>
  <c r="S337" i="6" s="1"/>
  <c r="R273" i="6"/>
  <c r="S273" i="6" s="1"/>
  <c r="R113" i="6"/>
  <c r="S113" i="6" s="1"/>
  <c r="R90" i="6"/>
  <c r="S90" i="6" s="1"/>
  <c r="R333" i="6"/>
  <c r="S333" i="6" s="1"/>
  <c r="R269" i="6"/>
  <c r="S269" i="6" s="1"/>
  <c r="R212" i="6"/>
  <c r="S212" i="6" s="1"/>
  <c r="R196" i="6"/>
  <c r="S196" i="6" s="1"/>
  <c r="R180" i="6"/>
  <c r="S180" i="6" s="1"/>
  <c r="R164" i="6"/>
  <c r="S164" i="6" s="1"/>
  <c r="R148" i="6"/>
  <c r="S148" i="6" s="1"/>
  <c r="R132" i="6"/>
  <c r="S132" i="6" s="1"/>
  <c r="R107" i="6"/>
  <c r="S107" i="6" s="1"/>
  <c r="R497" i="6"/>
  <c r="S497" i="6" s="1"/>
  <c r="R129" i="6"/>
  <c r="S129" i="6" s="1"/>
  <c r="R137" i="6"/>
  <c r="S137" i="6" s="1"/>
  <c r="R145" i="6"/>
  <c r="S145" i="6" s="1"/>
  <c r="R153" i="6"/>
  <c r="S153" i="6" s="1"/>
  <c r="R161" i="6"/>
  <c r="S161" i="6" s="1"/>
  <c r="R169" i="6"/>
  <c r="S169" i="6" s="1"/>
  <c r="R177" i="6"/>
  <c r="S177" i="6" s="1"/>
  <c r="R185" i="6"/>
  <c r="S185" i="6" s="1"/>
  <c r="R193" i="6"/>
  <c r="S193" i="6" s="1"/>
  <c r="R201" i="6"/>
  <c r="S201" i="6" s="1"/>
  <c r="R209" i="6"/>
  <c r="S209" i="6" s="1"/>
  <c r="R217" i="6"/>
  <c r="S217" i="6" s="1"/>
  <c r="R430" i="6"/>
  <c r="S430" i="6" s="1"/>
  <c r="R414" i="6"/>
  <c r="S414" i="6" s="1"/>
  <c r="R411" i="6"/>
  <c r="S411" i="6" s="1"/>
  <c r="R475" i="6"/>
  <c r="S475" i="6" s="1"/>
  <c r="R408" i="6"/>
  <c r="S408" i="6" s="1"/>
  <c r="R440" i="6"/>
  <c r="S440" i="6" s="1"/>
  <c r="R472" i="6"/>
  <c r="S472" i="6" s="1"/>
  <c r="R624" i="6"/>
  <c r="S624" i="6" s="1"/>
  <c r="R435" i="6"/>
  <c r="S435" i="6" s="1"/>
  <c r="R703" i="6"/>
  <c r="S703" i="6" s="1"/>
  <c r="R420" i="6"/>
  <c r="S420" i="6" s="1"/>
  <c r="R452" i="6"/>
  <c r="S452" i="6" s="1"/>
  <c r="R484" i="6"/>
  <c r="S484" i="6" s="1"/>
  <c r="R673" i="6"/>
  <c r="S673" i="6" s="1"/>
  <c r="R426" i="6"/>
  <c r="S426" i="6" s="1"/>
  <c r="R458" i="6"/>
  <c r="S458" i="6" s="1"/>
  <c r="R490" i="6"/>
  <c r="S490" i="6" s="1"/>
  <c r="R501" i="6"/>
  <c r="S501" i="6" s="1"/>
  <c r="R509" i="6"/>
  <c r="S509" i="6" s="1"/>
  <c r="R517" i="6"/>
  <c r="S517" i="6" s="1"/>
  <c r="R525" i="6"/>
  <c r="S525" i="6" s="1"/>
  <c r="R533" i="6"/>
  <c r="S533" i="6" s="1"/>
  <c r="R541" i="6"/>
  <c r="S541" i="6" s="1"/>
  <c r="R549" i="6"/>
  <c r="S549" i="6" s="1"/>
  <c r="R557" i="6"/>
  <c r="S557" i="6" s="1"/>
  <c r="R565" i="6"/>
  <c r="S565" i="6" s="1"/>
  <c r="R593" i="6"/>
  <c r="S593" i="6" s="1"/>
  <c r="R689" i="6"/>
  <c r="S689" i="6" s="1"/>
  <c r="R688" i="6"/>
  <c r="S688" i="6" s="1"/>
  <c r="R597" i="6"/>
  <c r="S597" i="6" s="1"/>
  <c r="R637" i="6"/>
  <c r="S637" i="6" s="1"/>
  <c r="R718" i="6"/>
  <c r="S718" i="6" s="1"/>
  <c r="R595" i="6"/>
  <c r="S595" i="6" s="1"/>
  <c r="R627" i="6"/>
  <c r="S627" i="6" s="1"/>
  <c r="R726" i="6"/>
  <c r="S726" i="6" s="1"/>
  <c r="R579" i="6"/>
  <c r="S579" i="6" s="1"/>
  <c r="R609" i="6"/>
  <c r="S609" i="6" s="1"/>
  <c r="R641" i="6"/>
  <c r="S641" i="6" s="1"/>
  <c r="R756" i="6"/>
  <c r="S756" i="6" s="1"/>
  <c r="R669" i="6"/>
  <c r="S669" i="6" s="1"/>
  <c r="R699" i="6"/>
  <c r="S699" i="6" s="1"/>
  <c r="R599" i="6"/>
  <c r="S599" i="6" s="1"/>
  <c r="R631" i="6"/>
  <c r="S631" i="6" s="1"/>
  <c r="R662" i="6"/>
  <c r="S662" i="6" s="1"/>
  <c r="R678" i="6"/>
  <c r="S678" i="6" s="1"/>
  <c r="R694" i="6"/>
  <c r="S694" i="6" s="1"/>
  <c r="R772" i="6"/>
  <c r="S772" i="6" s="1"/>
  <c r="R715" i="6"/>
  <c r="S715" i="6" s="1"/>
  <c r="R723" i="6"/>
  <c r="S723" i="6" s="1"/>
  <c r="R731" i="6"/>
  <c r="S731" i="6" s="1"/>
  <c r="R744" i="6"/>
  <c r="S744" i="6" s="1"/>
  <c r="R776" i="6"/>
  <c r="S776" i="6" s="1"/>
  <c r="R477" i="6"/>
  <c r="S477" i="6" s="1"/>
  <c r="R329" i="6"/>
  <c r="S329" i="6" s="1"/>
  <c r="R265" i="6"/>
  <c r="S265" i="6" s="1"/>
  <c r="R240" i="6"/>
  <c r="S240" i="6" s="1"/>
  <c r="R225" i="6"/>
  <c r="S225" i="6" s="1"/>
  <c r="R214" i="6"/>
  <c r="S214" i="6" s="1"/>
  <c r="R198" i="6"/>
  <c r="S198" i="6" s="1"/>
  <c r="R182" i="6"/>
  <c r="S182" i="6" s="1"/>
  <c r="R166" i="6"/>
  <c r="S166" i="6" s="1"/>
  <c r="R150" i="6"/>
  <c r="S150" i="6" s="1"/>
  <c r="R134" i="6"/>
  <c r="S134" i="6" s="1"/>
  <c r="R109" i="6"/>
  <c r="S109" i="6" s="1"/>
  <c r="R495" i="6"/>
  <c r="S495" i="6" s="1"/>
  <c r="R391" i="6"/>
  <c r="S391" i="6" s="1"/>
  <c r="R373" i="6"/>
  <c r="S373" i="6" s="1"/>
  <c r="R309" i="6"/>
  <c r="S309" i="6" s="1"/>
  <c r="R245" i="6"/>
  <c r="S245" i="6" s="1"/>
  <c r="R221" i="6"/>
  <c r="S221" i="6" s="1"/>
  <c r="R208" i="6"/>
  <c r="S208" i="6" s="1"/>
  <c r="R192" i="6"/>
  <c r="S192" i="6" s="1"/>
  <c r="R176" i="6"/>
  <c r="S176" i="6" s="1"/>
  <c r="R160" i="6"/>
  <c r="S160" i="6" s="1"/>
  <c r="R144" i="6"/>
  <c r="S144" i="6" s="1"/>
  <c r="R128" i="6"/>
  <c r="S128" i="6" s="1"/>
  <c r="R112" i="6"/>
  <c r="S112" i="6" s="1"/>
  <c r="R96" i="6"/>
  <c r="S96" i="6" s="1"/>
  <c r="R83" i="6"/>
  <c r="S83" i="6" s="1"/>
  <c r="R75" i="6"/>
  <c r="S75" i="6" s="1"/>
  <c r="R42" i="6"/>
  <c r="S42" i="6" s="1"/>
  <c r="R27" i="6"/>
  <c r="S27" i="6" s="1"/>
  <c r="R66" i="6"/>
  <c r="S66" i="6" s="1"/>
  <c r="R53" i="6"/>
  <c r="S53" i="6" s="1"/>
  <c r="R23" i="6"/>
  <c r="S23" i="6" s="1"/>
  <c r="R478" i="6"/>
  <c r="S478" i="6" s="1"/>
  <c r="R404" i="6"/>
  <c r="S404" i="6" s="1"/>
  <c r="R553" i="6"/>
  <c r="S553" i="6" s="1"/>
  <c r="R686" i="6"/>
  <c r="S686" i="6" s="1"/>
  <c r="R341" i="6"/>
  <c r="S341" i="6" s="1"/>
  <c r="R277" i="6"/>
  <c r="S277" i="6" s="1"/>
  <c r="AC30" i="6"/>
  <c r="AP24" i="6" s="1"/>
  <c r="Y32" i="6"/>
  <c r="R610" i="6"/>
  <c r="S610" i="6" s="1"/>
  <c r="R614" i="6"/>
  <c r="S614" i="6" s="1"/>
  <c r="R544" i="6"/>
  <c r="S544" i="6" s="1"/>
  <c r="R552" i="6"/>
  <c r="S552" i="6" s="1"/>
  <c r="R473" i="6"/>
  <c r="S473" i="6" s="1"/>
  <c r="R409" i="6"/>
  <c r="S409" i="6" s="1"/>
  <c r="R386" i="6"/>
  <c r="S386" i="6" s="1"/>
  <c r="R368" i="6"/>
  <c r="S368" i="6" s="1"/>
  <c r="R304" i="6"/>
  <c r="S304" i="6" s="1"/>
  <c r="R385" i="6"/>
  <c r="S385" i="6" s="1"/>
  <c r="R321" i="6"/>
  <c r="S321" i="6" s="1"/>
  <c r="R257" i="6"/>
  <c r="S257" i="6" s="1"/>
  <c r="R105" i="6"/>
  <c r="S105" i="6" s="1"/>
  <c r="R233" i="6"/>
  <c r="S233" i="6" s="1"/>
  <c r="R99" i="6"/>
  <c r="S99" i="6" s="1"/>
  <c r="R183" i="6"/>
  <c r="S183" i="6" s="1"/>
  <c r="R438" i="6"/>
  <c r="S438" i="6" s="1"/>
  <c r="R652" i="6"/>
  <c r="S652" i="6" s="1"/>
  <c r="R515" i="6"/>
  <c r="S515" i="6" s="1"/>
  <c r="R531" i="6"/>
  <c r="S531" i="6" s="1"/>
  <c r="R539" i="6"/>
  <c r="S539" i="6" s="1"/>
  <c r="R555" i="6"/>
  <c r="S555" i="6" s="1"/>
  <c r="R587" i="6"/>
  <c r="S587" i="6" s="1"/>
  <c r="R629" i="6"/>
  <c r="S629" i="6" s="1"/>
  <c r="R620" i="6"/>
  <c r="S620" i="6" s="1"/>
  <c r="R655" i="6"/>
  <c r="S655" i="6" s="1"/>
  <c r="R690" i="6"/>
  <c r="S690" i="6" s="1"/>
  <c r="R568" i="6"/>
  <c r="S568" i="6" s="1"/>
  <c r="R357" i="6"/>
  <c r="S357" i="6" s="1"/>
  <c r="R293" i="6"/>
  <c r="S293" i="6" s="1"/>
  <c r="R68" i="6"/>
  <c r="S68" i="6" s="1"/>
  <c r="R60" i="6"/>
  <c r="S60" i="6" s="1"/>
  <c r="R746" i="6"/>
  <c r="S746" i="6" s="1"/>
  <c r="R773" i="6"/>
  <c r="S773" i="6" s="1"/>
  <c r="R770" i="6"/>
  <c r="S770" i="6" s="1"/>
  <c r="R654" i="6"/>
  <c r="S654" i="6" s="1"/>
  <c r="R576" i="6"/>
  <c r="S576" i="6" s="1"/>
  <c r="R536" i="6"/>
  <c r="S536" i="6" s="1"/>
  <c r="R787" i="6"/>
  <c r="S787" i="6" s="1"/>
  <c r="R753" i="6"/>
  <c r="S753" i="6" s="1"/>
  <c r="R778" i="6"/>
  <c r="S778" i="6" s="1"/>
  <c r="R742" i="6"/>
  <c r="S742" i="6" s="1"/>
  <c r="R758" i="6"/>
  <c r="S758" i="6" s="1"/>
  <c r="R738" i="6"/>
  <c r="S738" i="6" s="1"/>
  <c r="R762" i="6"/>
  <c r="S762" i="6" s="1"/>
  <c r="R634" i="6"/>
  <c r="S634" i="6" s="1"/>
  <c r="R602" i="6"/>
  <c r="S602" i="6" s="1"/>
  <c r="R786" i="6"/>
  <c r="S786" i="6" s="1"/>
  <c r="R560" i="6"/>
  <c r="S560" i="6" s="1"/>
  <c r="R530" i="6"/>
  <c r="S530" i="6" s="1"/>
  <c r="R498" i="6"/>
  <c r="S498" i="6" s="1"/>
  <c r="R618" i="6"/>
  <c r="S618" i="6" s="1"/>
  <c r="R487" i="6"/>
  <c r="S487" i="6" s="1"/>
  <c r="R455" i="6"/>
  <c r="S455" i="6" s="1"/>
  <c r="R423" i="6"/>
  <c r="S423" i="6" s="1"/>
  <c r="R394" i="6"/>
  <c r="S394" i="6" s="1"/>
  <c r="R378" i="6"/>
  <c r="S378" i="6" s="1"/>
  <c r="R362" i="6"/>
  <c r="S362" i="6" s="1"/>
  <c r="R346" i="6"/>
  <c r="S346" i="6" s="1"/>
  <c r="R330" i="6"/>
  <c r="S330" i="6" s="1"/>
  <c r="R314" i="6"/>
  <c r="S314" i="6" s="1"/>
  <c r="R298" i="6"/>
  <c r="S298" i="6" s="1"/>
  <c r="R282" i="6"/>
  <c r="S282" i="6" s="1"/>
  <c r="R266" i="6"/>
  <c r="S266" i="6" s="1"/>
  <c r="R250" i="6"/>
  <c r="S250" i="6" s="1"/>
  <c r="R371" i="6"/>
  <c r="S371" i="6" s="1"/>
  <c r="R355" i="6"/>
  <c r="S355" i="6" s="1"/>
  <c r="R339" i="6"/>
  <c r="S339" i="6" s="1"/>
  <c r="R323" i="6"/>
  <c r="S323" i="6" s="1"/>
  <c r="R307" i="6"/>
  <c r="S307" i="6" s="1"/>
  <c r="R291" i="6"/>
  <c r="S291" i="6" s="1"/>
  <c r="R275" i="6"/>
  <c r="S275" i="6" s="1"/>
  <c r="R259" i="6"/>
  <c r="S259" i="6" s="1"/>
  <c r="R243" i="6"/>
  <c r="S243" i="6" s="1"/>
  <c r="R646" i="6"/>
  <c r="S646" i="6" s="1"/>
  <c r="R441" i="6"/>
  <c r="S441" i="6" s="1"/>
  <c r="R376" i="6"/>
  <c r="S376" i="6" s="1"/>
  <c r="R360" i="6"/>
  <c r="S360" i="6" s="1"/>
  <c r="R312" i="6"/>
  <c r="S312" i="6" s="1"/>
  <c r="R296" i="6"/>
  <c r="S296" i="6" s="1"/>
  <c r="R248" i="6"/>
  <c r="S248" i="6" s="1"/>
  <c r="R353" i="6"/>
  <c r="S353" i="6" s="1"/>
  <c r="R289" i="6"/>
  <c r="S289" i="6" s="1"/>
  <c r="R121" i="6"/>
  <c r="S121" i="6" s="1"/>
  <c r="R98" i="6"/>
  <c r="S98" i="6" s="1"/>
  <c r="R89" i="6"/>
  <c r="S89" i="6" s="1"/>
  <c r="R506" i="6"/>
  <c r="S506" i="6" s="1"/>
  <c r="R349" i="6"/>
  <c r="S349" i="6" s="1"/>
  <c r="R285" i="6"/>
  <c r="S285" i="6" s="1"/>
  <c r="R115" i="6"/>
  <c r="S115" i="6" s="1"/>
  <c r="R92" i="6"/>
  <c r="S92" i="6" s="1"/>
  <c r="R400" i="6"/>
  <c r="S400" i="6" s="1"/>
  <c r="R123" i="6"/>
  <c r="S123" i="6" s="1"/>
  <c r="R131" i="6"/>
  <c r="S131" i="6" s="1"/>
  <c r="R139" i="6"/>
  <c r="S139" i="6" s="1"/>
  <c r="R147" i="6"/>
  <c r="S147" i="6" s="1"/>
  <c r="R155" i="6"/>
  <c r="S155" i="6" s="1"/>
  <c r="R163" i="6"/>
  <c r="S163" i="6" s="1"/>
  <c r="R171" i="6"/>
  <c r="S171" i="6" s="1"/>
  <c r="R179" i="6"/>
  <c r="S179" i="6" s="1"/>
  <c r="R187" i="6"/>
  <c r="S187" i="6" s="1"/>
  <c r="R195" i="6"/>
  <c r="S195" i="6" s="1"/>
  <c r="R203" i="6"/>
  <c r="S203" i="6" s="1"/>
  <c r="R211" i="6"/>
  <c r="S211" i="6" s="1"/>
  <c r="R219" i="6"/>
  <c r="S219" i="6" s="1"/>
  <c r="R448" i="6"/>
  <c r="S448" i="6" s="1"/>
  <c r="R432" i="6"/>
  <c r="S432" i="6" s="1"/>
  <c r="R422" i="6"/>
  <c r="S422" i="6" s="1"/>
  <c r="R454" i="6"/>
  <c r="S454" i="6" s="1"/>
  <c r="R486" i="6"/>
  <c r="S486" i="6" s="1"/>
  <c r="R736" i="6"/>
  <c r="S736" i="6" s="1"/>
  <c r="R451" i="6"/>
  <c r="S451" i="6" s="1"/>
  <c r="R396" i="6"/>
  <c r="S396" i="6" s="1"/>
  <c r="R428" i="6"/>
  <c r="S428" i="6" s="1"/>
  <c r="R460" i="6"/>
  <c r="S460" i="6" s="1"/>
  <c r="R492" i="6"/>
  <c r="S492" i="6" s="1"/>
  <c r="R612" i="6"/>
  <c r="S612" i="6" s="1"/>
  <c r="R402" i="6"/>
  <c r="S402" i="6" s="1"/>
  <c r="R434" i="6"/>
  <c r="S434" i="6" s="1"/>
  <c r="R466" i="6"/>
  <c r="S466" i="6" s="1"/>
  <c r="R585" i="6"/>
  <c r="S585" i="6" s="1"/>
  <c r="R503" i="6"/>
  <c r="S503" i="6" s="1"/>
  <c r="R511" i="6"/>
  <c r="S511" i="6" s="1"/>
  <c r="R519" i="6"/>
  <c r="S519" i="6" s="1"/>
  <c r="R527" i="6"/>
  <c r="S527" i="6" s="1"/>
  <c r="R535" i="6"/>
  <c r="S535" i="6" s="1"/>
  <c r="R543" i="6"/>
  <c r="S543" i="6" s="1"/>
  <c r="R551" i="6"/>
  <c r="S551" i="6" s="1"/>
  <c r="R559" i="6"/>
  <c r="S559" i="6" s="1"/>
  <c r="R567" i="6"/>
  <c r="S567" i="6" s="1"/>
  <c r="R605" i="6"/>
  <c r="S605" i="6" s="1"/>
  <c r="R651" i="6"/>
  <c r="S651" i="6" s="1"/>
  <c r="R644" i="6"/>
  <c r="S644" i="6" s="1"/>
  <c r="R705" i="6"/>
  <c r="S705" i="6" s="1"/>
  <c r="R643" i="6"/>
  <c r="S643" i="6" s="1"/>
  <c r="R601" i="6"/>
  <c r="S601" i="6" s="1"/>
  <c r="R633" i="6"/>
  <c r="S633" i="6" s="1"/>
  <c r="R660" i="6"/>
  <c r="S660" i="6" s="1"/>
  <c r="R707" i="6"/>
  <c r="S707" i="6" s="1"/>
  <c r="R780" i="6"/>
  <c r="S780" i="6" s="1"/>
  <c r="R584" i="6"/>
  <c r="S584" i="6" s="1"/>
  <c r="R616" i="6"/>
  <c r="S616" i="6" s="1"/>
  <c r="R648" i="6"/>
  <c r="S648" i="6" s="1"/>
  <c r="R695" i="6"/>
  <c r="S695" i="6" s="1"/>
  <c r="R720" i="6"/>
  <c r="S720" i="6" s="1"/>
  <c r="R764" i="6"/>
  <c r="S764" i="6" s="1"/>
  <c r="R683" i="6"/>
  <c r="S683" i="6" s="1"/>
  <c r="R700" i="6"/>
  <c r="S700" i="6" s="1"/>
  <c r="R728" i="6"/>
  <c r="S728" i="6" s="1"/>
  <c r="R607" i="6"/>
  <c r="S607" i="6" s="1"/>
  <c r="R639" i="6"/>
  <c r="S639" i="6" s="1"/>
  <c r="R666" i="6"/>
  <c r="S666" i="6" s="1"/>
  <c r="R682" i="6"/>
  <c r="S682" i="6" s="1"/>
  <c r="R698" i="6"/>
  <c r="S698" i="6" s="1"/>
  <c r="R709" i="6"/>
  <c r="S709" i="6" s="1"/>
  <c r="R717" i="6"/>
  <c r="S717" i="6" s="1"/>
  <c r="R725" i="6"/>
  <c r="S725" i="6" s="1"/>
  <c r="R733" i="6"/>
  <c r="S733" i="6" s="1"/>
  <c r="R752" i="6"/>
  <c r="S752" i="6" s="1"/>
  <c r="R784" i="6"/>
  <c r="S784" i="6" s="1"/>
  <c r="R345" i="6"/>
  <c r="S345" i="6" s="1"/>
  <c r="R281" i="6"/>
  <c r="S281" i="6" s="1"/>
  <c r="R223" i="6"/>
  <c r="S223" i="6" s="1"/>
  <c r="R480" i="6"/>
  <c r="S480" i="6" s="1"/>
  <c r="R325" i="6"/>
  <c r="S325" i="6" s="1"/>
  <c r="R261" i="6"/>
  <c r="S261" i="6" s="1"/>
  <c r="R232" i="6"/>
  <c r="S232" i="6" s="1"/>
  <c r="R81" i="6"/>
  <c r="S81" i="6" s="1"/>
  <c r="R73" i="6"/>
  <c r="S73" i="6" s="1"/>
  <c r="R25" i="6"/>
  <c r="S25" i="6" s="1"/>
  <c r="R64" i="6"/>
  <c r="S64" i="6" s="1"/>
  <c r="R48" i="6"/>
  <c r="S48" i="6" s="1"/>
  <c r="R33" i="6"/>
  <c r="S33" i="6" s="1"/>
  <c r="R416" i="6"/>
  <c r="S416" i="6" s="1"/>
  <c r="AC58" i="6" l="1"/>
  <c r="BH24" i="6" s="1"/>
  <c r="AC23" i="6"/>
  <c r="AK24" i="6" s="1"/>
  <c r="AC43" i="6"/>
  <c r="BA24" i="6" s="1"/>
  <c r="AC28" i="6"/>
  <c r="AR24" i="6" s="1"/>
  <c r="X47" i="6"/>
  <c r="Z47" i="6" a="1"/>
  <c r="Z47" i="6" s="1"/>
  <c r="AA47" i="6" s="1"/>
  <c r="AC50" i="6" s="1"/>
  <c r="AC46" i="6"/>
  <c r="AZ24" i="6" s="1"/>
  <c r="X32" i="6"/>
  <c r="Z32" i="6" a="1"/>
  <c r="Z32" i="6" s="1"/>
  <c r="AA32" i="6" s="1"/>
  <c r="AC35" i="6" s="1"/>
  <c r="AT24" i="6" s="1"/>
  <c r="AC31" i="6"/>
  <c r="AQ24" i="6" s="1"/>
  <c r="AC37" i="6" l="1"/>
  <c r="AC41" i="6" s="1"/>
  <c r="AC54" i="6"/>
  <c r="BE24" i="6" s="1"/>
  <c r="BC24" i="6"/>
  <c r="AC52" i="6"/>
  <c r="AC38" i="6"/>
  <c r="AU24" i="6" s="1"/>
  <c r="AC34" i="6"/>
  <c r="AG24" i="6"/>
  <c r="AC49" i="6"/>
  <c r="AC53" i="6"/>
  <c r="BD24" i="6" s="1"/>
  <c r="AC39" i="6"/>
  <c r="BB24" i="6" l="1"/>
  <c r="AC51" i="6"/>
  <c r="AC55" i="6" s="1"/>
  <c r="AS24" i="6"/>
  <c r="AC36" i="6"/>
  <c r="AV24" i="6"/>
  <c r="AC56" i="6"/>
  <c r="O794" i="5"/>
  <c r="Q793" i="5"/>
  <c r="O793" i="5"/>
  <c r="Q792" i="5"/>
  <c r="O792" i="5"/>
  <c r="Q791" i="5"/>
  <c r="O791" i="5"/>
  <c r="Q790" i="5"/>
  <c r="O790" i="5"/>
  <c r="Q789" i="5"/>
  <c r="O789" i="5"/>
  <c r="Q788" i="5"/>
  <c r="O788" i="5"/>
  <c r="Q787" i="5"/>
  <c r="O787" i="5"/>
  <c r="Q786" i="5"/>
  <c r="O786" i="5"/>
  <c r="Q785" i="5"/>
  <c r="O785" i="5"/>
  <c r="Q784" i="5"/>
  <c r="O784" i="5"/>
  <c r="Q783" i="5"/>
  <c r="O783" i="5"/>
  <c r="Q782" i="5"/>
  <c r="O782" i="5"/>
  <c r="Q781" i="5"/>
  <c r="O781" i="5"/>
  <c r="Q780" i="5"/>
  <c r="O780" i="5"/>
  <c r="Q779" i="5"/>
  <c r="O779" i="5"/>
  <c r="Q778" i="5"/>
  <c r="O778" i="5"/>
  <c r="Q777" i="5"/>
  <c r="O777" i="5"/>
  <c r="Q776" i="5"/>
  <c r="O776" i="5"/>
  <c r="Q775" i="5"/>
  <c r="O775" i="5"/>
  <c r="Q774" i="5"/>
  <c r="O774" i="5"/>
  <c r="Q773" i="5"/>
  <c r="O773" i="5"/>
  <c r="Q772" i="5"/>
  <c r="O772" i="5"/>
  <c r="Q771" i="5"/>
  <c r="O771" i="5"/>
  <c r="Q770" i="5"/>
  <c r="O770" i="5"/>
  <c r="Q769" i="5"/>
  <c r="O769" i="5"/>
  <c r="Q768" i="5"/>
  <c r="O768" i="5"/>
  <c r="Q767" i="5"/>
  <c r="O767" i="5"/>
  <c r="Q766" i="5"/>
  <c r="O766" i="5"/>
  <c r="Q765" i="5"/>
  <c r="O765" i="5"/>
  <c r="Q764" i="5"/>
  <c r="O764" i="5"/>
  <c r="Q763" i="5"/>
  <c r="O763" i="5"/>
  <c r="Q762" i="5"/>
  <c r="O762" i="5"/>
  <c r="Q761" i="5"/>
  <c r="O761" i="5"/>
  <c r="Q760" i="5"/>
  <c r="O760" i="5"/>
  <c r="Q759" i="5"/>
  <c r="O759" i="5"/>
  <c r="Q758" i="5"/>
  <c r="O758" i="5"/>
  <c r="Q757" i="5"/>
  <c r="O757" i="5"/>
  <c r="Q756" i="5"/>
  <c r="O756" i="5"/>
  <c r="Q755" i="5"/>
  <c r="O755" i="5"/>
  <c r="Q754" i="5"/>
  <c r="O754" i="5"/>
  <c r="Q753" i="5"/>
  <c r="O753" i="5"/>
  <c r="Q752" i="5"/>
  <c r="O752" i="5"/>
  <c r="Q751" i="5"/>
  <c r="O751" i="5"/>
  <c r="Q750" i="5"/>
  <c r="O750" i="5"/>
  <c r="Q749" i="5"/>
  <c r="O749" i="5"/>
  <c r="Q748" i="5"/>
  <c r="O748" i="5"/>
  <c r="Q747" i="5"/>
  <c r="O747" i="5"/>
  <c r="Q746" i="5"/>
  <c r="O746" i="5"/>
  <c r="Q745" i="5"/>
  <c r="O745" i="5"/>
  <c r="Q744" i="5"/>
  <c r="O744" i="5"/>
  <c r="Q743" i="5"/>
  <c r="O743" i="5"/>
  <c r="Q742" i="5"/>
  <c r="O742" i="5"/>
  <c r="Q741" i="5"/>
  <c r="O741" i="5"/>
  <c r="Q740" i="5"/>
  <c r="O740" i="5"/>
  <c r="Q739" i="5"/>
  <c r="O739" i="5"/>
  <c r="Q738" i="5"/>
  <c r="O738" i="5"/>
  <c r="Q737" i="5"/>
  <c r="O737" i="5"/>
  <c r="Q736" i="5"/>
  <c r="O736" i="5"/>
  <c r="Q735" i="5"/>
  <c r="O735" i="5"/>
  <c r="Q734" i="5"/>
  <c r="O734" i="5"/>
  <c r="Q733" i="5"/>
  <c r="O733" i="5"/>
  <c r="Q732" i="5"/>
  <c r="O732" i="5"/>
  <c r="Q731" i="5"/>
  <c r="O731" i="5"/>
  <c r="Q730" i="5"/>
  <c r="O730" i="5"/>
  <c r="Q729" i="5"/>
  <c r="O729" i="5"/>
  <c r="Q728" i="5"/>
  <c r="O728" i="5"/>
  <c r="Q727" i="5"/>
  <c r="O727" i="5"/>
  <c r="Q726" i="5"/>
  <c r="O726" i="5"/>
  <c r="Q725" i="5"/>
  <c r="O725" i="5"/>
  <c r="Q724" i="5"/>
  <c r="O724" i="5"/>
  <c r="Q723" i="5"/>
  <c r="O723" i="5"/>
  <c r="Q722" i="5"/>
  <c r="O722" i="5"/>
  <c r="Q721" i="5"/>
  <c r="O721" i="5"/>
  <c r="Q720" i="5"/>
  <c r="O720" i="5"/>
  <c r="Q719" i="5"/>
  <c r="O719" i="5"/>
  <c r="Q718" i="5"/>
  <c r="O718" i="5"/>
  <c r="Q717" i="5"/>
  <c r="O717" i="5"/>
  <c r="Q716" i="5"/>
  <c r="O716" i="5"/>
  <c r="Q715" i="5"/>
  <c r="O715" i="5"/>
  <c r="Q714" i="5"/>
  <c r="O714" i="5"/>
  <c r="Q713" i="5"/>
  <c r="O713" i="5"/>
  <c r="Q712" i="5"/>
  <c r="O712" i="5"/>
  <c r="Q711" i="5"/>
  <c r="O711" i="5"/>
  <c r="Q710" i="5"/>
  <c r="O710" i="5"/>
  <c r="Q709" i="5"/>
  <c r="O709" i="5"/>
  <c r="Q708" i="5"/>
  <c r="O708" i="5"/>
  <c r="Q707" i="5"/>
  <c r="O707" i="5"/>
  <c r="Q706" i="5"/>
  <c r="O706" i="5"/>
  <c r="Q705" i="5"/>
  <c r="O705" i="5"/>
  <c r="Q704" i="5"/>
  <c r="O704" i="5"/>
  <c r="Q703" i="5"/>
  <c r="O703" i="5"/>
  <c r="Q702" i="5"/>
  <c r="O702" i="5"/>
  <c r="Q701" i="5"/>
  <c r="O701" i="5"/>
  <c r="Q700" i="5"/>
  <c r="O700" i="5"/>
  <c r="Q699" i="5"/>
  <c r="O699" i="5"/>
  <c r="Q698" i="5"/>
  <c r="O698" i="5"/>
  <c r="Q697" i="5"/>
  <c r="O697" i="5"/>
  <c r="Q696" i="5"/>
  <c r="O696" i="5"/>
  <c r="Q695" i="5"/>
  <c r="O695" i="5"/>
  <c r="Q694" i="5"/>
  <c r="O694" i="5"/>
  <c r="Q693" i="5"/>
  <c r="O693" i="5"/>
  <c r="Q692" i="5"/>
  <c r="O692" i="5"/>
  <c r="Q691" i="5"/>
  <c r="O691" i="5"/>
  <c r="Q690" i="5"/>
  <c r="O690" i="5"/>
  <c r="Q689" i="5"/>
  <c r="O689" i="5"/>
  <c r="Q688" i="5"/>
  <c r="O688" i="5"/>
  <c r="Q687" i="5"/>
  <c r="O687" i="5"/>
  <c r="Q686" i="5"/>
  <c r="O686" i="5"/>
  <c r="Q685" i="5"/>
  <c r="O685" i="5"/>
  <c r="Q684" i="5"/>
  <c r="O684" i="5"/>
  <c r="Q683" i="5"/>
  <c r="O683" i="5"/>
  <c r="Q682" i="5"/>
  <c r="O682" i="5"/>
  <c r="Q681" i="5"/>
  <c r="O681" i="5"/>
  <c r="Q680" i="5"/>
  <c r="O680" i="5"/>
  <c r="Q679" i="5"/>
  <c r="O679" i="5"/>
  <c r="Q678" i="5"/>
  <c r="O678" i="5"/>
  <c r="Q677" i="5"/>
  <c r="O677" i="5"/>
  <c r="Q676" i="5"/>
  <c r="O676" i="5"/>
  <c r="Q675" i="5"/>
  <c r="O675" i="5"/>
  <c r="Q674" i="5"/>
  <c r="O674" i="5"/>
  <c r="Q673" i="5"/>
  <c r="O673" i="5"/>
  <c r="Q672" i="5"/>
  <c r="O672" i="5"/>
  <c r="Q671" i="5"/>
  <c r="O671" i="5"/>
  <c r="Q670" i="5"/>
  <c r="O670" i="5"/>
  <c r="Q669" i="5"/>
  <c r="O669" i="5"/>
  <c r="Q668" i="5"/>
  <c r="O668" i="5"/>
  <c r="Q667" i="5"/>
  <c r="O667" i="5"/>
  <c r="Q666" i="5"/>
  <c r="O666" i="5"/>
  <c r="Q665" i="5"/>
  <c r="O665" i="5"/>
  <c r="Q664" i="5"/>
  <c r="O664" i="5"/>
  <c r="Q663" i="5"/>
  <c r="O663" i="5"/>
  <c r="Q662" i="5"/>
  <c r="O662" i="5"/>
  <c r="Q661" i="5"/>
  <c r="O661" i="5"/>
  <c r="Q660" i="5"/>
  <c r="O660" i="5"/>
  <c r="Q659" i="5"/>
  <c r="O659" i="5"/>
  <c r="Q658" i="5"/>
  <c r="O658" i="5"/>
  <c r="Q657" i="5"/>
  <c r="O657" i="5"/>
  <c r="Q656" i="5"/>
  <c r="O656" i="5"/>
  <c r="Q655" i="5"/>
  <c r="O655" i="5"/>
  <c r="Q654" i="5"/>
  <c r="O654" i="5"/>
  <c r="Q653" i="5"/>
  <c r="O653" i="5"/>
  <c r="Q652" i="5"/>
  <c r="O652" i="5"/>
  <c r="Q651" i="5"/>
  <c r="O651" i="5"/>
  <c r="Q650" i="5"/>
  <c r="O650" i="5"/>
  <c r="Q649" i="5"/>
  <c r="O649" i="5"/>
  <c r="Q648" i="5"/>
  <c r="O648" i="5"/>
  <c r="Q647" i="5"/>
  <c r="O647" i="5"/>
  <c r="Q646" i="5"/>
  <c r="O646" i="5"/>
  <c r="Q645" i="5"/>
  <c r="O645" i="5"/>
  <c r="Q644" i="5"/>
  <c r="O644" i="5"/>
  <c r="Q643" i="5"/>
  <c r="O643" i="5"/>
  <c r="Q642" i="5"/>
  <c r="O642" i="5"/>
  <c r="Q641" i="5"/>
  <c r="O641" i="5"/>
  <c r="Q640" i="5"/>
  <c r="O640" i="5"/>
  <c r="Q639" i="5"/>
  <c r="O639" i="5"/>
  <c r="Q638" i="5"/>
  <c r="O638" i="5"/>
  <c r="Q637" i="5"/>
  <c r="O637" i="5"/>
  <c r="Q636" i="5"/>
  <c r="O636" i="5"/>
  <c r="Q635" i="5"/>
  <c r="O635" i="5"/>
  <c r="Q634" i="5"/>
  <c r="O634" i="5"/>
  <c r="Q633" i="5"/>
  <c r="O633" i="5"/>
  <c r="Q632" i="5"/>
  <c r="O632" i="5"/>
  <c r="Q631" i="5"/>
  <c r="O631" i="5"/>
  <c r="Q630" i="5"/>
  <c r="O630" i="5"/>
  <c r="Q629" i="5"/>
  <c r="O629" i="5"/>
  <c r="Q628" i="5"/>
  <c r="O628" i="5"/>
  <c r="Q627" i="5"/>
  <c r="O627" i="5"/>
  <c r="Q626" i="5"/>
  <c r="O626" i="5"/>
  <c r="Q625" i="5"/>
  <c r="O625" i="5"/>
  <c r="Q624" i="5"/>
  <c r="O624" i="5"/>
  <c r="Q623" i="5"/>
  <c r="O623" i="5"/>
  <c r="Q622" i="5"/>
  <c r="O622" i="5"/>
  <c r="Q621" i="5"/>
  <c r="O621" i="5"/>
  <c r="Q620" i="5"/>
  <c r="O620" i="5"/>
  <c r="Q619" i="5"/>
  <c r="O619" i="5"/>
  <c r="Q618" i="5"/>
  <c r="O618" i="5"/>
  <c r="Q617" i="5"/>
  <c r="O617" i="5"/>
  <c r="Q616" i="5"/>
  <c r="O616" i="5"/>
  <c r="Q615" i="5"/>
  <c r="O615" i="5"/>
  <c r="Q614" i="5"/>
  <c r="O614" i="5"/>
  <c r="Q613" i="5"/>
  <c r="O613" i="5"/>
  <c r="Q612" i="5"/>
  <c r="O612" i="5"/>
  <c r="Q611" i="5"/>
  <c r="O611" i="5"/>
  <c r="Q610" i="5"/>
  <c r="O610" i="5"/>
  <c r="Q609" i="5"/>
  <c r="O609" i="5"/>
  <c r="Q608" i="5"/>
  <c r="O608" i="5"/>
  <c r="Q607" i="5"/>
  <c r="O607" i="5"/>
  <c r="Q606" i="5"/>
  <c r="O606" i="5"/>
  <c r="Q605" i="5"/>
  <c r="O605" i="5"/>
  <c r="Q604" i="5"/>
  <c r="O604" i="5"/>
  <c r="Q603" i="5"/>
  <c r="O603" i="5"/>
  <c r="Q602" i="5"/>
  <c r="O602" i="5"/>
  <c r="Q601" i="5"/>
  <c r="O601" i="5"/>
  <c r="Q600" i="5"/>
  <c r="O600" i="5"/>
  <c r="Q599" i="5"/>
  <c r="O599" i="5"/>
  <c r="Q598" i="5"/>
  <c r="O598" i="5"/>
  <c r="Q597" i="5"/>
  <c r="O597" i="5"/>
  <c r="Q596" i="5"/>
  <c r="O596" i="5"/>
  <c r="Q595" i="5"/>
  <c r="O595" i="5"/>
  <c r="Q594" i="5"/>
  <c r="O594" i="5"/>
  <c r="Q593" i="5"/>
  <c r="O593" i="5"/>
  <c r="Q592" i="5"/>
  <c r="O592" i="5"/>
  <c r="Q591" i="5"/>
  <c r="O591" i="5"/>
  <c r="Q590" i="5"/>
  <c r="O590" i="5"/>
  <c r="Q589" i="5"/>
  <c r="O589" i="5"/>
  <c r="Q588" i="5"/>
  <c r="O588" i="5"/>
  <c r="Q587" i="5"/>
  <c r="O587" i="5"/>
  <c r="Q586" i="5"/>
  <c r="O586" i="5"/>
  <c r="Q585" i="5"/>
  <c r="O585" i="5"/>
  <c r="Q584" i="5"/>
  <c r="O584" i="5"/>
  <c r="Q583" i="5"/>
  <c r="O583" i="5"/>
  <c r="Q582" i="5"/>
  <c r="O582" i="5"/>
  <c r="Q581" i="5"/>
  <c r="O581" i="5"/>
  <c r="Q580" i="5"/>
  <c r="O580" i="5"/>
  <c r="Q579" i="5"/>
  <c r="O579" i="5"/>
  <c r="Q578" i="5"/>
  <c r="O578" i="5"/>
  <c r="Q577" i="5"/>
  <c r="O577" i="5"/>
  <c r="Q576" i="5"/>
  <c r="O576" i="5"/>
  <c r="Q575" i="5"/>
  <c r="O575" i="5"/>
  <c r="Q574" i="5"/>
  <c r="O574" i="5"/>
  <c r="Q573" i="5"/>
  <c r="O573" i="5"/>
  <c r="Q572" i="5"/>
  <c r="O572" i="5"/>
  <c r="Q571" i="5"/>
  <c r="O571" i="5"/>
  <c r="Q570" i="5"/>
  <c r="O570" i="5"/>
  <c r="Q569" i="5"/>
  <c r="O569" i="5"/>
  <c r="Q568" i="5"/>
  <c r="O568" i="5"/>
  <c r="Q567" i="5"/>
  <c r="O567" i="5"/>
  <c r="Q566" i="5"/>
  <c r="O566" i="5"/>
  <c r="Q565" i="5"/>
  <c r="O565" i="5"/>
  <c r="Q564" i="5"/>
  <c r="O564" i="5"/>
  <c r="Q563" i="5"/>
  <c r="O563" i="5"/>
  <c r="Q562" i="5"/>
  <c r="O562" i="5"/>
  <c r="Q561" i="5"/>
  <c r="O561" i="5"/>
  <c r="Q560" i="5"/>
  <c r="O560" i="5"/>
  <c r="Q559" i="5"/>
  <c r="O559" i="5"/>
  <c r="Q558" i="5"/>
  <c r="O558" i="5"/>
  <c r="Q557" i="5"/>
  <c r="O557" i="5"/>
  <c r="Q556" i="5"/>
  <c r="O556" i="5"/>
  <c r="Q555" i="5"/>
  <c r="O555" i="5"/>
  <c r="Q554" i="5"/>
  <c r="O554" i="5"/>
  <c r="Q553" i="5"/>
  <c r="O553" i="5"/>
  <c r="Q552" i="5"/>
  <c r="O552" i="5"/>
  <c r="Q551" i="5"/>
  <c r="O551" i="5"/>
  <c r="Q550" i="5"/>
  <c r="O550" i="5"/>
  <c r="Q549" i="5"/>
  <c r="O549" i="5"/>
  <c r="Q548" i="5"/>
  <c r="O548" i="5"/>
  <c r="Q547" i="5"/>
  <c r="O547" i="5"/>
  <c r="Q546" i="5"/>
  <c r="O546" i="5"/>
  <c r="Q545" i="5"/>
  <c r="O545" i="5"/>
  <c r="Q544" i="5"/>
  <c r="O544" i="5"/>
  <c r="Q543" i="5"/>
  <c r="O543" i="5"/>
  <c r="Q542" i="5"/>
  <c r="O542" i="5"/>
  <c r="Q541" i="5"/>
  <c r="O541" i="5"/>
  <c r="Q540" i="5"/>
  <c r="O540" i="5"/>
  <c r="Q539" i="5"/>
  <c r="O539" i="5"/>
  <c r="Q538" i="5"/>
  <c r="O538" i="5"/>
  <c r="Q537" i="5"/>
  <c r="O537" i="5"/>
  <c r="Q536" i="5"/>
  <c r="O536" i="5"/>
  <c r="Q535" i="5"/>
  <c r="O535" i="5"/>
  <c r="Q534" i="5"/>
  <c r="O534" i="5"/>
  <c r="Q533" i="5"/>
  <c r="O533" i="5"/>
  <c r="Q532" i="5"/>
  <c r="O532" i="5"/>
  <c r="Q531" i="5"/>
  <c r="O531" i="5"/>
  <c r="Q530" i="5"/>
  <c r="O530" i="5"/>
  <c r="Q529" i="5"/>
  <c r="O529" i="5"/>
  <c r="Q528" i="5"/>
  <c r="O528" i="5"/>
  <c r="Q527" i="5"/>
  <c r="O527" i="5"/>
  <c r="Q526" i="5"/>
  <c r="O526" i="5"/>
  <c r="Q525" i="5"/>
  <c r="O525" i="5"/>
  <c r="Q524" i="5"/>
  <c r="O524" i="5"/>
  <c r="Q523" i="5"/>
  <c r="O523" i="5"/>
  <c r="Q522" i="5"/>
  <c r="O522" i="5"/>
  <c r="Q521" i="5"/>
  <c r="O521" i="5"/>
  <c r="Q520" i="5"/>
  <c r="O520" i="5"/>
  <c r="Q519" i="5"/>
  <c r="O519" i="5"/>
  <c r="Q518" i="5"/>
  <c r="O518" i="5"/>
  <c r="Q517" i="5"/>
  <c r="O517" i="5"/>
  <c r="Q516" i="5"/>
  <c r="O516" i="5"/>
  <c r="Q515" i="5"/>
  <c r="O515" i="5"/>
  <c r="Q514" i="5"/>
  <c r="O514" i="5"/>
  <c r="Q513" i="5"/>
  <c r="O513" i="5"/>
  <c r="Q512" i="5"/>
  <c r="O512" i="5"/>
  <c r="Q511" i="5"/>
  <c r="O511" i="5"/>
  <c r="Q510" i="5"/>
  <c r="O510" i="5"/>
  <c r="Q509" i="5"/>
  <c r="O509" i="5"/>
  <c r="Q508" i="5"/>
  <c r="O508" i="5"/>
  <c r="Q507" i="5"/>
  <c r="O507" i="5"/>
  <c r="Q506" i="5"/>
  <c r="O506" i="5"/>
  <c r="Q505" i="5"/>
  <c r="O505" i="5"/>
  <c r="Q504" i="5"/>
  <c r="O504" i="5"/>
  <c r="Q503" i="5"/>
  <c r="O503" i="5"/>
  <c r="Q502" i="5"/>
  <c r="O502" i="5"/>
  <c r="Q501" i="5"/>
  <c r="O501" i="5"/>
  <c r="Q500" i="5"/>
  <c r="O500" i="5"/>
  <c r="Q499" i="5"/>
  <c r="O499" i="5"/>
  <c r="Q498" i="5"/>
  <c r="O498" i="5"/>
  <c r="Q497" i="5"/>
  <c r="O497" i="5"/>
  <c r="Q496" i="5"/>
  <c r="O496" i="5"/>
  <c r="Q495" i="5"/>
  <c r="O495" i="5"/>
  <c r="Q494" i="5"/>
  <c r="O494" i="5"/>
  <c r="Q493" i="5"/>
  <c r="O493" i="5"/>
  <c r="Q492" i="5"/>
  <c r="O492" i="5"/>
  <c r="Q491" i="5"/>
  <c r="O491" i="5"/>
  <c r="Q490" i="5"/>
  <c r="O490" i="5"/>
  <c r="Q489" i="5"/>
  <c r="O489" i="5"/>
  <c r="Q488" i="5"/>
  <c r="O488" i="5"/>
  <c r="Q487" i="5"/>
  <c r="O487" i="5"/>
  <c r="Q486" i="5"/>
  <c r="O486" i="5"/>
  <c r="Q485" i="5"/>
  <c r="O485" i="5"/>
  <c r="Q484" i="5"/>
  <c r="O484" i="5"/>
  <c r="Q483" i="5"/>
  <c r="O483" i="5"/>
  <c r="Q482" i="5"/>
  <c r="O482" i="5"/>
  <c r="Q481" i="5"/>
  <c r="O481" i="5"/>
  <c r="Q480" i="5"/>
  <c r="O480" i="5"/>
  <c r="Q479" i="5"/>
  <c r="O479" i="5"/>
  <c r="Q478" i="5"/>
  <c r="O478" i="5"/>
  <c r="Q477" i="5"/>
  <c r="O477" i="5"/>
  <c r="Q476" i="5"/>
  <c r="O476" i="5"/>
  <c r="Q475" i="5"/>
  <c r="O475" i="5"/>
  <c r="Q474" i="5"/>
  <c r="O474" i="5"/>
  <c r="Q473" i="5"/>
  <c r="O473" i="5"/>
  <c r="Q472" i="5"/>
  <c r="O472" i="5"/>
  <c r="Q471" i="5"/>
  <c r="O471" i="5"/>
  <c r="Q470" i="5"/>
  <c r="O470" i="5"/>
  <c r="Q469" i="5"/>
  <c r="O469" i="5"/>
  <c r="Q468" i="5"/>
  <c r="O468" i="5"/>
  <c r="Q467" i="5"/>
  <c r="O467" i="5"/>
  <c r="Q466" i="5"/>
  <c r="O466" i="5"/>
  <c r="Q465" i="5"/>
  <c r="O465" i="5"/>
  <c r="Q464" i="5"/>
  <c r="O464" i="5"/>
  <c r="Q463" i="5"/>
  <c r="O463" i="5"/>
  <c r="Q462" i="5"/>
  <c r="O462" i="5"/>
  <c r="Q461" i="5"/>
  <c r="O461" i="5"/>
  <c r="Q460" i="5"/>
  <c r="O460" i="5"/>
  <c r="Q459" i="5"/>
  <c r="O459" i="5"/>
  <c r="Q458" i="5"/>
  <c r="O458" i="5"/>
  <c r="Q457" i="5"/>
  <c r="O457" i="5"/>
  <c r="Q456" i="5"/>
  <c r="O456" i="5"/>
  <c r="Q455" i="5"/>
  <c r="O455" i="5"/>
  <c r="Q454" i="5"/>
  <c r="O454" i="5"/>
  <c r="Q453" i="5"/>
  <c r="O453" i="5"/>
  <c r="Q452" i="5"/>
  <c r="O452" i="5"/>
  <c r="Q451" i="5"/>
  <c r="O451" i="5"/>
  <c r="Q450" i="5"/>
  <c r="O450" i="5"/>
  <c r="Q449" i="5"/>
  <c r="O449" i="5"/>
  <c r="Q448" i="5"/>
  <c r="O448" i="5"/>
  <c r="Q447" i="5"/>
  <c r="O447" i="5"/>
  <c r="Q446" i="5"/>
  <c r="O446" i="5"/>
  <c r="Q445" i="5"/>
  <c r="O445" i="5"/>
  <c r="Q444" i="5"/>
  <c r="O444" i="5"/>
  <c r="Q443" i="5"/>
  <c r="O443" i="5"/>
  <c r="Q442" i="5"/>
  <c r="O442" i="5"/>
  <c r="Q441" i="5"/>
  <c r="O441" i="5"/>
  <c r="Q440" i="5"/>
  <c r="O440" i="5"/>
  <c r="Q439" i="5"/>
  <c r="O439" i="5"/>
  <c r="Q438" i="5"/>
  <c r="O438" i="5"/>
  <c r="Q437" i="5"/>
  <c r="O437" i="5"/>
  <c r="Q436" i="5"/>
  <c r="O436" i="5"/>
  <c r="Q435" i="5"/>
  <c r="O435" i="5"/>
  <c r="Q434" i="5"/>
  <c r="O434" i="5"/>
  <c r="Q433" i="5"/>
  <c r="O433" i="5"/>
  <c r="Q432" i="5"/>
  <c r="O432" i="5"/>
  <c r="Q431" i="5"/>
  <c r="O431" i="5"/>
  <c r="Q430" i="5"/>
  <c r="O430" i="5"/>
  <c r="Q429" i="5"/>
  <c r="O429" i="5"/>
  <c r="Q428" i="5"/>
  <c r="O428" i="5"/>
  <c r="Q427" i="5"/>
  <c r="O427" i="5"/>
  <c r="Q426" i="5"/>
  <c r="O426" i="5"/>
  <c r="Q425" i="5"/>
  <c r="O425" i="5"/>
  <c r="Q424" i="5"/>
  <c r="O424" i="5"/>
  <c r="Q423" i="5"/>
  <c r="O423" i="5"/>
  <c r="Q422" i="5"/>
  <c r="O422" i="5"/>
  <c r="Q421" i="5"/>
  <c r="O421" i="5"/>
  <c r="Q420" i="5"/>
  <c r="O420" i="5"/>
  <c r="Q419" i="5"/>
  <c r="O419" i="5"/>
  <c r="Q418" i="5"/>
  <c r="O418" i="5"/>
  <c r="Q417" i="5"/>
  <c r="O417" i="5"/>
  <c r="Q416" i="5"/>
  <c r="O416" i="5"/>
  <c r="Q415" i="5"/>
  <c r="O415" i="5"/>
  <c r="Q414" i="5"/>
  <c r="O414" i="5"/>
  <c r="Q413" i="5"/>
  <c r="O413" i="5"/>
  <c r="Q412" i="5"/>
  <c r="O412" i="5"/>
  <c r="Q411" i="5"/>
  <c r="O411" i="5"/>
  <c r="Q410" i="5"/>
  <c r="O410" i="5"/>
  <c r="Q409" i="5"/>
  <c r="O409" i="5"/>
  <c r="Q408" i="5"/>
  <c r="O408" i="5"/>
  <c r="Q407" i="5"/>
  <c r="O407" i="5"/>
  <c r="Q406" i="5"/>
  <c r="O406" i="5"/>
  <c r="Q405" i="5"/>
  <c r="O405" i="5"/>
  <c r="Q404" i="5"/>
  <c r="O404" i="5"/>
  <c r="Q403" i="5"/>
  <c r="O403" i="5"/>
  <c r="Q402" i="5"/>
  <c r="O402" i="5"/>
  <c r="Q401" i="5"/>
  <c r="O401" i="5"/>
  <c r="Q400" i="5"/>
  <c r="O400" i="5"/>
  <c r="Q399" i="5"/>
  <c r="O399" i="5"/>
  <c r="Q398" i="5"/>
  <c r="O398" i="5"/>
  <c r="Q397" i="5"/>
  <c r="O397" i="5"/>
  <c r="Q396" i="5"/>
  <c r="O396" i="5"/>
  <c r="Q395" i="5"/>
  <c r="O395" i="5"/>
  <c r="Q394" i="5"/>
  <c r="O394" i="5"/>
  <c r="Q393" i="5"/>
  <c r="O393" i="5"/>
  <c r="Q392" i="5"/>
  <c r="O392" i="5"/>
  <c r="Q391" i="5"/>
  <c r="O391" i="5"/>
  <c r="Q390" i="5"/>
  <c r="O390" i="5"/>
  <c r="Q389" i="5"/>
  <c r="O389" i="5"/>
  <c r="Q388" i="5"/>
  <c r="O388" i="5"/>
  <c r="Q387" i="5"/>
  <c r="O387" i="5"/>
  <c r="Q386" i="5"/>
  <c r="O386" i="5"/>
  <c r="Q385" i="5"/>
  <c r="O385" i="5"/>
  <c r="Q384" i="5"/>
  <c r="O384" i="5"/>
  <c r="Q383" i="5"/>
  <c r="O383" i="5"/>
  <c r="Q382" i="5"/>
  <c r="O382" i="5"/>
  <c r="Q381" i="5"/>
  <c r="O381" i="5"/>
  <c r="Q380" i="5"/>
  <c r="O380" i="5"/>
  <c r="Q379" i="5"/>
  <c r="O379" i="5"/>
  <c r="Q378" i="5"/>
  <c r="O378" i="5"/>
  <c r="Q377" i="5"/>
  <c r="O377" i="5"/>
  <c r="Q376" i="5"/>
  <c r="O376" i="5"/>
  <c r="Q375" i="5"/>
  <c r="O375" i="5"/>
  <c r="Q374" i="5"/>
  <c r="O374" i="5"/>
  <c r="Q373" i="5"/>
  <c r="O373" i="5"/>
  <c r="Q372" i="5"/>
  <c r="O372" i="5"/>
  <c r="Q371" i="5"/>
  <c r="O371" i="5"/>
  <c r="Q370" i="5"/>
  <c r="O370" i="5"/>
  <c r="Q369" i="5"/>
  <c r="O369" i="5"/>
  <c r="Q368" i="5"/>
  <c r="O368" i="5"/>
  <c r="Q367" i="5"/>
  <c r="O367" i="5"/>
  <c r="Q366" i="5"/>
  <c r="O366" i="5"/>
  <c r="Q365" i="5"/>
  <c r="O365" i="5"/>
  <c r="Q364" i="5"/>
  <c r="O364" i="5"/>
  <c r="Q363" i="5"/>
  <c r="O363" i="5"/>
  <c r="Q362" i="5"/>
  <c r="O362" i="5"/>
  <c r="Q361" i="5"/>
  <c r="O361" i="5"/>
  <c r="Q360" i="5"/>
  <c r="O360" i="5"/>
  <c r="Q359" i="5"/>
  <c r="O359" i="5"/>
  <c r="Q358" i="5"/>
  <c r="O358" i="5"/>
  <c r="Q357" i="5"/>
  <c r="O357" i="5"/>
  <c r="Q356" i="5"/>
  <c r="O356" i="5"/>
  <c r="Q355" i="5"/>
  <c r="O355" i="5"/>
  <c r="Q354" i="5"/>
  <c r="O354" i="5"/>
  <c r="Q353" i="5"/>
  <c r="O353" i="5"/>
  <c r="Q352" i="5"/>
  <c r="O352" i="5"/>
  <c r="Q351" i="5"/>
  <c r="O351" i="5"/>
  <c r="Q350" i="5"/>
  <c r="O350" i="5"/>
  <c r="Q349" i="5"/>
  <c r="O349" i="5"/>
  <c r="Q348" i="5"/>
  <c r="O348" i="5"/>
  <c r="Q347" i="5"/>
  <c r="O347" i="5"/>
  <c r="Q346" i="5"/>
  <c r="O346" i="5"/>
  <c r="Q345" i="5"/>
  <c r="O345" i="5"/>
  <c r="Q344" i="5"/>
  <c r="O344" i="5"/>
  <c r="Q343" i="5"/>
  <c r="O343" i="5"/>
  <c r="Q342" i="5"/>
  <c r="O342" i="5"/>
  <c r="Q341" i="5"/>
  <c r="O341" i="5"/>
  <c r="Q340" i="5"/>
  <c r="O340" i="5"/>
  <c r="Q339" i="5"/>
  <c r="O339" i="5"/>
  <c r="Q338" i="5"/>
  <c r="O338" i="5"/>
  <c r="Q337" i="5"/>
  <c r="O337" i="5"/>
  <c r="Q336" i="5"/>
  <c r="O336" i="5"/>
  <c r="Q335" i="5"/>
  <c r="O335" i="5"/>
  <c r="Q334" i="5"/>
  <c r="O334" i="5"/>
  <c r="Q333" i="5"/>
  <c r="O333" i="5"/>
  <c r="Q332" i="5"/>
  <c r="O332" i="5"/>
  <c r="Q331" i="5"/>
  <c r="O331" i="5"/>
  <c r="Q330" i="5"/>
  <c r="O330" i="5"/>
  <c r="Q329" i="5"/>
  <c r="O329" i="5"/>
  <c r="Q328" i="5"/>
  <c r="O328" i="5"/>
  <c r="Q327" i="5"/>
  <c r="O327" i="5"/>
  <c r="Q326" i="5"/>
  <c r="O326" i="5"/>
  <c r="Q325" i="5"/>
  <c r="O325" i="5"/>
  <c r="Q324" i="5"/>
  <c r="O324" i="5"/>
  <c r="Q323" i="5"/>
  <c r="O323" i="5"/>
  <c r="Q322" i="5"/>
  <c r="O322" i="5"/>
  <c r="Q321" i="5"/>
  <c r="O321" i="5"/>
  <c r="Q320" i="5"/>
  <c r="O320" i="5"/>
  <c r="Q319" i="5"/>
  <c r="O319" i="5"/>
  <c r="Q318" i="5"/>
  <c r="O318" i="5"/>
  <c r="Q317" i="5"/>
  <c r="O317" i="5"/>
  <c r="Q316" i="5"/>
  <c r="O316" i="5"/>
  <c r="Q315" i="5"/>
  <c r="O315" i="5"/>
  <c r="Q314" i="5"/>
  <c r="O314" i="5"/>
  <c r="Q313" i="5"/>
  <c r="O313" i="5"/>
  <c r="Q312" i="5"/>
  <c r="O312" i="5"/>
  <c r="Q311" i="5"/>
  <c r="O311" i="5"/>
  <c r="Q310" i="5"/>
  <c r="O310" i="5"/>
  <c r="Q309" i="5"/>
  <c r="O309" i="5"/>
  <c r="Q308" i="5"/>
  <c r="O308" i="5"/>
  <c r="Q307" i="5"/>
  <c r="O307" i="5"/>
  <c r="Q306" i="5"/>
  <c r="O306" i="5"/>
  <c r="Q305" i="5"/>
  <c r="O305" i="5"/>
  <c r="Q304" i="5"/>
  <c r="O304" i="5"/>
  <c r="Q303" i="5"/>
  <c r="O303" i="5"/>
  <c r="Q302" i="5"/>
  <c r="O302" i="5"/>
  <c r="Q301" i="5"/>
  <c r="O301" i="5"/>
  <c r="Q300" i="5"/>
  <c r="O300" i="5"/>
  <c r="Q299" i="5"/>
  <c r="O299" i="5"/>
  <c r="Q298" i="5"/>
  <c r="O298" i="5"/>
  <c r="Q297" i="5"/>
  <c r="O297" i="5"/>
  <c r="Q296" i="5"/>
  <c r="O296" i="5"/>
  <c r="Q295" i="5"/>
  <c r="O295" i="5"/>
  <c r="Q294" i="5"/>
  <c r="O294" i="5"/>
  <c r="Q293" i="5"/>
  <c r="O293" i="5"/>
  <c r="Q292" i="5"/>
  <c r="O292" i="5"/>
  <c r="Q291" i="5"/>
  <c r="O291" i="5"/>
  <c r="Q290" i="5"/>
  <c r="O290" i="5"/>
  <c r="Q289" i="5"/>
  <c r="O289" i="5"/>
  <c r="Q288" i="5"/>
  <c r="O288" i="5"/>
  <c r="Q287" i="5"/>
  <c r="O287" i="5"/>
  <c r="Q286" i="5"/>
  <c r="O286" i="5"/>
  <c r="Q285" i="5"/>
  <c r="O285" i="5"/>
  <c r="Q284" i="5"/>
  <c r="O284" i="5"/>
  <c r="Q283" i="5"/>
  <c r="O283" i="5"/>
  <c r="Q282" i="5"/>
  <c r="O282" i="5"/>
  <c r="Q281" i="5"/>
  <c r="O281" i="5"/>
  <c r="Q280" i="5"/>
  <c r="O280" i="5"/>
  <c r="Q279" i="5"/>
  <c r="O279" i="5"/>
  <c r="Q278" i="5"/>
  <c r="O278" i="5"/>
  <c r="Q277" i="5"/>
  <c r="O277" i="5"/>
  <c r="Q276" i="5"/>
  <c r="O276" i="5"/>
  <c r="Q275" i="5"/>
  <c r="O275" i="5"/>
  <c r="Q274" i="5"/>
  <c r="O274" i="5"/>
  <c r="Q273" i="5"/>
  <c r="O273" i="5"/>
  <c r="Q272" i="5"/>
  <c r="O272" i="5"/>
  <c r="Q271" i="5"/>
  <c r="O271" i="5"/>
  <c r="Q270" i="5"/>
  <c r="O270" i="5"/>
  <c r="Q269" i="5"/>
  <c r="O269" i="5"/>
  <c r="Q268" i="5"/>
  <c r="O268" i="5"/>
  <c r="Q267" i="5"/>
  <c r="O267" i="5"/>
  <c r="Q266" i="5"/>
  <c r="O266" i="5"/>
  <c r="Q265" i="5"/>
  <c r="O265" i="5"/>
  <c r="Q264" i="5"/>
  <c r="O264" i="5"/>
  <c r="Q263" i="5"/>
  <c r="O263" i="5"/>
  <c r="Q262" i="5"/>
  <c r="O262" i="5"/>
  <c r="Q261" i="5"/>
  <c r="O261" i="5"/>
  <c r="Q260" i="5"/>
  <c r="O260" i="5"/>
  <c r="Q259" i="5"/>
  <c r="O259" i="5"/>
  <c r="Q258" i="5"/>
  <c r="O258" i="5"/>
  <c r="Q257" i="5"/>
  <c r="O257" i="5"/>
  <c r="Q256" i="5"/>
  <c r="O256" i="5"/>
  <c r="Q255" i="5"/>
  <c r="O255" i="5"/>
  <c r="Q254" i="5"/>
  <c r="O254" i="5"/>
  <c r="Q253" i="5"/>
  <c r="O253" i="5"/>
  <c r="Q252" i="5"/>
  <c r="O252" i="5"/>
  <c r="Q251" i="5"/>
  <c r="O251" i="5"/>
  <c r="Q250" i="5"/>
  <c r="O250" i="5"/>
  <c r="Q249" i="5"/>
  <c r="O249" i="5"/>
  <c r="Q248" i="5"/>
  <c r="O248" i="5"/>
  <c r="Q247" i="5"/>
  <c r="O247" i="5"/>
  <c r="Q246" i="5"/>
  <c r="O246" i="5"/>
  <c r="Q245" i="5"/>
  <c r="O245" i="5"/>
  <c r="Q244" i="5"/>
  <c r="O244" i="5"/>
  <c r="Q243" i="5"/>
  <c r="O243" i="5"/>
  <c r="Q242" i="5"/>
  <c r="O242" i="5"/>
  <c r="Q241" i="5"/>
  <c r="O241" i="5"/>
  <c r="Q240" i="5"/>
  <c r="O240" i="5"/>
  <c r="Q239" i="5"/>
  <c r="O239" i="5"/>
  <c r="Q238" i="5"/>
  <c r="O238" i="5"/>
  <c r="Q237" i="5"/>
  <c r="O237" i="5"/>
  <c r="Q236" i="5"/>
  <c r="O236" i="5"/>
  <c r="Q235" i="5"/>
  <c r="O235" i="5"/>
  <c r="Q234" i="5"/>
  <c r="O234" i="5"/>
  <c r="Q233" i="5"/>
  <c r="O233" i="5"/>
  <c r="Q232" i="5"/>
  <c r="O232" i="5"/>
  <c r="Q231" i="5"/>
  <c r="O231" i="5"/>
  <c r="Q230" i="5"/>
  <c r="O230" i="5"/>
  <c r="Q229" i="5"/>
  <c r="O229" i="5"/>
  <c r="Q228" i="5"/>
  <c r="O228" i="5"/>
  <c r="Q227" i="5"/>
  <c r="O227" i="5"/>
  <c r="Q226" i="5"/>
  <c r="O226" i="5"/>
  <c r="Q225" i="5"/>
  <c r="O225" i="5"/>
  <c r="Q224" i="5"/>
  <c r="O224" i="5"/>
  <c r="Q223" i="5"/>
  <c r="O223" i="5"/>
  <c r="Q222" i="5"/>
  <c r="O222" i="5"/>
  <c r="Q221" i="5"/>
  <c r="O221" i="5"/>
  <c r="Q220" i="5"/>
  <c r="O220" i="5"/>
  <c r="Q219" i="5"/>
  <c r="O219" i="5"/>
  <c r="Q218" i="5"/>
  <c r="O218" i="5"/>
  <c r="Q217" i="5"/>
  <c r="O217" i="5"/>
  <c r="Q216" i="5"/>
  <c r="O216" i="5"/>
  <c r="Q215" i="5"/>
  <c r="O215" i="5"/>
  <c r="Q214" i="5"/>
  <c r="O214" i="5"/>
  <c r="Q213" i="5"/>
  <c r="O213" i="5"/>
  <c r="Q212" i="5"/>
  <c r="O212" i="5"/>
  <c r="Q211" i="5"/>
  <c r="O211" i="5"/>
  <c r="Q210" i="5"/>
  <c r="O210" i="5"/>
  <c r="Q209" i="5"/>
  <c r="O209" i="5"/>
  <c r="Q208" i="5"/>
  <c r="O208" i="5"/>
  <c r="Q207" i="5"/>
  <c r="O207" i="5"/>
  <c r="Q206" i="5"/>
  <c r="O206" i="5"/>
  <c r="Q205" i="5"/>
  <c r="O205" i="5"/>
  <c r="Q204" i="5"/>
  <c r="O204" i="5"/>
  <c r="Q203" i="5"/>
  <c r="O203" i="5"/>
  <c r="Q202" i="5"/>
  <c r="O202" i="5"/>
  <c r="Q201" i="5"/>
  <c r="O201" i="5"/>
  <c r="Q200" i="5"/>
  <c r="O200" i="5"/>
  <c r="Q199" i="5"/>
  <c r="O199" i="5"/>
  <c r="Q198" i="5"/>
  <c r="O198" i="5"/>
  <c r="Q197" i="5"/>
  <c r="O197" i="5"/>
  <c r="Q196" i="5"/>
  <c r="O196" i="5"/>
  <c r="Q195" i="5"/>
  <c r="O195" i="5"/>
  <c r="Q194" i="5"/>
  <c r="O194" i="5"/>
  <c r="Q193" i="5"/>
  <c r="O193" i="5"/>
  <c r="Q192" i="5"/>
  <c r="O192" i="5"/>
  <c r="Q191" i="5"/>
  <c r="O191" i="5"/>
  <c r="Q190" i="5"/>
  <c r="O190" i="5"/>
  <c r="Q189" i="5"/>
  <c r="O189" i="5"/>
  <c r="Q188" i="5"/>
  <c r="O188" i="5"/>
  <c r="Q187" i="5"/>
  <c r="O187" i="5"/>
  <c r="Q186" i="5"/>
  <c r="O186" i="5"/>
  <c r="Q185" i="5"/>
  <c r="O185" i="5"/>
  <c r="Q184" i="5"/>
  <c r="O184" i="5"/>
  <c r="Q183" i="5"/>
  <c r="O183" i="5"/>
  <c r="Q182" i="5"/>
  <c r="O182" i="5"/>
  <c r="Q181" i="5"/>
  <c r="O181" i="5"/>
  <c r="Q180" i="5"/>
  <c r="O180" i="5"/>
  <c r="Q179" i="5"/>
  <c r="O179" i="5"/>
  <c r="Q178" i="5"/>
  <c r="O178" i="5"/>
  <c r="Q177" i="5"/>
  <c r="O177" i="5"/>
  <c r="Q176" i="5"/>
  <c r="O176" i="5"/>
  <c r="Q175" i="5"/>
  <c r="O175" i="5"/>
  <c r="Q174" i="5"/>
  <c r="O174" i="5"/>
  <c r="Q173" i="5"/>
  <c r="O173" i="5"/>
  <c r="Q172" i="5"/>
  <c r="O172" i="5"/>
  <c r="Q171" i="5"/>
  <c r="O171" i="5"/>
  <c r="Q170" i="5"/>
  <c r="O170" i="5"/>
  <c r="Q169" i="5"/>
  <c r="O169" i="5"/>
  <c r="Q168" i="5"/>
  <c r="O168" i="5"/>
  <c r="Q167" i="5"/>
  <c r="O167" i="5"/>
  <c r="Q166" i="5"/>
  <c r="O166" i="5"/>
  <c r="Q165" i="5"/>
  <c r="O165" i="5"/>
  <c r="Q164" i="5"/>
  <c r="O164" i="5"/>
  <c r="Q163" i="5"/>
  <c r="O163" i="5"/>
  <c r="Q162" i="5"/>
  <c r="O162" i="5"/>
  <c r="Q161" i="5"/>
  <c r="O161" i="5"/>
  <c r="Q160" i="5"/>
  <c r="O160" i="5"/>
  <c r="Q159" i="5"/>
  <c r="O159" i="5"/>
  <c r="Q158" i="5"/>
  <c r="O158" i="5"/>
  <c r="Q157" i="5"/>
  <c r="O157" i="5"/>
  <c r="Q156" i="5"/>
  <c r="O156" i="5"/>
  <c r="Q155" i="5"/>
  <c r="O155" i="5"/>
  <c r="Q154" i="5"/>
  <c r="O154" i="5"/>
  <c r="Q153" i="5"/>
  <c r="O153" i="5"/>
  <c r="Q152" i="5"/>
  <c r="O152" i="5"/>
  <c r="Q151" i="5"/>
  <c r="O151" i="5"/>
  <c r="Q150" i="5"/>
  <c r="O150" i="5"/>
  <c r="Q149" i="5"/>
  <c r="O149" i="5"/>
  <c r="Q148" i="5"/>
  <c r="O148" i="5"/>
  <c r="Q147" i="5"/>
  <c r="O147" i="5"/>
  <c r="Q146" i="5"/>
  <c r="O146" i="5"/>
  <c r="Q145" i="5"/>
  <c r="O145" i="5"/>
  <c r="Q144" i="5"/>
  <c r="O144" i="5"/>
  <c r="Q143" i="5"/>
  <c r="O143" i="5"/>
  <c r="Q142" i="5"/>
  <c r="O142" i="5"/>
  <c r="Q141" i="5"/>
  <c r="O141" i="5"/>
  <c r="Q140" i="5"/>
  <c r="O140" i="5"/>
  <c r="Q139" i="5"/>
  <c r="O139" i="5"/>
  <c r="Q138" i="5"/>
  <c r="O138" i="5"/>
  <c r="Q137" i="5"/>
  <c r="O137" i="5"/>
  <c r="Q136" i="5"/>
  <c r="O136" i="5"/>
  <c r="Q135" i="5"/>
  <c r="O135" i="5"/>
  <c r="Q134" i="5"/>
  <c r="O134" i="5"/>
  <c r="Q133" i="5"/>
  <c r="O133" i="5"/>
  <c r="Q132" i="5"/>
  <c r="O132" i="5"/>
  <c r="Q131" i="5"/>
  <c r="O131" i="5"/>
  <c r="Q130" i="5"/>
  <c r="O130" i="5"/>
  <c r="Q129" i="5"/>
  <c r="O129" i="5"/>
  <c r="Q128" i="5"/>
  <c r="O128" i="5"/>
  <c r="Q127" i="5"/>
  <c r="O127" i="5"/>
  <c r="Q126" i="5"/>
  <c r="O126" i="5"/>
  <c r="Q125" i="5"/>
  <c r="O125" i="5"/>
  <c r="Q124" i="5"/>
  <c r="O124" i="5"/>
  <c r="Q123" i="5"/>
  <c r="O123" i="5"/>
  <c r="Q122" i="5"/>
  <c r="O122" i="5"/>
  <c r="Q121" i="5"/>
  <c r="O121" i="5"/>
  <c r="Q120" i="5"/>
  <c r="O120" i="5"/>
  <c r="Q119" i="5"/>
  <c r="O119" i="5"/>
  <c r="Q118" i="5"/>
  <c r="O118" i="5"/>
  <c r="Q117" i="5"/>
  <c r="O117" i="5"/>
  <c r="Q116" i="5"/>
  <c r="O116" i="5"/>
  <c r="Q115" i="5"/>
  <c r="O115" i="5"/>
  <c r="Q114" i="5"/>
  <c r="O114" i="5"/>
  <c r="Q113" i="5"/>
  <c r="O113" i="5"/>
  <c r="Q112" i="5"/>
  <c r="O112" i="5"/>
  <c r="Q111" i="5"/>
  <c r="O111" i="5"/>
  <c r="Q110" i="5"/>
  <c r="O110" i="5"/>
  <c r="Q109" i="5"/>
  <c r="O109" i="5"/>
  <c r="Q108" i="5"/>
  <c r="O108" i="5"/>
  <c r="Q107" i="5"/>
  <c r="O107" i="5"/>
  <c r="Q106" i="5"/>
  <c r="O106" i="5"/>
  <c r="Q105" i="5"/>
  <c r="O105" i="5"/>
  <c r="Q104" i="5"/>
  <c r="O104" i="5"/>
  <c r="Q103" i="5"/>
  <c r="O103" i="5"/>
  <c r="Q102" i="5"/>
  <c r="O102" i="5"/>
  <c r="Q101" i="5"/>
  <c r="O101" i="5"/>
  <c r="Q100" i="5"/>
  <c r="O100" i="5"/>
  <c r="Q99" i="5"/>
  <c r="O99" i="5"/>
  <c r="Q98" i="5"/>
  <c r="O98" i="5"/>
  <c r="Q97" i="5"/>
  <c r="O97" i="5"/>
  <c r="Q96" i="5"/>
  <c r="O96" i="5"/>
  <c r="Q95" i="5"/>
  <c r="O95" i="5"/>
  <c r="Q94" i="5"/>
  <c r="O94" i="5"/>
  <c r="Q93" i="5"/>
  <c r="O93" i="5"/>
  <c r="Q92" i="5"/>
  <c r="O92" i="5"/>
  <c r="Q91" i="5"/>
  <c r="O91" i="5"/>
  <c r="Q90" i="5"/>
  <c r="O90" i="5"/>
  <c r="Q89" i="5"/>
  <c r="O89" i="5"/>
  <c r="Q88" i="5"/>
  <c r="O88" i="5"/>
  <c r="Q87" i="5"/>
  <c r="O87" i="5"/>
  <c r="Q86" i="5"/>
  <c r="O86" i="5"/>
  <c r="Q85" i="5"/>
  <c r="O85" i="5"/>
  <c r="Q84" i="5"/>
  <c r="O84" i="5"/>
  <c r="Q83" i="5"/>
  <c r="O83" i="5"/>
  <c r="Q82" i="5"/>
  <c r="O82" i="5"/>
  <c r="Q81" i="5"/>
  <c r="O81" i="5"/>
  <c r="Q80" i="5"/>
  <c r="O80" i="5"/>
  <c r="Q79" i="5"/>
  <c r="O79" i="5"/>
  <c r="Q78" i="5"/>
  <c r="O78" i="5"/>
  <c r="Q77" i="5"/>
  <c r="O77" i="5"/>
  <c r="Q76" i="5"/>
  <c r="O76" i="5"/>
  <c r="Q75" i="5"/>
  <c r="O75" i="5"/>
  <c r="Q74" i="5"/>
  <c r="O74" i="5"/>
  <c r="Q73" i="5"/>
  <c r="O73" i="5"/>
  <c r="Q72" i="5"/>
  <c r="O72" i="5"/>
  <c r="Q71" i="5"/>
  <c r="O71" i="5"/>
  <c r="Q70" i="5"/>
  <c r="O70" i="5"/>
  <c r="Q69" i="5"/>
  <c r="O69" i="5"/>
  <c r="Q68" i="5"/>
  <c r="O68" i="5"/>
  <c r="Q67" i="5"/>
  <c r="O67" i="5"/>
  <c r="Q66" i="5"/>
  <c r="O66" i="5"/>
  <c r="Q65" i="5"/>
  <c r="O65" i="5"/>
  <c r="Q64" i="5"/>
  <c r="O64" i="5"/>
  <c r="Q63" i="5"/>
  <c r="O63" i="5"/>
  <c r="Q62" i="5"/>
  <c r="O62" i="5"/>
  <c r="Q61" i="5"/>
  <c r="O61" i="5"/>
  <c r="Q60" i="5"/>
  <c r="O60" i="5"/>
  <c r="Q59" i="5"/>
  <c r="O59" i="5"/>
  <c r="Q58" i="5"/>
  <c r="O58" i="5"/>
  <c r="Q57" i="5"/>
  <c r="O57" i="5"/>
  <c r="Q56" i="5"/>
  <c r="O56" i="5"/>
  <c r="Q55" i="5"/>
  <c r="O55" i="5"/>
  <c r="Q54" i="5"/>
  <c r="O54" i="5"/>
  <c r="AC53" i="5"/>
  <c r="Z53" i="5" a="1"/>
  <c r="Z53" i="5" s="1"/>
  <c r="AA53" i="5" s="1"/>
  <c r="Y53" i="5"/>
  <c r="AC21" i="5" s="1"/>
  <c r="Q53" i="5"/>
  <c r="O53" i="5"/>
  <c r="Z52" i="5" a="1"/>
  <c r="Z52" i="5" s="1"/>
  <c r="AA52" i="5" s="1"/>
  <c r="Y52" i="5"/>
  <c r="Q52" i="5"/>
  <c r="O52" i="5"/>
  <c r="Q51" i="5"/>
  <c r="O51" i="5"/>
  <c r="Q50" i="5"/>
  <c r="O50" i="5"/>
  <c r="Q49" i="5"/>
  <c r="O49" i="5"/>
  <c r="Q48" i="5"/>
  <c r="O48" i="5"/>
  <c r="Q47" i="5"/>
  <c r="O47" i="5"/>
  <c r="Q46" i="5"/>
  <c r="O46" i="5"/>
  <c r="Q45" i="5"/>
  <c r="O45" i="5"/>
  <c r="Q44" i="5"/>
  <c r="O44" i="5"/>
  <c r="Q43" i="5"/>
  <c r="O43" i="5"/>
  <c r="Q42" i="5"/>
  <c r="O42" i="5"/>
  <c r="X41" i="5"/>
  <c r="AC43" i="5" s="1"/>
  <c r="Q41" i="5"/>
  <c r="O41" i="5"/>
  <c r="Z40" i="5" a="1"/>
  <c r="Z40" i="5" s="1"/>
  <c r="AA40" i="5" s="1"/>
  <c r="Y40" i="5"/>
  <c r="Q40" i="5"/>
  <c r="O40" i="5"/>
  <c r="Q39" i="5"/>
  <c r="O39" i="5"/>
  <c r="Q38" i="5"/>
  <c r="O38" i="5"/>
  <c r="Q37" i="5"/>
  <c r="O37" i="5"/>
  <c r="Q36" i="5"/>
  <c r="O36" i="5"/>
  <c r="Q35" i="5"/>
  <c r="O35" i="5"/>
  <c r="Q34" i="5"/>
  <c r="O34" i="5"/>
  <c r="Q33" i="5"/>
  <c r="O33" i="5"/>
  <c r="Q32" i="5"/>
  <c r="O32" i="5"/>
  <c r="Q31" i="5"/>
  <c r="O31" i="5"/>
  <c r="Q30" i="5"/>
  <c r="O30" i="5"/>
  <c r="X29" i="5"/>
  <c r="Y29" i="5" s="1"/>
  <c r="Q29" i="5"/>
  <c r="O29" i="5"/>
  <c r="Z28" i="5" a="1"/>
  <c r="Z28" i="5" s="1"/>
  <c r="AA28" i="5" s="1"/>
  <c r="Y28" i="5"/>
  <c r="Q28" i="5"/>
  <c r="O28" i="5"/>
  <c r="Q27" i="5"/>
  <c r="O27" i="5"/>
  <c r="Q26" i="5"/>
  <c r="O26" i="5"/>
  <c r="Q25" i="5"/>
  <c r="O25" i="5"/>
  <c r="X24" i="5"/>
  <c r="Q24" i="5"/>
  <c r="O24" i="5"/>
  <c r="Z23" i="5" a="1"/>
  <c r="Z23" i="5" s="1"/>
  <c r="AA23" i="5" s="1"/>
  <c r="Y23" i="5"/>
  <c r="Q23" i="5"/>
  <c r="O23" i="5"/>
  <c r="Q22" i="5"/>
  <c r="O22" i="5"/>
  <c r="Q21" i="5"/>
  <c r="O21" i="5"/>
  <c r="Q20" i="5"/>
  <c r="O20" i="5"/>
  <c r="Q19" i="5"/>
  <c r="O19" i="5"/>
  <c r="Q18" i="5"/>
  <c r="O18" i="5"/>
  <c r="Q17" i="5"/>
  <c r="O17" i="5"/>
  <c r="Q16" i="5"/>
  <c r="O16" i="5"/>
  <c r="Q15" i="5"/>
  <c r="O15" i="5"/>
  <c r="Q14" i="5"/>
  <c r="O14" i="5"/>
  <c r="Q13" i="5"/>
  <c r="O13" i="5"/>
  <c r="Q12" i="5"/>
  <c r="O12" i="5"/>
  <c r="Q11" i="5"/>
  <c r="O11" i="5"/>
  <c r="Q10" i="5"/>
  <c r="O10" i="5"/>
  <c r="Q9" i="5"/>
  <c r="O9" i="5"/>
  <c r="Q8" i="5"/>
  <c r="O8" i="5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Q7" i="5"/>
  <c r="O7" i="5"/>
  <c r="F5" i="5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X29" i="3"/>
  <c r="AA52" i="6" l="1"/>
  <c r="AC40" i="6"/>
  <c r="AA41" i="6" s="1"/>
  <c r="AA37" i="6"/>
  <c r="AA56" i="6"/>
  <c r="Z41" i="5" a="1"/>
  <c r="Z41" i="5" s="1"/>
  <c r="AA41" i="5" s="1"/>
  <c r="AC41" i="5" s="1"/>
  <c r="AC31" i="5"/>
  <c r="Y41" i="5"/>
  <c r="Z29" i="5" a="1"/>
  <c r="Z29" i="5" s="1"/>
  <c r="AA29" i="5" s="1"/>
  <c r="AC29" i="5" s="1"/>
  <c r="P794" i="5"/>
  <c r="P792" i="5"/>
  <c r="P790" i="5"/>
  <c r="P788" i="5"/>
  <c r="P786" i="5"/>
  <c r="P784" i="5"/>
  <c r="P782" i="5"/>
  <c r="P780" i="5"/>
  <c r="P778" i="5"/>
  <c r="P776" i="5"/>
  <c r="P774" i="5"/>
  <c r="P772" i="5"/>
  <c r="P770" i="5"/>
  <c r="P768" i="5"/>
  <c r="P766" i="5"/>
  <c r="P764" i="5"/>
  <c r="P762" i="5"/>
  <c r="P760" i="5"/>
  <c r="P758" i="5"/>
  <c r="P756" i="5"/>
  <c r="P754" i="5"/>
  <c r="P752" i="5"/>
  <c r="P750" i="5"/>
  <c r="P748" i="5"/>
  <c r="P746" i="5"/>
  <c r="P736" i="5"/>
  <c r="P731" i="5"/>
  <c r="P728" i="5"/>
  <c r="P723" i="5"/>
  <c r="P720" i="5"/>
  <c r="P715" i="5"/>
  <c r="P712" i="5"/>
  <c r="P707" i="5"/>
  <c r="P704" i="5"/>
  <c r="P699" i="5"/>
  <c r="P696" i="5"/>
  <c r="P691" i="5"/>
  <c r="P733" i="5"/>
  <c r="P730" i="5"/>
  <c r="R730" i="5" s="1"/>
  <c r="S730" i="5" s="1"/>
  <c r="P725" i="5"/>
  <c r="P722" i="5"/>
  <c r="R722" i="5" s="1"/>
  <c r="P717" i="5"/>
  <c r="P714" i="5"/>
  <c r="R714" i="5" s="1"/>
  <c r="S714" i="5" s="1"/>
  <c r="P706" i="5"/>
  <c r="P701" i="5"/>
  <c r="P698" i="5"/>
  <c r="P693" i="5"/>
  <c r="P690" i="5"/>
  <c r="P682" i="5"/>
  <c r="P744" i="5"/>
  <c r="P742" i="5"/>
  <c r="P740" i="5"/>
  <c r="P738" i="5"/>
  <c r="P732" i="5"/>
  <c r="R732" i="5" s="1"/>
  <c r="S732" i="5" s="1"/>
  <c r="P724" i="5"/>
  <c r="P716" i="5"/>
  <c r="P708" i="5"/>
  <c r="P700" i="5"/>
  <c r="P692" i="5"/>
  <c r="R692" i="5" s="1"/>
  <c r="S692" i="5" s="1"/>
  <c r="P684" i="5"/>
  <c r="P737" i="5"/>
  <c r="R737" i="5" s="1"/>
  <c r="S737" i="5" s="1"/>
  <c r="P734" i="5"/>
  <c r="P705" i="5"/>
  <c r="P702" i="5"/>
  <c r="P680" i="5"/>
  <c r="P678" i="5"/>
  <c r="P675" i="5"/>
  <c r="P672" i="5"/>
  <c r="P667" i="5"/>
  <c r="P664" i="5"/>
  <c r="P659" i="5"/>
  <c r="P656" i="5"/>
  <c r="P651" i="5"/>
  <c r="P648" i="5"/>
  <c r="P643" i="5"/>
  <c r="P640" i="5"/>
  <c r="P632" i="5"/>
  <c r="P713" i="5"/>
  <c r="P710" i="5"/>
  <c r="P683" i="5"/>
  <c r="R683" i="5" s="1"/>
  <c r="S683" i="5" s="1"/>
  <c r="P677" i="5"/>
  <c r="P674" i="5"/>
  <c r="P666" i="5"/>
  <c r="P658" i="5"/>
  <c r="P650" i="5"/>
  <c r="R650" i="5" s="1"/>
  <c r="S650" i="5" s="1"/>
  <c r="P642" i="5"/>
  <c r="P634" i="5"/>
  <c r="P721" i="5"/>
  <c r="P718" i="5"/>
  <c r="P688" i="5"/>
  <c r="P686" i="5"/>
  <c r="P676" i="5"/>
  <c r="P668" i="5"/>
  <c r="P660" i="5"/>
  <c r="P652" i="5"/>
  <c r="P644" i="5"/>
  <c r="P636" i="5"/>
  <c r="P649" i="5"/>
  <c r="P646" i="5"/>
  <c r="P626" i="5"/>
  <c r="P618" i="5"/>
  <c r="P689" i="5"/>
  <c r="P657" i="5"/>
  <c r="P654" i="5"/>
  <c r="P628" i="5"/>
  <c r="P620" i="5"/>
  <c r="P697" i="5"/>
  <c r="P694" i="5"/>
  <c r="P665" i="5"/>
  <c r="P662" i="5"/>
  <c r="P633" i="5"/>
  <c r="R633" i="5" s="1"/>
  <c r="S633" i="5" s="1"/>
  <c r="P630" i="5"/>
  <c r="P622" i="5"/>
  <c r="P673" i="5"/>
  <c r="R673" i="5" s="1"/>
  <c r="S673" i="5" s="1"/>
  <c r="P670" i="5"/>
  <c r="P607" i="5"/>
  <c r="P599" i="5"/>
  <c r="P591" i="5"/>
  <c r="P583" i="5"/>
  <c r="P575" i="5"/>
  <c r="P567" i="5"/>
  <c r="P559" i="5"/>
  <c r="P551" i="5"/>
  <c r="P543" i="5"/>
  <c r="P535" i="5"/>
  <c r="P523" i="5"/>
  <c r="P519" i="5"/>
  <c r="P616" i="5"/>
  <c r="P601" i="5"/>
  <c r="P593" i="5"/>
  <c r="P585" i="5"/>
  <c r="P577" i="5"/>
  <c r="P569" i="5"/>
  <c r="P561" i="5"/>
  <c r="P553" i="5"/>
  <c r="P545" i="5"/>
  <c r="P537" i="5"/>
  <c r="P729" i="5"/>
  <c r="P726" i="5"/>
  <c r="P624" i="5"/>
  <c r="P612" i="5"/>
  <c r="P603" i="5"/>
  <c r="P595" i="5"/>
  <c r="P587" i="5"/>
  <c r="P579" i="5"/>
  <c r="P571" i="5"/>
  <c r="P563" i="5"/>
  <c r="P555" i="5"/>
  <c r="P547" i="5"/>
  <c r="P539" i="5"/>
  <c r="P641" i="5"/>
  <c r="P638" i="5"/>
  <c r="P597" i="5"/>
  <c r="P565" i="5"/>
  <c r="P533" i="5"/>
  <c r="P605" i="5"/>
  <c r="P573" i="5"/>
  <c r="P541" i="5"/>
  <c r="P525" i="5"/>
  <c r="P581" i="5"/>
  <c r="P549" i="5"/>
  <c r="P454" i="5"/>
  <c r="P557" i="5"/>
  <c r="P375" i="5"/>
  <c r="P367" i="5"/>
  <c r="P359" i="5"/>
  <c r="P351" i="5"/>
  <c r="P343" i="5"/>
  <c r="P335" i="5"/>
  <c r="P327" i="5"/>
  <c r="P319" i="5"/>
  <c r="P311" i="5"/>
  <c r="P303" i="5"/>
  <c r="P295" i="5"/>
  <c r="P287" i="5"/>
  <c r="P279" i="5"/>
  <c r="P271" i="5"/>
  <c r="P263" i="5"/>
  <c r="P255" i="5"/>
  <c r="P247" i="5"/>
  <c r="P239" i="5"/>
  <c r="P231" i="5"/>
  <c r="P54" i="5"/>
  <c r="P377" i="5"/>
  <c r="P369" i="5"/>
  <c r="P361" i="5"/>
  <c r="P353" i="5"/>
  <c r="P345" i="5"/>
  <c r="P337" i="5"/>
  <c r="P329" i="5"/>
  <c r="P321" i="5"/>
  <c r="P313" i="5"/>
  <c r="P305" i="5"/>
  <c r="P297" i="5"/>
  <c r="P289" i="5"/>
  <c r="P281" i="5"/>
  <c r="P273" i="5"/>
  <c r="P265" i="5"/>
  <c r="P257" i="5"/>
  <c r="P249" i="5"/>
  <c r="P241" i="5"/>
  <c r="P233" i="5"/>
  <c r="P371" i="5"/>
  <c r="P363" i="5"/>
  <c r="P355" i="5"/>
  <c r="P347" i="5"/>
  <c r="P339" i="5"/>
  <c r="P331" i="5"/>
  <c r="P323" i="5"/>
  <c r="P315" i="5"/>
  <c r="P307" i="5"/>
  <c r="P299" i="5"/>
  <c r="P291" i="5"/>
  <c r="P283" i="5"/>
  <c r="P275" i="5"/>
  <c r="P267" i="5"/>
  <c r="P259" i="5"/>
  <c r="P251" i="5"/>
  <c r="P243" i="5"/>
  <c r="P235" i="5"/>
  <c r="P227" i="5"/>
  <c r="P225" i="5"/>
  <c r="P349" i="5"/>
  <c r="P317" i="5"/>
  <c r="P285" i="5"/>
  <c r="P253" i="5"/>
  <c r="P207" i="5"/>
  <c r="P182" i="5"/>
  <c r="P174" i="5"/>
  <c r="P166" i="5"/>
  <c r="P158" i="5"/>
  <c r="P150" i="5"/>
  <c r="P142" i="5"/>
  <c r="P134" i="5"/>
  <c r="P126" i="5"/>
  <c r="P118" i="5"/>
  <c r="P110" i="5"/>
  <c r="P102" i="5"/>
  <c r="P94" i="5"/>
  <c r="P86" i="5"/>
  <c r="P78" i="5"/>
  <c r="P70" i="5"/>
  <c r="P62" i="5"/>
  <c r="P40" i="5"/>
  <c r="P17" i="5"/>
  <c r="P15" i="5"/>
  <c r="P13" i="5"/>
  <c r="P11" i="5"/>
  <c r="P9" i="5"/>
  <c r="P7" i="5"/>
  <c r="P37" i="5"/>
  <c r="P156" i="5"/>
  <c r="P148" i="5"/>
  <c r="P140" i="5"/>
  <c r="P132" i="5"/>
  <c r="P24" i="5"/>
  <c r="P21" i="5"/>
  <c r="P357" i="5"/>
  <c r="P325" i="5"/>
  <c r="P293" i="5"/>
  <c r="P261" i="5"/>
  <c r="P229" i="5"/>
  <c r="P199" i="5"/>
  <c r="P184" i="5"/>
  <c r="P176" i="5"/>
  <c r="P168" i="5"/>
  <c r="P160" i="5"/>
  <c r="P152" i="5"/>
  <c r="P144" i="5"/>
  <c r="P136" i="5"/>
  <c r="P128" i="5"/>
  <c r="P120" i="5"/>
  <c r="P112" i="5"/>
  <c r="P104" i="5"/>
  <c r="P96" i="5"/>
  <c r="P88" i="5"/>
  <c r="P80" i="5"/>
  <c r="P72" i="5"/>
  <c r="P64" i="5"/>
  <c r="P56" i="5"/>
  <c r="P53" i="5"/>
  <c r="P50" i="5"/>
  <c r="P589" i="5"/>
  <c r="P373" i="5"/>
  <c r="P341" i="5"/>
  <c r="P215" i="5"/>
  <c r="P180" i="5"/>
  <c r="P172" i="5"/>
  <c r="P164" i="5"/>
  <c r="P124" i="5"/>
  <c r="P116" i="5"/>
  <c r="P108" i="5"/>
  <c r="P100" i="5"/>
  <c r="P84" i="5"/>
  <c r="P76" i="5"/>
  <c r="P68" i="5"/>
  <c r="P33" i="5"/>
  <c r="P365" i="5"/>
  <c r="P333" i="5"/>
  <c r="P301" i="5"/>
  <c r="P269" i="5"/>
  <c r="P237" i="5"/>
  <c r="P223" i="5"/>
  <c r="P191" i="5"/>
  <c r="P178" i="5"/>
  <c r="P170" i="5"/>
  <c r="P162" i="5"/>
  <c r="P154" i="5"/>
  <c r="P146" i="5"/>
  <c r="P138" i="5"/>
  <c r="P130" i="5"/>
  <c r="P122" i="5"/>
  <c r="P114" i="5"/>
  <c r="P106" i="5"/>
  <c r="P98" i="5"/>
  <c r="P90" i="5"/>
  <c r="P82" i="5"/>
  <c r="P74" i="5"/>
  <c r="P66" i="5"/>
  <c r="P58" i="5"/>
  <c r="P46" i="5"/>
  <c r="P25" i="5"/>
  <c r="P19" i="5"/>
  <c r="P309" i="5"/>
  <c r="P277" i="5"/>
  <c r="P245" i="5"/>
  <c r="P92" i="5"/>
  <c r="P60" i="5"/>
  <c r="P75" i="5"/>
  <c r="P99" i="5"/>
  <c r="P107" i="5"/>
  <c r="P115" i="5"/>
  <c r="P123" i="5"/>
  <c r="P131" i="5"/>
  <c r="P147" i="5"/>
  <c r="P163" i="5"/>
  <c r="P179" i="5"/>
  <c r="P185" i="5"/>
  <c r="P203" i="5"/>
  <c r="P217" i="5"/>
  <c r="P284" i="5"/>
  <c r="R284" i="5" s="1"/>
  <c r="S284" i="5" s="1"/>
  <c r="P316" i="5"/>
  <c r="P431" i="5"/>
  <c r="P8" i="5"/>
  <c r="P10" i="5"/>
  <c r="P12" i="5"/>
  <c r="P16" i="5"/>
  <c r="P18" i="5"/>
  <c r="P23" i="5"/>
  <c r="P28" i="5"/>
  <c r="P43" i="5"/>
  <c r="P45" i="5"/>
  <c r="R45" i="5" s="1"/>
  <c r="S45" i="5" s="1"/>
  <c r="P51" i="5"/>
  <c r="P57" i="5"/>
  <c r="P65" i="5"/>
  <c r="P73" i="5"/>
  <c r="P81" i="5"/>
  <c r="P89" i="5"/>
  <c r="P97" i="5"/>
  <c r="P105" i="5"/>
  <c r="P113" i="5"/>
  <c r="P121" i="5"/>
  <c r="P129" i="5"/>
  <c r="P137" i="5"/>
  <c r="P145" i="5"/>
  <c r="P153" i="5"/>
  <c r="P161" i="5"/>
  <c r="P169" i="5"/>
  <c r="P177" i="5"/>
  <c r="P193" i="5"/>
  <c r="P197" i="5"/>
  <c r="P208" i="5"/>
  <c r="P211" i="5"/>
  <c r="P244" i="5"/>
  <c r="P276" i="5"/>
  <c r="P308" i="5"/>
  <c r="P340" i="5"/>
  <c r="P372" i="5"/>
  <c r="P515" i="5"/>
  <c r="P30" i="5"/>
  <c r="P32" i="5"/>
  <c r="P38" i="5"/>
  <c r="P41" i="5"/>
  <c r="P47" i="5"/>
  <c r="P59" i="5"/>
  <c r="P67" i="5"/>
  <c r="P83" i="5"/>
  <c r="P91" i="5"/>
  <c r="P139" i="5"/>
  <c r="P155" i="5"/>
  <c r="P200" i="5"/>
  <c r="P221" i="5"/>
  <c r="P252" i="5"/>
  <c r="P348" i="5"/>
  <c r="P564" i="5"/>
  <c r="P14" i="5"/>
  <c r="R14" i="5" s="1"/>
  <c r="S14" i="5" s="1"/>
  <c r="P35" i="5"/>
  <c r="P42" i="5"/>
  <c r="P44" i="5"/>
  <c r="P49" i="5"/>
  <c r="P55" i="5"/>
  <c r="P63" i="5"/>
  <c r="P71" i="5"/>
  <c r="R71" i="5" s="1"/>
  <c r="S71" i="5" s="1"/>
  <c r="P79" i="5"/>
  <c r="P87" i="5"/>
  <c r="P95" i="5"/>
  <c r="P103" i="5"/>
  <c r="R103" i="5" s="1"/>
  <c r="S103" i="5" s="1"/>
  <c r="P111" i="5"/>
  <c r="P119" i="5"/>
  <c r="P127" i="5"/>
  <c r="P135" i="5"/>
  <c r="R135" i="5" s="1"/>
  <c r="S135" i="5" s="1"/>
  <c r="P143" i="5"/>
  <c r="P151" i="5"/>
  <c r="P159" i="5"/>
  <c r="P167" i="5"/>
  <c r="R167" i="5" s="1"/>
  <c r="S167" i="5" s="1"/>
  <c r="P175" i="5"/>
  <c r="P183" i="5"/>
  <c r="P187" i="5"/>
  <c r="P201" i="5"/>
  <c r="P205" i="5"/>
  <c r="P216" i="5"/>
  <c r="P219" i="5"/>
  <c r="P236" i="5"/>
  <c r="R236" i="5" s="1"/>
  <c r="S236" i="5" s="1"/>
  <c r="P268" i="5"/>
  <c r="P300" i="5"/>
  <c r="P332" i="5"/>
  <c r="P364" i="5"/>
  <c r="R364" i="5" s="1"/>
  <c r="S364" i="5" s="1"/>
  <c r="P412" i="5"/>
  <c r="P20" i="5"/>
  <c r="R20" i="5" s="1"/>
  <c r="S20" i="5" s="1"/>
  <c r="P26" i="5"/>
  <c r="P171" i="5"/>
  <c r="P189" i="5"/>
  <c r="P36" i="5"/>
  <c r="Z24" i="5" a="1"/>
  <c r="Z24" i="5" s="1"/>
  <c r="AA24" i="5" s="1"/>
  <c r="AC24" i="5"/>
  <c r="AC54" i="5" s="1"/>
  <c r="Y24" i="5"/>
  <c r="P27" i="5"/>
  <c r="R27" i="5" s="1"/>
  <c r="S27" i="5" s="1"/>
  <c r="P29" i="5"/>
  <c r="P22" i="5"/>
  <c r="P31" i="5"/>
  <c r="P34" i="5"/>
  <c r="R34" i="5" s="1"/>
  <c r="S34" i="5" s="1"/>
  <c r="P39" i="5"/>
  <c r="P48" i="5"/>
  <c r="P52" i="5"/>
  <c r="P61" i="5"/>
  <c r="P69" i="5"/>
  <c r="P77" i="5"/>
  <c r="P85" i="5"/>
  <c r="P93" i="5"/>
  <c r="P101" i="5"/>
  <c r="P109" i="5"/>
  <c r="P117" i="5"/>
  <c r="P125" i="5"/>
  <c r="P133" i="5"/>
  <c r="P141" i="5"/>
  <c r="P149" i="5"/>
  <c r="P157" i="5"/>
  <c r="P165" i="5"/>
  <c r="P173" i="5"/>
  <c r="P181" i="5"/>
  <c r="P192" i="5"/>
  <c r="P195" i="5"/>
  <c r="P209" i="5"/>
  <c r="P213" i="5"/>
  <c r="P224" i="5"/>
  <c r="R224" i="5" s="1"/>
  <c r="S224" i="5" s="1"/>
  <c r="P226" i="5"/>
  <c r="P228" i="5"/>
  <c r="R228" i="5" s="1"/>
  <c r="S228" i="5" s="1"/>
  <c r="P260" i="5"/>
  <c r="P292" i="5"/>
  <c r="P324" i="5"/>
  <c r="P356" i="5"/>
  <c r="R356" i="5" s="1"/>
  <c r="S356" i="5" s="1"/>
  <c r="P393" i="5"/>
  <c r="P399" i="5"/>
  <c r="P444" i="5"/>
  <c r="P186" i="5"/>
  <c r="P194" i="5"/>
  <c r="P202" i="5"/>
  <c r="P210" i="5"/>
  <c r="P218" i="5"/>
  <c r="P234" i="5"/>
  <c r="P242" i="5"/>
  <c r="P250" i="5"/>
  <c r="P258" i="5"/>
  <c r="R258" i="5" s="1"/>
  <c r="S258" i="5" s="1"/>
  <c r="P266" i="5"/>
  <c r="P274" i="5"/>
  <c r="P282" i="5"/>
  <c r="P290" i="5"/>
  <c r="R290" i="5" s="1"/>
  <c r="S290" i="5" s="1"/>
  <c r="P298" i="5"/>
  <c r="P306" i="5"/>
  <c r="P314" i="5"/>
  <c r="P322" i="5"/>
  <c r="R322" i="5" s="1"/>
  <c r="S322" i="5" s="1"/>
  <c r="P330" i="5"/>
  <c r="P338" i="5"/>
  <c r="P346" i="5"/>
  <c r="P354" i="5"/>
  <c r="R354" i="5" s="1"/>
  <c r="S354" i="5" s="1"/>
  <c r="P362" i="5"/>
  <c r="P370" i="5"/>
  <c r="P378" i="5"/>
  <c r="P381" i="5"/>
  <c r="P407" i="5"/>
  <c r="P420" i="5"/>
  <c r="P439" i="5"/>
  <c r="P452" i="5"/>
  <c r="P464" i="5"/>
  <c r="P188" i="5"/>
  <c r="P196" i="5"/>
  <c r="P204" i="5"/>
  <c r="P212" i="5"/>
  <c r="R212" i="5" s="1"/>
  <c r="S212" i="5" s="1"/>
  <c r="P220" i="5"/>
  <c r="P232" i="5"/>
  <c r="P240" i="5"/>
  <c r="R240" i="5" s="1"/>
  <c r="S240" i="5" s="1"/>
  <c r="P248" i="5"/>
  <c r="P256" i="5"/>
  <c r="P264" i="5"/>
  <c r="P272" i="5"/>
  <c r="R272" i="5" s="1"/>
  <c r="S272" i="5" s="1"/>
  <c r="P280" i="5"/>
  <c r="P288" i="5"/>
  <c r="P296" i="5"/>
  <c r="P304" i="5"/>
  <c r="R304" i="5" s="1"/>
  <c r="S304" i="5" s="1"/>
  <c r="P312" i="5"/>
  <c r="P320" i="5"/>
  <c r="P328" i="5"/>
  <c r="P336" i="5"/>
  <c r="R336" i="5" s="1"/>
  <c r="S336" i="5" s="1"/>
  <c r="P344" i="5"/>
  <c r="P352" i="5"/>
  <c r="P360" i="5"/>
  <c r="P368" i="5"/>
  <c r="R368" i="5" s="1"/>
  <c r="S368" i="5" s="1"/>
  <c r="P376" i="5"/>
  <c r="P385" i="5"/>
  <c r="P396" i="5"/>
  <c r="P415" i="5"/>
  <c r="P428" i="5"/>
  <c r="P447" i="5"/>
  <c r="P496" i="5"/>
  <c r="P190" i="5"/>
  <c r="P198" i="5"/>
  <c r="P206" i="5"/>
  <c r="P214" i="5"/>
  <c r="P222" i="5"/>
  <c r="P230" i="5"/>
  <c r="P238" i="5"/>
  <c r="R238" i="5" s="1"/>
  <c r="S238" i="5" s="1"/>
  <c r="P246" i="5"/>
  <c r="P254" i="5"/>
  <c r="P262" i="5"/>
  <c r="P270" i="5"/>
  <c r="R270" i="5" s="1"/>
  <c r="S270" i="5" s="1"/>
  <c r="P278" i="5"/>
  <c r="P286" i="5"/>
  <c r="P294" i="5"/>
  <c r="P302" i="5"/>
  <c r="R302" i="5" s="1"/>
  <c r="S302" i="5" s="1"/>
  <c r="P310" i="5"/>
  <c r="P318" i="5"/>
  <c r="P326" i="5"/>
  <c r="P334" i="5"/>
  <c r="R334" i="5" s="1"/>
  <c r="S334" i="5" s="1"/>
  <c r="P342" i="5"/>
  <c r="P350" i="5"/>
  <c r="P358" i="5"/>
  <c r="P366" i="5"/>
  <c r="R366" i="5" s="1"/>
  <c r="S366" i="5" s="1"/>
  <c r="P374" i="5"/>
  <c r="P389" i="5"/>
  <c r="P404" i="5"/>
  <c r="P423" i="5"/>
  <c r="P436" i="5"/>
  <c r="P455" i="5"/>
  <c r="P483" i="5"/>
  <c r="P526" i="5"/>
  <c r="P380" i="5"/>
  <c r="P384" i="5"/>
  <c r="P388" i="5"/>
  <c r="P392" i="5"/>
  <c r="P398" i="5"/>
  <c r="P401" i="5"/>
  <c r="P406" i="5"/>
  <c r="P409" i="5"/>
  <c r="P414" i="5"/>
  <c r="P417" i="5"/>
  <c r="P422" i="5"/>
  <c r="P425" i="5"/>
  <c r="P430" i="5"/>
  <c r="P433" i="5"/>
  <c r="P438" i="5"/>
  <c r="P441" i="5"/>
  <c r="P446" i="5"/>
  <c r="P449" i="5"/>
  <c r="P459" i="5"/>
  <c r="P472" i="5"/>
  <c r="P491" i="5"/>
  <c r="P504" i="5"/>
  <c r="P379" i="5"/>
  <c r="P383" i="5"/>
  <c r="P387" i="5"/>
  <c r="P391" i="5"/>
  <c r="P395" i="5"/>
  <c r="P400" i="5"/>
  <c r="P403" i="5"/>
  <c r="P408" i="5"/>
  <c r="P411" i="5"/>
  <c r="P416" i="5"/>
  <c r="P419" i="5"/>
  <c r="P424" i="5"/>
  <c r="P427" i="5"/>
  <c r="P432" i="5"/>
  <c r="P435" i="5"/>
  <c r="R435" i="5" s="1"/>
  <c r="S435" i="5" s="1"/>
  <c r="P440" i="5"/>
  <c r="P443" i="5"/>
  <c r="P448" i="5"/>
  <c r="P451" i="5"/>
  <c r="P467" i="5"/>
  <c r="P480" i="5"/>
  <c r="P499" i="5"/>
  <c r="P512" i="5"/>
  <c r="P382" i="5"/>
  <c r="P386" i="5"/>
  <c r="P390" i="5"/>
  <c r="P394" i="5"/>
  <c r="P397" i="5"/>
  <c r="P402" i="5"/>
  <c r="P405" i="5"/>
  <c r="P410" i="5"/>
  <c r="P413" i="5"/>
  <c r="P418" i="5"/>
  <c r="P421" i="5"/>
  <c r="P426" i="5"/>
  <c r="P429" i="5"/>
  <c r="P434" i="5"/>
  <c r="P437" i="5"/>
  <c r="P442" i="5"/>
  <c r="P445" i="5"/>
  <c r="P450" i="5"/>
  <c r="P453" i="5"/>
  <c r="R453" i="5" s="1"/>
  <c r="S453" i="5" s="1"/>
  <c r="P475" i="5"/>
  <c r="P488" i="5"/>
  <c r="P507" i="5"/>
  <c r="P520" i="5"/>
  <c r="P529" i="5"/>
  <c r="P596" i="5"/>
  <c r="R596" i="5" s="1"/>
  <c r="S596" i="5" s="1"/>
  <c r="P458" i="5"/>
  <c r="P461" i="5"/>
  <c r="P466" i="5"/>
  <c r="P469" i="5"/>
  <c r="P474" i="5"/>
  <c r="P477" i="5"/>
  <c r="P482" i="5"/>
  <c r="P485" i="5"/>
  <c r="P490" i="5"/>
  <c r="P493" i="5"/>
  <c r="P498" i="5"/>
  <c r="P501" i="5"/>
  <c r="P506" i="5"/>
  <c r="P509" i="5"/>
  <c r="P514" i="5"/>
  <c r="P517" i="5"/>
  <c r="P556" i="5"/>
  <c r="P588" i="5"/>
  <c r="P610" i="5"/>
  <c r="P669" i="5"/>
  <c r="P457" i="5"/>
  <c r="P460" i="5"/>
  <c r="P463" i="5"/>
  <c r="P468" i="5"/>
  <c r="P471" i="5"/>
  <c r="P476" i="5"/>
  <c r="P479" i="5"/>
  <c r="P484" i="5"/>
  <c r="P487" i="5"/>
  <c r="P492" i="5"/>
  <c r="P495" i="5"/>
  <c r="P500" i="5"/>
  <c r="P503" i="5"/>
  <c r="P508" i="5"/>
  <c r="P511" i="5"/>
  <c r="P516" i="5"/>
  <c r="P527" i="5"/>
  <c r="P531" i="5"/>
  <c r="P548" i="5"/>
  <c r="P580" i="5"/>
  <c r="P456" i="5"/>
  <c r="P462" i="5"/>
  <c r="P465" i="5"/>
  <c r="P470" i="5"/>
  <c r="P473" i="5"/>
  <c r="P478" i="5"/>
  <c r="P481" i="5"/>
  <c r="P486" i="5"/>
  <c r="P489" i="5"/>
  <c r="P494" i="5"/>
  <c r="P497" i="5"/>
  <c r="P502" i="5"/>
  <c r="P505" i="5"/>
  <c r="P510" i="5"/>
  <c r="P513" i="5"/>
  <c r="R513" i="5" s="1"/>
  <c r="S513" i="5" s="1"/>
  <c r="P518" i="5"/>
  <c r="P521" i="5"/>
  <c r="P540" i="5"/>
  <c r="R540" i="5" s="1"/>
  <c r="S540" i="5" s="1"/>
  <c r="P572" i="5"/>
  <c r="P604" i="5"/>
  <c r="P528" i="5"/>
  <c r="P538" i="5"/>
  <c r="R538" i="5" s="1"/>
  <c r="S538" i="5" s="1"/>
  <c r="P546" i="5"/>
  <c r="P554" i="5"/>
  <c r="P562" i="5"/>
  <c r="P570" i="5"/>
  <c r="R570" i="5" s="1"/>
  <c r="S570" i="5" s="1"/>
  <c r="P578" i="5"/>
  <c r="P586" i="5"/>
  <c r="P594" i="5"/>
  <c r="P602" i="5"/>
  <c r="R602" i="5" s="1"/>
  <c r="S602" i="5" s="1"/>
  <c r="P614" i="5"/>
  <c r="P637" i="5"/>
  <c r="P753" i="5"/>
  <c r="P522" i="5"/>
  <c r="R522" i="5" s="1"/>
  <c r="S522" i="5" s="1"/>
  <c r="P530" i="5"/>
  <c r="P536" i="5"/>
  <c r="R536" i="5" s="1"/>
  <c r="S536" i="5" s="1"/>
  <c r="P544" i="5"/>
  <c r="P552" i="5"/>
  <c r="P560" i="5"/>
  <c r="P568" i="5"/>
  <c r="R568" i="5" s="1"/>
  <c r="S568" i="5" s="1"/>
  <c r="P576" i="5"/>
  <c r="P584" i="5"/>
  <c r="P592" i="5"/>
  <c r="P600" i="5"/>
  <c r="R600" i="5" s="1"/>
  <c r="S600" i="5" s="1"/>
  <c r="P608" i="5"/>
  <c r="P623" i="5"/>
  <c r="P655" i="5"/>
  <c r="P524" i="5"/>
  <c r="P532" i="5"/>
  <c r="P534" i="5"/>
  <c r="R534" i="5" s="1"/>
  <c r="S534" i="5" s="1"/>
  <c r="P542" i="5"/>
  <c r="P550" i="5"/>
  <c r="P558" i="5"/>
  <c r="P566" i="5"/>
  <c r="R566" i="5" s="1"/>
  <c r="S566" i="5" s="1"/>
  <c r="P574" i="5"/>
  <c r="P582" i="5"/>
  <c r="P590" i="5"/>
  <c r="P598" i="5"/>
  <c r="R598" i="5" s="1"/>
  <c r="S598" i="5" s="1"/>
  <c r="P606" i="5"/>
  <c r="P613" i="5"/>
  <c r="P615" i="5"/>
  <c r="P621" i="5"/>
  <c r="R621" i="5" s="1"/>
  <c r="S621" i="5" s="1"/>
  <c r="P629" i="5"/>
  <c r="P647" i="5"/>
  <c r="R647" i="5" s="1"/>
  <c r="S647" i="5" s="1"/>
  <c r="P661" i="5"/>
  <c r="R661" i="5" s="1"/>
  <c r="S661" i="5" s="1"/>
  <c r="P681" i="5"/>
  <c r="R681" i="5" s="1"/>
  <c r="S681" i="5" s="1"/>
  <c r="P687" i="5"/>
  <c r="P785" i="5"/>
  <c r="R785" i="5" s="1"/>
  <c r="S785" i="5" s="1"/>
  <c r="P609" i="5"/>
  <c r="P619" i="5"/>
  <c r="R619" i="5" s="1"/>
  <c r="S619" i="5" s="1"/>
  <c r="P627" i="5"/>
  <c r="P639" i="5"/>
  <c r="P653" i="5"/>
  <c r="P671" i="5"/>
  <c r="P611" i="5"/>
  <c r="P617" i="5"/>
  <c r="R617" i="5" s="1"/>
  <c r="S617" i="5" s="1"/>
  <c r="P625" i="5"/>
  <c r="P631" i="5"/>
  <c r="R631" i="5" s="1"/>
  <c r="S631" i="5" s="1"/>
  <c r="P635" i="5"/>
  <c r="P645" i="5"/>
  <c r="P663" i="5"/>
  <c r="R663" i="5" s="1"/>
  <c r="S663" i="5" s="1"/>
  <c r="P711" i="5"/>
  <c r="P685" i="5"/>
  <c r="P703" i="5"/>
  <c r="R703" i="5" s="1"/>
  <c r="S703" i="5" s="1"/>
  <c r="P735" i="5"/>
  <c r="R735" i="5" s="1"/>
  <c r="S735" i="5" s="1"/>
  <c r="P761" i="5"/>
  <c r="R761" i="5" s="1"/>
  <c r="S761" i="5" s="1"/>
  <c r="P793" i="5"/>
  <c r="P679" i="5"/>
  <c r="R679" i="5" s="1"/>
  <c r="S679" i="5" s="1"/>
  <c r="P695" i="5"/>
  <c r="P709" i="5"/>
  <c r="P727" i="5"/>
  <c r="P769" i="5"/>
  <c r="R769" i="5" s="1"/>
  <c r="S769" i="5" s="1"/>
  <c r="P719" i="5"/>
  <c r="R719" i="5" s="1"/>
  <c r="S719" i="5" s="1"/>
  <c r="P739" i="5"/>
  <c r="P741" i="5"/>
  <c r="P743" i="5"/>
  <c r="R743" i="5" s="1"/>
  <c r="S743" i="5" s="1"/>
  <c r="P745" i="5"/>
  <c r="R745" i="5" s="1"/>
  <c r="S745" i="5" s="1"/>
  <c r="P777" i="5"/>
  <c r="P747" i="5"/>
  <c r="P755" i="5"/>
  <c r="P763" i="5"/>
  <c r="P771" i="5"/>
  <c r="P779" i="5"/>
  <c r="P787" i="5"/>
  <c r="P749" i="5"/>
  <c r="P757" i="5"/>
  <c r="P765" i="5"/>
  <c r="P773" i="5"/>
  <c r="P781" i="5"/>
  <c r="P789" i="5"/>
  <c r="S722" i="5"/>
  <c r="P751" i="5"/>
  <c r="P759" i="5"/>
  <c r="R759" i="5" s="1"/>
  <c r="S759" i="5" s="1"/>
  <c r="P767" i="5"/>
  <c r="P775" i="5"/>
  <c r="R775" i="5" s="1"/>
  <c r="S775" i="5" s="1"/>
  <c r="P783" i="5"/>
  <c r="P791" i="5"/>
  <c r="R791" i="5" s="1"/>
  <c r="S791" i="5" s="1"/>
  <c r="B795" i="3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O794" i="3"/>
  <c r="Q793" i="3"/>
  <c r="O793" i="3"/>
  <c r="Q792" i="3"/>
  <c r="O792" i="3"/>
  <c r="Q791" i="3"/>
  <c r="O791" i="3"/>
  <c r="Q790" i="3"/>
  <c r="O790" i="3"/>
  <c r="Q789" i="3"/>
  <c r="O789" i="3"/>
  <c r="Q788" i="3"/>
  <c r="O788" i="3"/>
  <c r="Q787" i="3"/>
  <c r="O787" i="3"/>
  <c r="Q786" i="3"/>
  <c r="O786" i="3"/>
  <c r="Q785" i="3"/>
  <c r="O785" i="3"/>
  <c r="Q784" i="3"/>
  <c r="O784" i="3"/>
  <c r="Q783" i="3"/>
  <c r="O783" i="3"/>
  <c r="Q782" i="3"/>
  <c r="O782" i="3"/>
  <c r="Q781" i="3"/>
  <c r="O781" i="3"/>
  <c r="Q780" i="3"/>
  <c r="O780" i="3"/>
  <c r="Q779" i="3"/>
  <c r="O779" i="3"/>
  <c r="Q778" i="3"/>
  <c r="O778" i="3"/>
  <c r="Q777" i="3"/>
  <c r="O777" i="3"/>
  <c r="Q776" i="3"/>
  <c r="O776" i="3"/>
  <c r="Q775" i="3"/>
  <c r="O775" i="3"/>
  <c r="Q774" i="3"/>
  <c r="O774" i="3"/>
  <c r="Q773" i="3"/>
  <c r="O773" i="3"/>
  <c r="Q772" i="3"/>
  <c r="O772" i="3"/>
  <c r="Q771" i="3"/>
  <c r="O771" i="3"/>
  <c r="Q770" i="3"/>
  <c r="O770" i="3"/>
  <c r="Q769" i="3"/>
  <c r="O769" i="3"/>
  <c r="Q768" i="3"/>
  <c r="O768" i="3"/>
  <c r="Q767" i="3"/>
  <c r="O767" i="3"/>
  <c r="Q766" i="3"/>
  <c r="O766" i="3"/>
  <c r="Q765" i="3"/>
  <c r="O765" i="3"/>
  <c r="Q764" i="3"/>
  <c r="O764" i="3"/>
  <c r="Q763" i="3"/>
  <c r="O763" i="3"/>
  <c r="Q762" i="3"/>
  <c r="O762" i="3"/>
  <c r="Q761" i="3"/>
  <c r="O761" i="3"/>
  <c r="Q760" i="3"/>
  <c r="O760" i="3"/>
  <c r="Q759" i="3"/>
  <c r="O759" i="3"/>
  <c r="Q758" i="3"/>
  <c r="O758" i="3"/>
  <c r="Q757" i="3"/>
  <c r="O757" i="3"/>
  <c r="Q756" i="3"/>
  <c r="O756" i="3"/>
  <c r="Q755" i="3"/>
  <c r="O755" i="3"/>
  <c r="Q754" i="3"/>
  <c r="O754" i="3"/>
  <c r="Q753" i="3"/>
  <c r="O753" i="3"/>
  <c r="Q752" i="3"/>
  <c r="O752" i="3"/>
  <c r="Q751" i="3"/>
  <c r="O751" i="3"/>
  <c r="Q750" i="3"/>
  <c r="O750" i="3"/>
  <c r="Q749" i="3"/>
  <c r="O749" i="3"/>
  <c r="Q748" i="3"/>
  <c r="O748" i="3"/>
  <c r="Q747" i="3"/>
  <c r="O747" i="3"/>
  <c r="Q746" i="3"/>
  <c r="O746" i="3"/>
  <c r="Q745" i="3"/>
  <c r="O745" i="3"/>
  <c r="Q744" i="3"/>
  <c r="O744" i="3"/>
  <c r="Q743" i="3"/>
  <c r="O743" i="3"/>
  <c r="Q742" i="3"/>
  <c r="O742" i="3"/>
  <c r="Q741" i="3"/>
  <c r="O741" i="3"/>
  <c r="Q740" i="3"/>
  <c r="O740" i="3"/>
  <c r="Q739" i="3"/>
  <c r="O739" i="3"/>
  <c r="Q738" i="3"/>
  <c r="O738" i="3"/>
  <c r="Q737" i="3"/>
  <c r="O737" i="3"/>
  <c r="Q736" i="3"/>
  <c r="O736" i="3"/>
  <c r="Q735" i="3"/>
  <c r="O735" i="3"/>
  <c r="Q734" i="3"/>
  <c r="O734" i="3"/>
  <c r="Q733" i="3"/>
  <c r="O733" i="3"/>
  <c r="Q732" i="3"/>
  <c r="O732" i="3"/>
  <c r="Q731" i="3"/>
  <c r="O731" i="3"/>
  <c r="Q730" i="3"/>
  <c r="O730" i="3"/>
  <c r="Q729" i="3"/>
  <c r="O729" i="3"/>
  <c r="Q728" i="3"/>
  <c r="O728" i="3"/>
  <c r="Q727" i="3"/>
  <c r="O727" i="3"/>
  <c r="Q726" i="3"/>
  <c r="O726" i="3"/>
  <c r="Q725" i="3"/>
  <c r="O725" i="3"/>
  <c r="Q724" i="3"/>
  <c r="O724" i="3"/>
  <c r="Q723" i="3"/>
  <c r="O723" i="3"/>
  <c r="Q722" i="3"/>
  <c r="O722" i="3"/>
  <c r="Q721" i="3"/>
  <c r="O721" i="3"/>
  <c r="Q720" i="3"/>
  <c r="O720" i="3"/>
  <c r="Q719" i="3"/>
  <c r="O719" i="3"/>
  <c r="Q718" i="3"/>
  <c r="O718" i="3"/>
  <c r="Q717" i="3"/>
  <c r="O717" i="3"/>
  <c r="Q716" i="3"/>
  <c r="O716" i="3"/>
  <c r="Q715" i="3"/>
  <c r="O715" i="3"/>
  <c r="Q714" i="3"/>
  <c r="O714" i="3"/>
  <c r="Q713" i="3"/>
  <c r="O713" i="3"/>
  <c r="Q712" i="3"/>
  <c r="O712" i="3"/>
  <c r="Q711" i="3"/>
  <c r="O711" i="3"/>
  <c r="Q710" i="3"/>
  <c r="O710" i="3"/>
  <c r="Q709" i="3"/>
  <c r="O709" i="3"/>
  <c r="Q708" i="3"/>
  <c r="O708" i="3"/>
  <c r="Q707" i="3"/>
  <c r="O707" i="3"/>
  <c r="Q706" i="3"/>
  <c r="O706" i="3"/>
  <c r="Q705" i="3"/>
  <c r="O705" i="3"/>
  <c r="Q704" i="3"/>
  <c r="O704" i="3"/>
  <c r="Q703" i="3"/>
  <c r="O703" i="3"/>
  <c r="Q702" i="3"/>
  <c r="O702" i="3"/>
  <c r="Q701" i="3"/>
  <c r="O701" i="3"/>
  <c r="Q700" i="3"/>
  <c r="O700" i="3"/>
  <c r="Q699" i="3"/>
  <c r="O699" i="3"/>
  <c r="Q698" i="3"/>
  <c r="O698" i="3"/>
  <c r="Q697" i="3"/>
  <c r="O697" i="3"/>
  <c r="Q696" i="3"/>
  <c r="O696" i="3"/>
  <c r="Q695" i="3"/>
  <c r="O695" i="3"/>
  <c r="Q694" i="3"/>
  <c r="O694" i="3"/>
  <c r="Q693" i="3"/>
  <c r="O693" i="3"/>
  <c r="Q692" i="3"/>
  <c r="O692" i="3"/>
  <c r="Q691" i="3"/>
  <c r="O691" i="3"/>
  <c r="Q690" i="3"/>
  <c r="O690" i="3"/>
  <c r="Q689" i="3"/>
  <c r="O689" i="3"/>
  <c r="Q688" i="3"/>
  <c r="O688" i="3"/>
  <c r="Q687" i="3"/>
  <c r="O687" i="3"/>
  <c r="Q686" i="3"/>
  <c r="O686" i="3"/>
  <c r="Q685" i="3"/>
  <c r="O685" i="3"/>
  <c r="Q684" i="3"/>
  <c r="O684" i="3"/>
  <c r="Q683" i="3"/>
  <c r="O683" i="3"/>
  <c r="Q682" i="3"/>
  <c r="O682" i="3"/>
  <c r="Q681" i="3"/>
  <c r="O681" i="3"/>
  <c r="Q680" i="3"/>
  <c r="O680" i="3"/>
  <c r="Q679" i="3"/>
  <c r="O679" i="3"/>
  <c r="Q678" i="3"/>
  <c r="O678" i="3"/>
  <c r="Q677" i="3"/>
  <c r="O677" i="3"/>
  <c r="Q676" i="3"/>
  <c r="O676" i="3"/>
  <c r="Q675" i="3"/>
  <c r="O675" i="3"/>
  <c r="Q674" i="3"/>
  <c r="O674" i="3"/>
  <c r="Q673" i="3"/>
  <c r="O673" i="3"/>
  <c r="Q672" i="3"/>
  <c r="O672" i="3"/>
  <c r="Q671" i="3"/>
  <c r="O671" i="3"/>
  <c r="Q670" i="3"/>
  <c r="O670" i="3"/>
  <c r="Q669" i="3"/>
  <c r="O669" i="3"/>
  <c r="Q668" i="3"/>
  <c r="O668" i="3"/>
  <c r="Q667" i="3"/>
  <c r="O667" i="3"/>
  <c r="Q666" i="3"/>
  <c r="O666" i="3"/>
  <c r="Q665" i="3"/>
  <c r="O665" i="3"/>
  <c r="Q664" i="3"/>
  <c r="O664" i="3"/>
  <c r="Q663" i="3"/>
  <c r="O663" i="3"/>
  <c r="Q662" i="3"/>
  <c r="O662" i="3"/>
  <c r="Q661" i="3"/>
  <c r="O661" i="3"/>
  <c r="Q660" i="3"/>
  <c r="O660" i="3"/>
  <c r="Q659" i="3"/>
  <c r="O659" i="3"/>
  <c r="Q658" i="3"/>
  <c r="O658" i="3"/>
  <c r="Q657" i="3"/>
  <c r="O657" i="3"/>
  <c r="Q656" i="3"/>
  <c r="O656" i="3"/>
  <c r="Q655" i="3"/>
  <c r="O655" i="3"/>
  <c r="Q654" i="3"/>
  <c r="O654" i="3"/>
  <c r="Q653" i="3"/>
  <c r="O653" i="3"/>
  <c r="Q652" i="3"/>
  <c r="O652" i="3"/>
  <c r="Q651" i="3"/>
  <c r="O651" i="3"/>
  <c r="Q650" i="3"/>
  <c r="O650" i="3"/>
  <c r="Q649" i="3"/>
  <c r="O649" i="3"/>
  <c r="Q648" i="3"/>
  <c r="O648" i="3"/>
  <c r="Q647" i="3"/>
  <c r="O647" i="3"/>
  <c r="Q646" i="3"/>
  <c r="O646" i="3"/>
  <c r="Q645" i="3"/>
  <c r="O645" i="3"/>
  <c r="Q644" i="3"/>
  <c r="O644" i="3"/>
  <c r="Q643" i="3"/>
  <c r="O643" i="3"/>
  <c r="Q642" i="3"/>
  <c r="O642" i="3"/>
  <c r="Q641" i="3"/>
  <c r="O641" i="3"/>
  <c r="Q640" i="3"/>
  <c r="O640" i="3"/>
  <c r="Q639" i="3"/>
  <c r="O639" i="3"/>
  <c r="Q638" i="3"/>
  <c r="O638" i="3"/>
  <c r="Q637" i="3"/>
  <c r="O637" i="3"/>
  <c r="Q636" i="3"/>
  <c r="O636" i="3"/>
  <c r="Q635" i="3"/>
  <c r="O635" i="3"/>
  <c r="Q634" i="3"/>
  <c r="O634" i="3"/>
  <c r="Q633" i="3"/>
  <c r="O633" i="3"/>
  <c r="Q632" i="3"/>
  <c r="O632" i="3"/>
  <c r="Q631" i="3"/>
  <c r="O631" i="3"/>
  <c r="Q630" i="3"/>
  <c r="O630" i="3"/>
  <c r="Q629" i="3"/>
  <c r="O629" i="3"/>
  <c r="Q628" i="3"/>
  <c r="O628" i="3"/>
  <c r="Q627" i="3"/>
  <c r="O627" i="3"/>
  <c r="Q626" i="3"/>
  <c r="O626" i="3"/>
  <c r="Q625" i="3"/>
  <c r="O625" i="3"/>
  <c r="Q624" i="3"/>
  <c r="O624" i="3"/>
  <c r="Q623" i="3"/>
  <c r="O623" i="3"/>
  <c r="Q622" i="3"/>
  <c r="O622" i="3"/>
  <c r="Q621" i="3"/>
  <c r="O621" i="3"/>
  <c r="Q620" i="3"/>
  <c r="O620" i="3"/>
  <c r="Q619" i="3"/>
  <c r="O619" i="3"/>
  <c r="Q618" i="3"/>
  <c r="O618" i="3"/>
  <c r="Q617" i="3"/>
  <c r="O617" i="3"/>
  <c r="Q616" i="3"/>
  <c r="O616" i="3"/>
  <c r="Q615" i="3"/>
  <c r="O615" i="3"/>
  <c r="Q614" i="3"/>
  <c r="O614" i="3"/>
  <c r="Q613" i="3"/>
  <c r="O613" i="3"/>
  <c r="Q612" i="3"/>
  <c r="O612" i="3"/>
  <c r="Q611" i="3"/>
  <c r="O611" i="3"/>
  <c r="Q610" i="3"/>
  <c r="O610" i="3"/>
  <c r="Q609" i="3"/>
  <c r="O609" i="3"/>
  <c r="Q608" i="3"/>
  <c r="O608" i="3"/>
  <c r="Q607" i="3"/>
  <c r="O607" i="3"/>
  <c r="Q606" i="3"/>
  <c r="O606" i="3"/>
  <c r="Q605" i="3"/>
  <c r="O605" i="3"/>
  <c r="Q604" i="3"/>
  <c r="O604" i="3"/>
  <c r="Q603" i="3"/>
  <c r="O603" i="3"/>
  <c r="Q602" i="3"/>
  <c r="O602" i="3"/>
  <c r="Q601" i="3"/>
  <c r="O601" i="3"/>
  <c r="Q600" i="3"/>
  <c r="O600" i="3"/>
  <c r="Q599" i="3"/>
  <c r="O599" i="3"/>
  <c r="Q598" i="3"/>
  <c r="O598" i="3"/>
  <c r="Q597" i="3"/>
  <c r="O597" i="3"/>
  <c r="Q596" i="3"/>
  <c r="O596" i="3"/>
  <c r="Q595" i="3"/>
  <c r="O595" i="3"/>
  <c r="Q594" i="3"/>
  <c r="O594" i="3"/>
  <c r="Q593" i="3"/>
  <c r="O593" i="3"/>
  <c r="Q592" i="3"/>
  <c r="O592" i="3"/>
  <c r="Q591" i="3"/>
  <c r="O591" i="3"/>
  <c r="Q590" i="3"/>
  <c r="O590" i="3"/>
  <c r="Q589" i="3"/>
  <c r="O589" i="3"/>
  <c r="Q588" i="3"/>
  <c r="O588" i="3"/>
  <c r="Q587" i="3"/>
  <c r="O587" i="3"/>
  <c r="Q586" i="3"/>
  <c r="O586" i="3"/>
  <c r="Q585" i="3"/>
  <c r="O585" i="3"/>
  <c r="Q584" i="3"/>
  <c r="O584" i="3"/>
  <c r="Q583" i="3"/>
  <c r="O583" i="3"/>
  <c r="Q582" i="3"/>
  <c r="O582" i="3"/>
  <c r="Q581" i="3"/>
  <c r="O581" i="3"/>
  <c r="Q580" i="3"/>
  <c r="O580" i="3"/>
  <c r="Q579" i="3"/>
  <c r="O579" i="3"/>
  <c r="Q578" i="3"/>
  <c r="O578" i="3"/>
  <c r="Q577" i="3"/>
  <c r="O577" i="3"/>
  <c r="Q576" i="3"/>
  <c r="O576" i="3"/>
  <c r="Q575" i="3"/>
  <c r="O575" i="3"/>
  <c r="Q574" i="3"/>
  <c r="O574" i="3"/>
  <c r="Q573" i="3"/>
  <c r="O573" i="3"/>
  <c r="Q572" i="3"/>
  <c r="O572" i="3"/>
  <c r="Q571" i="3"/>
  <c r="O571" i="3"/>
  <c r="Q570" i="3"/>
  <c r="O570" i="3"/>
  <c r="Q569" i="3"/>
  <c r="O569" i="3"/>
  <c r="Q568" i="3"/>
  <c r="O568" i="3"/>
  <c r="Q567" i="3"/>
  <c r="O567" i="3"/>
  <c r="Q566" i="3"/>
  <c r="O566" i="3"/>
  <c r="Q565" i="3"/>
  <c r="O565" i="3"/>
  <c r="Q564" i="3"/>
  <c r="O564" i="3"/>
  <c r="Q563" i="3"/>
  <c r="O563" i="3"/>
  <c r="Q562" i="3"/>
  <c r="O562" i="3"/>
  <c r="Q561" i="3"/>
  <c r="O561" i="3"/>
  <c r="Q560" i="3"/>
  <c r="O560" i="3"/>
  <c r="Q559" i="3"/>
  <c r="O559" i="3"/>
  <c r="Q558" i="3"/>
  <c r="O558" i="3"/>
  <c r="Q557" i="3"/>
  <c r="O557" i="3"/>
  <c r="Q556" i="3"/>
  <c r="O556" i="3"/>
  <c r="Q555" i="3"/>
  <c r="O555" i="3"/>
  <c r="Q554" i="3"/>
  <c r="O554" i="3"/>
  <c r="Q553" i="3"/>
  <c r="O553" i="3"/>
  <c r="Q552" i="3"/>
  <c r="O552" i="3"/>
  <c r="Q551" i="3"/>
  <c r="O551" i="3"/>
  <c r="Q550" i="3"/>
  <c r="O550" i="3"/>
  <c r="Q549" i="3"/>
  <c r="O549" i="3"/>
  <c r="Q548" i="3"/>
  <c r="O548" i="3"/>
  <c r="Q547" i="3"/>
  <c r="O547" i="3"/>
  <c r="Q546" i="3"/>
  <c r="O546" i="3"/>
  <c r="Q545" i="3"/>
  <c r="O545" i="3"/>
  <c r="Q544" i="3"/>
  <c r="O544" i="3"/>
  <c r="Q543" i="3"/>
  <c r="O543" i="3"/>
  <c r="Q542" i="3"/>
  <c r="O542" i="3"/>
  <c r="Q541" i="3"/>
  <c r="O541" i="3"/>
  <c r="Q540" i="3"/>
  <c r="O540" i="3"/>
  <c r="Q539" i="3"/>
  <c r="O539" i="3"/>
  <c r="Q538" i="3"/>
  <c r="O538" i="3"/>
  <c r="Q537" i="3"/>
  <c r="O537" i="3"/>
  <c r="Q536" i="3"/>
  <c r="O536" i="3"/>
  <c r="Q535" i="3"/>
  <c r="O535" i="3"/>
  <c r="Q534" i="3"/>
  <c r="O534" i="3"/>
  <c r="Q533" i="3"/>
  <c r="O533" i="3"/>
  <c r="Q532" i="3"/>
  <c r="O532" i="3"/>
  <c r="Q531" i="3"/>
  <c r="O531" i="3"/>
  <c r="Q530" i="3"/>
  <c r="O530" i="3"/>
  <c r="Q529" i="3"/>
  <c r="O529" i="3"/>
  <c r="Q528" i="3"/>
  <c r="O528" i="3"/>
  <c r="Q527" i="3"/>
  <c r="O527" i="3"/>
  <c r="Q526" i="3"/>
  <c r="O526" i="3"/>
  <c r="Q525" i="3"/>
  <c r="O525" i="3"/>
  <c r="Q524" i="3"/>
  <c r="O524" i="3"/>
  <c r="Q523" i="3"/>
  <c r="O523" i="3"/>
  <c r="Q522" i="3"/>
  <c r="O522" i="3"/>
  <c r="Q521" i="3"/>
  <c r="O521" i="3"/>
  <c r="Q520" i="3"/>
  <c r="O520" i="3"/>
  <c r="Q519" i="3"/>
  <c r="O519" i="3"/>
  <c r="Q518" i="3"/>
  <c r="O518" i="3"/>
  <c r="Q517" i="3"/>
  <c r="O517" i="3"/>
  <c r="Q516" i="3"/>
  <c r="O516" i="3"/>
  <c r="Q515" i="3"/>
  <c r="O515" i="3"/>
  <c r="Q514" i="3"/>
  <c r="O514" i="3"/>
  <c r="Q513" i="3"/>
  <c r="O513" i="3"/>
  <c r="Q512" i="3"/>
  <c r="O512" i="3"/>
  <c r="Q511" i="3"/>
  <c r="O511" i="3"/>
  <c r="Q510" i="3"/>
  <c r="O510" i="3"/>
  <c r="Q509" i="3"/>
  <c r="O509" i="3"/>
  <c r="Q508" i="3"/>
  <c r="O508" i="3"/>
  <c r="Q507" i="3"/>
  <c r="O507" i="3"/>
  <c r="Q506" i="3"/>
  <c r="O506" i="3"/>
  <c r="Q505" i="3"/>
  <c r="O505" i="3"/>
  <c r="Q504" i="3"/>
  <c r="O504" i="3"/>
  <c r="Q503" i="3"/>
  <c r="O503" i="3"/>
  <c r="Q502" i="3"/>
  <c r="O502" i="3"/>
  <c r="Q501" i="3"/>
  <c r="O501" i="3"/>
  <c r="Q500" i="3"/>
  <c r="O500" i="3"/>
  <c r="Q499" i="3"/>
  <c r="O499" i="3"/>
  <c r="Q498" i="3"/>
  <c r="O498" i="3"/>
  <c r="Q497" i="3"/>
  <c r="O497" i="3"/>
  <c r="Q496" i="3"/>
  <c r="O496" i="3"/>
  <c r="Q495" i="3"/>
  <c r="O495" i="3"/>
  <c r="Q494" i="3"/>
  <c r="O494" i="3"/>
  <c r="Q493" i="3"/>
  <c r="O493" i="3"/>
  <c r="Q492" i="3"/>
  <c r="O492" i="3"/>
  <c r="Q491" i="3"/>
  <c r="O491" i="3"/>
  <c r="Q490" i="3"/>
  <c r="O490" i="3"/>
  <c r="Q489" i="3"/>
  <c r="O489" i="3"/>
  <c r="Q488" i="3"/>
  <c r="O488" i="3"/>
  <c r="Q487" i="3"/>
  <c r="O487" i="3"/>
  <c r="Q486" i="3"/>
  <c r="O486" i="3"/>
  <c r="Q485" i="3"/>
  <c r="O485" i="3"/>
  <c r="Q484" i="3"/>
  <c r="O484" i="3"/>
  <c r="Q483" i="3"/>
  <c r="O483" i="3"/>
  <c r="Q482" i="3"/>
  <c r="O482" i="3"/>
  <c r="Q481" i="3"/>
  <c r="O481" i="3"/>
  <c r="Q480" i="3"/>
  <c r="O480" i="3"/>
  <c r="Q479" i="3"/>
  <c r="O479" i="3"/>
  <c r="Q478" i="3"/>
  <c r="O478" i="3"/>
  <c r="Q477" i="3"/>
  <c r="O477" i="3"/>
  <c r="Q476" i="3"/>
  <c r="O476" i="3"/>
  <c r="Q475" i="3"/>
  <c r="O475" i="3"/>
  <c r="Q474" i="3"/>
  <c r="O474" i="3"/>
  <c r="Q473" i="3"/>
  <c r="O473" i="3"/>
  <c r="Q472" i="3"/>
  <c r="O472" i="3"/>
  <c r="Q471" i="3"/>
  <c r="O471" i="3"/>
  <c r="Q470" i="3"/>
  <c r="O470" i="3"/>
  <c r="Q469" i="3"/>
  <c r="O469" i="3"/>
  <c r="Q468" i="3"/>
  <c r="O468" i="3"/>
  <c r="Q467" i="3"/>
  <c r="O467" i="3"/>
  <c r="Q466" i="3"/>
  <c r="O466" i="3"/>
  <c r="Q465" i="3"/>
  <c r="O465" i="3"/>
  <c r="Q464" i="3"/>
  <c r="O464" i="3"/>
  <c r="Q463" i="3"/>
  <c r="O463" i="3"/>
  <c r="Q462" i="3"/>
  <c r="O462" i="3"/>
  <c r="Q461" i="3"/>
  <c r="O461" i="3"/>
  <c r="Q460" i="3"/>
  <c r="O460" i="3"/>
  <c r="Q459" i="3"/>
  <c r="O459" i="3"/>
  <c r="Q458" i="3"/>
  <c r="O458" i="3"/>
  <c r="Q457" i="3"/>
  <c r="O457" i="3"/>
  <c r="Q456" i="3"/>
  <c r="O456" i="3"/>
  <c r="Q455" i="3"/>
  <c r="O455" i="3"/>
  <c r="Q454" i="3"/>
  <c r="O454" i="3"/>
  <c r="Q453" i="3"/>
  <c r="O453" i="3"/>
  <c r="Q452" i="3"/>
  <c r="O452" i="3"/>
  <c r="Q451" i="3"/>
  <c r="O451" i="3"/>
  <c r="Q450" i="3"/>
  <c r="O450" i="3"/>
  <c r="Q449" i="3"/>
  <c r="O449" i="3"/>
  <c r="Q448" i="3"/>
  <c r="O448" i="3"/>
  <c r="Q447" i="3"/>
  <c r="O447" i="3"/>
  <c r="Q446" i="3"/>
  <c r="O446" i="3"/>
  <c r="Q445" i="3"/>
  <c r="O445" i="3"/>
  <c r="Q444" i="3"/>
  <c r="O444" i="3"/>
  <c r="Q443" i="3"/>
  <c r="O443" i="3"/>
  <c r="Q442" i="3"/>
  <c r="O442" i="3"/>
  <c r="Q441" i="3"/>
  <c r="O441" i="3"/>
  <c r="Q440" i="3"/>
  <c r="O440" i="3"/>
  <c r="Q439" i="3"/>
  <c r="O439" i="3"/>
  <c r="Q438" i="3"/>
  <c r="O438" i="3"/>
  <c r="Q437" i="3"/>
  <c r="O437" i="3"/>
  <c r="Q436" i="3"/>
  <c r="O436" i="3"/>
  <c r="Q435" i="3"/>
  <c r="O435" i="3"/>
  <c r="Q434" i="3"/>
  <c r="O434" i="3"/>
  <c r="Q433" i="3"/>
  <c r="O433" i="3"/>
  <c r="Q432" i="3"/>
  <c r="O432" i="3"/>
  <c r="Q431" i="3"/>
  <c r="O431" i="3"/>
  <c r="Q430" i="3"/>
  <c r="O430" i="3"/>
  <c r="Q429" i="3"/>
  <c r="O429" i="3"/>
  <c r="Q428" i="3"/>
  <c r="O428" i="3"/>
  <c r="Q427" i="3"/>
  <c r="O427" i="3"/>
  <c r="Q426" i="3"/>
  <c r="O426" i="3"/>
  <c r="Q425" i="3"/>
  <c r="O425" i="3"/>
  <c r="Q424" i="3"/>
  <c r="O424" i="3"/>
  <c r="Q423" i="3"/>
  <c r="O423" i="3"/>
  <c r="Q422" i="3"/>
  <c r="O422" i="3"/>
  <c r="Q421" i="3"/>
  <c r="O421" i="3"/>
  <c r="Q420" i="3"/>
  <c r="O420" i="3"/>
  <c r="Q419" i="3"/>
  <c r="O419" i="3"/>
  <c r="Q418" i="3"/>
  <c r="O418" i="3"/>
  <c r="Q417" i="3"/>
  <c r="O417" i="3"/>
  <c r="Q416" i="3"/>
  <c r="O416" i="3"/>
  <c r="Q415" i="3"/>
  <c r="O415" i="3"/>
  <c r="Q414" i="3"/>
  <c r="O414" i="3"/>
  <c r="Q413" i="3"/>
  <c r="O413" i="3"/>
  <c r="Q412" i="3"/>
  <c r="O412" i="3"/>
  <c r="Q411" i="3"/>
  <c r="O411" i="3"/>
  <c r="Q410" i="3"/>
  <c r="O410" i="3"/>
  <c r="Q409" i="3"/>
  <c r="O409" i="3"/>
  <c r="Q408" i="3"/>
  <c r="O408" i="3"/>
  <c r="Q407" i="3"/>
  <c r="O407" i="3"/>
  <c r="Q406" i="3"/>
  <c r="O406" i="3"/>
  <c r="Q405" i="3"/>
  <c r="O405" i="3"/>
  <c r="Q404" i="3"/>
  <c r="O404" i="3"/>
  <c r="Q403" i="3"/>
  <c r="O403" i="3"/>
  <c r="Q402" i="3"/>
  <c r="O402" i="3"/>
  <c r="Q401" i="3"/>
  <c r="O401" i="3"/>
  <c r="Q400" i="3"/>
  <c r="O400" i="3"/>
  <c r="Q399" i="3"/>
  <c r="O399" i="3"/>
  <c r="Q398" i="3"/>
  <c r="O398" i="3"/>
  <c r="Q397" i="3"/>
  <c r="O397" i="3"/>
  <c r="Q396" i="3"/>
  <c r="O396" i="3"/>
  <c r="Q395" i="3"/>
  <c r="O395" i="3"/>
  <c r="Q394" i="3"/>
  <c r="O394" i="3"/>
  <c r="Q393" i="3"/>
  <c r="O393" i="3"/>
  <c r="Q392" i="3"/>
  <c r="O392" i="3"/>
  <c r="Q391" i="3"/>
  <c r="O391" i="3"/>
  <c r="Q390" i="3"/>
  <c r="O390" i="3"/>
  <c r="Q389" i="3"/>
  <c r="O389" i="3"/>
  <c r="Q388" i="3"/>
  <c r="O388" i="3"/>
  <c r="Q387" i="3"/>
  <c r="O387" i="3"/>
  <c r="Q386" i="3"/>
  <c r="O386" i="3"/>
  <c r="Q385" i="3"/>
  <c r="O385" i="3"/>
  <c r="Q384" i="3"/>
  <c r="O384" i="3"/>
  <c r="Q383" i="3"/>
  <c r="O383" i="3"/>
  <c r="Q382" i="3"/>
  <c r="O382" i="3"/>
  <c r="Q381" i="3"/>
  <c r="O381" i="3"/>
  <c r="Q380" i="3"/>
  <c r="O380" i="3"/>
  <c r="Q379" i="3"/>
  <c r="O379" i="3"/>
  <c r="Q378" i="3"/>
  <c r="O378" i="3"/>
  <c r="Q377" i="3"/>
  <c r="O377" i="3"/>
  <c r="Q376" i="3"/>
  <c r="O376" i="3"/>
  <c r="Q375" i="3"/>
  <c r="O375" i="3"/>
  <c r="Q374" i="3"/>
  <c r="O374" i="3"/>
  <c r="Q373" i="3"/>
  <c r="O373" i="3"/>
  <c r="Q372" i="3"/>
  <c r="O372" i="3"/>
  <c r="Q371" i="3"/>
  <c r="O371" i="3"/>
  <c r="Q370" i="3"/>
  <c r="O370" i="3"/>
  <c r="Q369" i="3"/>
  <c r="O369" i="3"/>
  <c r="Q368" i="3"/>
  <c r="O368" i="3"/>
  <c r="Q367" i="3"/>
  <c r="O367" i="3"/>
  <c r="Q366" i="3"/>
  <c r="O366" i="3"/>
  <c r="Q365" i="3"/>
  <c r="O365" i="3"/>
  <c r="Q364" i="3"/>
  <c r="O364" i="3"/>
  <c r="Q363" i="3"/>
  <c r="O363" i="3"/>
  <c r="Q362" i="3"/>
  <c r="O362" i="3"/>
  <c r="Q361" i="3"/>
  <c r="O361" i="3"/>
  <c r="Q360" i="3"/>
  <c r="O360" i="3"/>
  <c r="Q359" i="3"/>
  <c r="O359" i="3"/>
  <c r="Q358" i="3"/>
  <c r="O358" i="3"/>
  <c r="Q357" i="3"/>
  <c r="O357" i="3"/>
  <c r="Q356" i="3"/>
  <c r="O356" i="3"/>
  <c r="Q355" i="3"/>
  <c r="O355" i="3"/>
  <c r="Q354" i="3"/>
  <c r="O354" i="3"/>
  <c r="Q353" i="3"/>
  <c r="O353" i="3"/>
  <c r="Q352" i="3"/>
  <c r="O352" i="3"/>
  <c r="Q351" i="3"/>
  <c r="O351" i="3"/>
  <c r="Q350" i="3"/>
  <c r="O350" i="3"/>
  <c r="Q349" i="3"/>
  <c r="O349" i="3"/>
  <c r="Q348" i="3"/>
  <c r="O348" i="3"/>
  <c r="Q347" i="3"/>
  <c r="O347" i="3"/>
  <c r="Q346" i="3"/>
  <c r="O346" i="3"/>
  <c r="Q345" i="3"/>
  <c r="O345" i="3"/>
  <c r="Q344" i="3"/>
  <c r="O344" i="3"/>
  <c r="Q343" i="3"/>
  <c r="O343" i="3"/>
  <c r="Q342" i="3"/>
  <c r="O342" i="3"/>
  <c r="Q341" i="3"/>
  <c r="O341" i="3"/>
  <c r="Q340" i="3"/>
  <c r="O340" i="3"/>
  <c r="Q339" i="3"/>
  <c r="O339" i="3"/>
  <c r="Q338" i="3"/>
  <c r="O338" i="3"/>
  <c r="Q337" i="3"/>
  <c r="O337" i="3"/>
  <c r="Q336" i="3"/>
  <c r="O336" i="3"/>
  <c r="Q335" i="3"/>
  <c r="O335" i="3"/>
  <c r="Q334" i="3"/>
  <c r="O334" i="3"/>
  <c r="Q333" i="3"/>
  <c r="O333" i="3"/>
  <c r="Q332" i="3"/>
  <c r="O332" i="3"/>
  <c r="Q331" i="3"/>
  <c r="O331" i="3"/>
  <c r="Q330" i="3"/>
  <c r="O330" i="3"/>
  <c r="Q329" i="3"/>
  <c r="O329" i="3"/>
  <c r="Q328" i="3"/>
  <c r="O328" i="3"/>
  <c r="Q327" i="3"/>
  <c r="O327" i="3"/>
  <c r="Q326" i="3"/>
  <c r="O326" i="3"/>
  <c r="Q325" i="3"/>
  <c r="O325" i="3"/>
  <c r="Q324" i="3"/>
  <c r="O324" i="3"/>
  <c r="Q323" i="3"/>
  <c r="O323" i="3"/>
  <c r="Q322" i="3"/>
  <c r="O322" i="3"/>
  <c r="Q321" i="3"/>
  <c r="O321" i="3"/>
  <c r="Q320" i="3"/>
  <c r="O320" i="3"/>
  <c r="Q319" i="3"/>
  <c r="O319" i="3"/>
  <c r="Q318" i="3"/>
  <c r="O318" i="3"/>
  <c r="Q317" i="3"/>
  <c r="O317" i="3"/>
  <c r="Q316" i="3"/>
  <c r="O316" i="3"/>
  <c r="Q315" i="3"/>
  <c r="O315" i="3"/>
  <c r="Q314" i="3"/>
  <c r="O314" i="3"/>
  <c r="Q313" i="3"/>
  <c r="O313" i="3"/>
  <c r="Q312" i="3"/>
  <c r="O312" i="3"/>
  <c r="Q311" i="3"/>
  <c r="O311" i="3"/>
  <c r="Q310" i="3"/>
  <c r="O310" i="3"/>
  <c r="Q309" i="3"/>
  <c r="O309" i="3"/>
  <c r="Q308" i="3"/>
  <c r="O308" i="3"/>
  <c r="Q307" i="3"/>
  <c r="O307" i="3"/>
  <c r="Q306" i="3"/>
  <c r="O306" i="3"/>
  <c r="Q305" i="3"/>
  <c r="O305" i="3"/>
  <c r="Q304" i="3"/>
  <c r="O304" i="3"/>
  <c r="Q303" i="3"/>
  <c r="O303" i="3"/>
  <c r="Q302" i="3"/>
  <c r="O302" i="3"/>
  <c r="Q301" i="3"/>
  <c r="O301" i="3"/>
  <c r="Q300" i="3"/>
  <c r="O300" i="3"/>
  <c r="Q299" i="3"/>
  <c r="O299" i="3"/>
  <c r="Q298" i="3"/>
  <c r="O298" i="3"/>
  <c r="Q297" i="3"/>
  <c r="O297" i="3"/>
  <c r="Q296" i="3"/>
  <c r="O296" i="3"/>
  <c r="Q295" i="3"/>
  <c r="O295" i="3"/>
  <c r="Q294" i="3"/>
  <c r="O294" i="3"/>
  <c r="Q293" i="3"/>
  <c r="O293" i="3"/>
  <c r="Q292" i="3"/>
  <c r="O292" i="3"/>
  <c r="Q291" i="3"/>
  <c r="O291" i="3"/>
  <c r="Q290" i="3"/>
  <c r="O290" i="3"/>
  <c r="Q289" i="3"/>
  <c r="O289" i="3"/>
  <c r="Q288" i="3"/>
  <c r="O288" i="3"/>
  <c r="Q287" i="3"/>
  <c r="O287" i="3"/>
  <c r="Q286" i="3"/>
  <c r="O286" i="3"/>
  <c r="Q285" i="3"/>
  <c r="O285" i="3"/>
  <c r="Q284" i="3"/>
  <c r="O284" i="3"/>
  <c r="Q283" i="3"/>
  <c r="O283" i="3"/>
  <c r="Q282" i="3"/>
  <c r="O282" i="3"/>
  <c r="Q281" i="3"/>
  <c r="O281" i="3"/>
  <c r="Q280" i="3"/>
  <c r="O280" i="3"/>
  <c r="Q279" i="3"/>
  <c r="O279" i="3"/>
  <c r="Q278" i="3"/>
  <c r="O278" i="3"/>
  <c r="Q277" i="3"/>
  <c r="O277" i="3"/>
  <c r="Q276" i="3"/>
  <c r="O276" i="3"/>
  <c r="Q275" i="3"/>
  <c r="O275" i="3"/>
  <c r="Q274" i="3"/>
  <c r="O274" i="3"/>
  <c r="Q273" i="3"/>
  <c r="O273" i="3"/>
  <c r="Q272" i="3"/>
  <c r="O272" i="3"/>
  <c r="Q271" i="3"/>
  <c r="O271" i="3"/>
  <c r="Q270" i="3"/>
  <c r="O270" i="3"/>
  <c r="Q269" i="3"/>
  <c r="O269" i="3"/>
  <c r="Q268" i="3"/>
  <c r="O268" i="3"/>
  <c r="Q267" i="3"/>
  <c r="O267" i="3"/>
  <c r="Q266" i="3"/>
  <c r="O266" i="3"/>
  <c r="Q265" i="3"/>
  <c r="O265" i="3"/>
  <c r="Q264" i="3"/>
  <c r="O264" i="3"/>
  <c r="Q263" i="3"/>
  <c r="O263" i="3"/>
  <c r="Q262" i="3"/>
  <c r="O262" i="3"/>
  <c r="Q261" i="3"/>
  <c r="O261" i="3"/>
  <c r="Q260" i="3"/>
  <c r="O260" i="3"/>
  <c r="Q259" i="3"/>
  <c r="O259" i="3"/>
  <c r="Q258" i="3"/>
  <c r="O258" i="3"/>
  <c r="Q257" i="3"/>
  <c r="O257" i="3"/>
  <c r="Q256" i="3"/>
  <c r="O256" i="3"/>
  <c r="Q255" i="3"/>
  <c r="O255" i="3"/>
  <c r="Q254" i="3"/>
  <c r="O254" i="3"/>
  <c r="Q253" i="3"/>
  <c r="O253" i="3"/>
  <c r="Q252" i="3"/>
  <c r="O252" i="3"/>
  <c r="Q251" i="3"/>
  <c r="O251" i="3"/>
  <c r="Q250" i="3"/>
  <c r="O250" i="3"/>
  <c r="Q249" i="3"/>
  <c r="O249" i="3"/>
  <c r="Q248" i="3"/>
  <c r="O248" i="3"/>
  <c r="Q247" i="3"/>
  <c r="O247" i="3"/>
  <c r="Q246" i="3"/>
  <c r="O246" i="3"/>
  <c r="Q245" i="3"/>
  <c r="O245" i="3"/>
  <c r="Q244" i="3"/>
  <c r="O244" i="3"/>
  <c r="Q243" i="3"/>
  <c r="O243" i="3"/>
  <c r="Q242" i="3"/>
  <c r="O242" i="3"/>
  <c r="Q241" i="3"/>
  <c r="O241" i="3"/>
  <c r="Q240" i="3"/>
  <c r="O240" i="3"/>
  <c r="Q239" i="3"/>
  <c r="O239" i="3"/>
  <c r="Q238" i="3"/>
  <c r="O238" i="3"/>
  <c r="Q237" i="3"/>
  <c r="O237" i="3"/>
  <c r="Q236" i="3"/>
  <c r="O236" i="3"/>
  <c r="Q235" i="3"/>
  <c r="O235" i="3"/>
  <c r="Q234" i="3"/>
  <c r="O234" i="3"/>
  <c r="Q233" i="3"/>
  <c r="O233" i="3"/>
  <c r="Q232" i="3"/>
  <c r="O232" i="3"/>
  <c r="Q231" i="3"/>
  <c r="O231" i="3"/>
  <c r="Q230" i="3"/>
  <c r="O230" i="3"/>
  <c r="Q229" i="3"/>
  <c r="O229" i="3"/>
  <c r="Q228" i="3"/>
  <c r="O228" i="3"/>
  <c r="Q227" i="3"/>
  <c r="O227" i="3"/>
  <c r="Q226" i="3"/>
  <c r="O226" i="3"/>
  <c r="Q225" i="3"/>
  <c r="O225" i="3"/>
  <c r="Q224" i="3"/>
  <c r="O224" i="3"/>
  <c r="Q223" i="3"/>
  <c r="O223" i="3"/>
  <c r="Q222" i="3"/>
  <c r="O222" i="3"/>
  <c r="Q221" i="3"/>
  <c r="O221" i="3"/>
  <c r="Q220" i="3"/>
  <c r="O220" i="3"/>
  <c r="Q219" i="3"/>
  <c r="O219" i="3"/>
  <c r="Q218" i="3"/>
  <c r="O218" i="3"/>
  <c r="Q217" i="3"/>
  <c r="O217" i="3"/>
  <c r="Q216" i="3"/>
  <c r="O216" i="3"/>
  <c r="Q215" i="3"/>
  <c r="O215" i="3"/>
  <c r="Q214" i="3"/>
  <c r="O214" i="3"/>
  <c r="Q213" i="3"/>
  <c r="O213" i="3"/>
  <c r="Q212" i="3"/>
  <c r="O212" i="3"/>
  <c r="Q211" i="3"/>
  <c r="O211" i="3"/>
  <c r="Q210" i="3"/>
  <c r="O210" i="3"/>
  <c r="Q209" i="3"/>
  <c r="O209" i="3"/>
  <c r="Q208" i="3"/>
  <c r="O208" i="3"/>
  <c r="Q207" i="3"/>
  <c r="O207" i="3"/>
  <c r="Q206" i="3"/>
  <c r="O206" i="3"/>
  <c r="Q205" i="3"/>
  <c r="O205" i="3"/>
  <c r="Q204" i="3"/>
  <c r="O204" i="3"/>
  <c r="Q203" i="3"/>
  <c r="O203" i="3"/>
  <c r="Q202" i="3"/>
  <c r="O202" i="3"/>
  <c r="Q201" i="3"/>
  <c r="O201" i="3"/>
  <c r="Q200" i="3"/>
  <c r="O200" i="3"/>
  <c r="Q199" i="3"/>
  <c r="O199" i="3"/>
  <c r="Q198" i="3"/>
  <c r="O198" i="3"/>
  <c r="Q197" i="3"/>
  <c r="O197" i="3"/>
  <c r="Q196" i="3"/>
  <c r="O196" i="3"/>
  <c r="Q195" i="3"/>
  <c r="O195" i="3"/>
  <c r="Q194" i="3"/>
  <c r="O194" i="3"/>
  <c r="Q193" i="3"/>
  <c r="O193" i="3"/>
  <c r="Q192" i="3"/>
  <c r="O192" i="3"/>
  <c r="Q191" i="3"/>
  <c r="O191" i="3"/>
  <c r="Q190" i="3"/>
  <c r="O190" i="3"/>
  <c r="Q189" i="3"/>
  <c r="O189" i="3"/>
  <c r="Q188" i="3"/>
  <c r="O188" i="3"/>
  <c r="Q187" i="3"/>
  <c r="O187" i="3"/>
  <c r="Q186" i="3"/>
  <c r="O186" i="3"/>
  <c r="Q185" i="3"/>
  <c r="O185" i="3"/>
  <c r="Q184" i="3"/>
  <c r="O184" i="3"/>
  <c r="Q183" i="3"/>
  <c r="O183" i="3"/>
  <c r="Q182" i="3"/>
  <c r="O182" i="3"/>
  <c r="Q181" i="3"/>
  <c r="O181" i="3"/>
  <c r="Q180" i="3"/>
  <c r="O180" i="3"/>
  <c r="Q179" i="3"/>
  <c r="O179" i="3"/>
  <c r="Q178" i="3"/>
  <c r="O178" i="3"/>
  <c r="Q177" i="3"/>
  <c r="O177" i="3"/>
  <c r="Q176" i="3"/>
  <c r="O176" i="3"/>
  <c r="Q175" i="3"/>
  <c r="O175" i="3"/>
  <c r="Q174" i="3"/>
  <c r="O174" i="3"/>
  <c r="Q173" i="3"/>
  <c r="O173" i="3"/>
  <c r="Q172" i="3"/>
  <c r="O172" i="3"/>
  <c r="Q171" i="3"/>
  <c r="O171" i="3"/>
  <c r="Q170" i="3"/>
  <c r="O170" i="3"/>
  <c r="Q169" i="3"/>
  <c r="O169" i="3"/>
  <c r="Q168" i="3"/>
  <c r="O168" i="3"/>
  <c r="Q167" i="3"/>
  <c r="O167" i="3"/>
  <c r="Q166" i="3"/>
  <c r="O166" i="3"/>
  <c r="Q165" i="3"/>
  <c r="O165" i="3"/>
  <c r="Q164" i="3"/>
  <c r="O164" i="3"/>
  <c r="Q163" i="3"/>
  <c r="O163" i="3"/>
  <c r="Q162" i="3"/>
  <c r="O162" i="3"/>
  <c r="Q161" i="3"/>
  <c r="O161" i="3"/>
  <c r="Q160" i="3"/>
  <c r="O160" i="3"/>
  <c r="Q159" i="3"/>
  <c r="O159" i="3"/>
  <c r="Q158" i="3"/>
  <c r="O158" i="3"/>
  <c r="Q157" i="3"/>
  <c r="O157" i="3"/>
  <c r="Q156" i="3"/>
  <c r="O156" i="3"/>
  <c r="Q155" i="3"/>
  <c r="O155" i="3"/>
  <c r="Q154" i="3"/>
  <c r="O154" i="3"/>
  <c r="Q153" i="3"/>
  <c r="O153" i="3"/>
  <c r="Q152" i="3"/>
  <c r="O152" i="3"/>
  <c r="Q151" i="3"/>
  <c r="O151" i="3"/>
  <c r="Q150" i="3"/>
  <c r="O150" i="3"/>
  <c r="Q149" i="3"/>
  <c r="O149" i="3"/>
  <c r="Q148" i="3"/>
  <c r="O148" i="3"/>
  <c r="Q147" i="3"/>
  <c r="O147" i="3"/>
  <c r="Q146" i="3"/>
  <c r="O146" i="3"/>
  <c r="Q145" i="3"/>
  <c r="O145" i="3"/>
  <c r="Q144" i="3"/>
  <c r="O144" i="3"/>
  <c r="Q143" i="3"/>
  <c r="O143" i="3"/>
  <c r="Q142" i="3"/>
  <c r="O142" i="3"/>
  <c r="Q141" i="3"/>
  <c r="O141" i="3"/>
  <c r="Q140" i="3"/>
  <c r="O140" i="3"/>
  <c r="Q139" i="3"/>
  <c r="O139" i="3"/>
  <c r="Q138" i="3"/>
  <c r="O138" i="3"/>
  <c r="Q137" i="3"/>
  <c r="O137" i="3"/>
  <c r="Q136" i="3"/>
  <c r="O136" i="3"/>
  <c r="Q135" i="3"/>
  <c r="O135" i="3"/>
  <c r="Q134" i="3"/>
  <c r="O134" i="3"/>
  <c r="Q133" i="3"/>
  <c r="O133" i="3"/>
  <c r="Q132" i="3"/>
  <c r="O132" i="3"/>
  <c r="Q131" i="3"/>
  <c r="O131" i="3"/>
  <c r="Q130" i="3"/>
  <c r="O130" i="3"/>
  <c r="Q129" i="3"/>
  <c r="O129" i="3"/>
  <c r="Q128" i="3"/>
  <c r="O128" i="3"/>
  <c r="Q127" i="3"/>
  <c r="O127" i="3"/>
  <c r="Q126" i="3"/>
  <c r="O126" i="3"/>
  <c r="Q125" i="3"/>
  <c r="O125" i="3"/>
  <c r="Q124" i="3"/>
  <c r="O124" i="3"/>
  <c r="Q123" i="3"/>
  <c r="O123" i="3"/>
  <c r="Q122" i="3"/>
  <c r="O122" i="3"/>
  <c r="Q121" i="3"/>
  <c r="O121" i="3"/>
  <c r="Q120" i="3"/>
  <c r="O120" i="3"/>
  <c r="Q119" i="3"/>
  <c r="O119" i="3"/>
  <c r="Q118" i="3"/>
  <c r="O118" i="3"/>
  <c r="Q117" i="3"/>
  <c r="O117" i="3"/>
  <c r="Q116" i="3"/>
  <c r="O116" i="3"/>
  <c r="Q115" i="3"/>
  <c r="O115" i="3"/>
  <c r="Q114" i="3"/>
  <c r="O114" i="3"/>
  <c r="Q113" i="3"/>
  <c r="O113" i="3"/>
  <c r="Q112" i="3"/>
  <c r="O112" i="3"/>
  <c r="Q111" i="3"/>
  <c r="O111" i="3"/>
  <c r="Q110" i="3"/>
  <c r="O110" i="3"/>
  <c r="Q109" i="3"/>
  <c r="O109" i="3"/>
  <c r="Q108" i="3"/>
  <c r="O108" i="3"/>
  <c r="Q107" i="3"/>
  <c r="O107" i="3"/>
  <c r="Q106" i="3"/>
  <c r="O106" i="3"/>
  <c r="Q105" i="3"/>
  <c r="O105" i="3"/>
  <c r="Q104" i="3"/>
  <c r="O104" i="3"/>
  <c r="Q103" i="3"/>
  <c r="O103" i="3"/>
  <c r="Q102" i="3"/>
  <c r="O102" i="3"/>
  <c r="Q101" i="3"/>
  <c r="O101" i="3"/>
  <c r="Q100" i="3"/>
  <c r="O100" i="3"/>
  <c r="Q99" i="3"/>
  <c r="O99" i="3"/>
  <c r="Q98" i="3"/>
  <c r="O98" i="3"/>
  <c r="Q97" i="3"/>
  <c r="O97" i="3"/>
  <c r="Q96" i="3"/>
  <c r="O96" i="3"/>
  <c r="Q95" i="3"/>
  <c r="O95" i="3"/>
  <c r="Q94" i="3"/>
  <c r="O94" i="3"/>
  <c r="Q93" i="3"/>
  <c r="O93" i="3"/>
  <c r="Q92" i="3"/>
  <c r="O92" i="3"/>
  <c r="Q91" i="3"/>
  <c r="O91" i="3"/>
  <c r="Q90" i="3"/>
  <c r="O90" i="3"/>
  <c r="Q89" i="3"/>
  <c r="O89" i="3"/>
  <c r="Q88" i="3"/>
  <c r="O88" i="3"/>
  <c r="Q87" i="3"/>
  <c r="O87" i="3"/>
  <c r="Q86" i="3"/>
  <c r="O86" i="3"/>
  <c r="Q85" i="3"/>
  <c r="O85" i="3"/>
  <c r="Q84" i="3"/>
  <c r="O84" i="3"/>
  <c r="Q83" i="3"/>
  <c r="O83" i="3"/>
  <c r="Q82" i="3"/>
  <c r="O82" i="3"/>
  <c r="Q81" i="3"/>
  <c r="O81" i="3"/>
  <c r="Q80" i="3"/>
  <c r="O80" i="3"/>
  <c r="Q79" i="3"/>
  <c r="O79" i="3"/>
  <c r="Q78" i="3"/>
  <c r="O78" i="3"/>
  <c r="Q77" i="3"/>
  <c r="O77" i="3"/>
  <c r="Q76" i="3"/>
  <c r="O76" i="3"/>
  <c r="Q75" i="3"/>
  <c r="O75" i="3"/>
  <c r="Q74" i="3"/>
  <c r="O74" i="3"/>
  <c r="Q73" i="3"/>
  <c r="O73" i="3"/>
  <c r="Q72" i="3"/>
  <c r="O72" i="3"/>
  <c r="Q71" i="3"/>
  <c r="O71" i="3"/>
  <c r="Q70" i="3"/>
  <c r="O70" i="3"/>
  <c r="Q69" i="3"/>
  <c r="O69" i="3"/>
  <c r="Q68" i="3"/>
  <c r="O68" i="3"/>
  <c r="Q67" i="3"/>
  <c r="O67" i="3"/>
  <c r="Q66" i="3"/>
  <c r="O66" i="3"/>
  <c r="Q65" i="3"/>
  <c r="O65" i="3"/>
  <c r="Q64" i="3"/>
  <c r="O64" i="3"/>
  <c r="Q63" i="3"/>
  <c r="O63" i="3"/>
  <c r="Q62" i="3"/>
  <c r="O62" i="3"/>
  <c r="Q61" i="3"/>
  <c r="O61" i="3"/>
  <c r="Q60" i="3"/>
  <c r="O60" i="3"/>
  <c r="Q59" i="3"/>
  <c r="O59" i="3"/>
  <c r="Q58" i="3"/>
  <c r="O58" i="3"/>
  <c r="Q57" i="3"/>
  <c r="O57" i="3"/>
  <c r="Q56" i="3"/>
  <c r="O56" i="3"/>
  <c r="Q55" i="3"/>
  <c r="O55" i="3"/>
  <c r="Q54" i="3"/>
  <c r="O54" i="3"/>
  <c r="Q53" i="3"/>
  <c r="O53" i="3"/>
  <c r="Q52" i="3"/>
  <c r="O52" i="3"/>
  <c r="Q51" i="3"/>
  <c r="O51" i="3"/>
  <c r="Q50" i="3"/>
  <c r="O50" i="3"/>
  <c r="Q49" i="3"/>
  <c r="O49" i="3"/>
  <c r="Q48" i="3"/>
  <c r="O48" i="3"/>
  <c r="Q47" i="3"/>
  <c r="O47" i="3"/>
  <c r="Q46" i="3"/>
  <c r="O46" i="3"/>
  <c r="Q45" i="3"/>
  <c r="O45" i="3"/>
  <c r="Q44" i="3"/>
  <c r="O44" i="3"/>
  <c r="AC43" i="3"/>
  <c r="Z43" i="3" a="1"/>
  <c r="Z43" i="3" s="1"/>
  <c r="AA43" i="3" s="1"/>
  <c r="Y43" i="3"/>
  <c r="Q43" i="3"/>
  <c r="O43" i="3"/>
  <c r="Z42" i="3" a="1"/>
  <c r="Z42" i="3" s="1"/>
  <c r="AA42" i="3" s="1"/>
  <c r="Y42" i="3"/>
  <c r="Q42" i="3"/>
  <c r="O42" i="3"/>
  <c r="Q41" i="3"/>
  <c r="O41" i="3"/>
  <c r="Q40" i="3"/>
  <c r="O40" i="3"/>
  <c r="Q39" i="3"/>
  <c r="O39" i="3"/>
  <c r="Q38" i="3"/>
  <c r="O38" i="3"/>
  <c r="Q37" i="3"/>
  <c r="O37" i="3"/>
  <c r="X36" i="3"/>
  <c r="Z36" i="3" s="1" a="1"/>
  <c r="Z36" i="3" s="1"/>
  <c r="AA36" i="3" s="1"/>
  <c r="Q36" i="3"/>
  <c r="O36" i="3"/>
  <c r="Z35" i="3" a="1"/>
  <c r="Z35" i="3" s="1"/>
  <c r="AA35" i="3" s="1"/>
  <c r="Y35" i="3"/>
  <c r="Q35" i="3"/>
  <c r="O35" i="3"/>
  <c r="Q34" i="3"/>
  <c r="O34" i="3"/>
  <c r="Q33" i="3"/>
  <c r="O33" i="3"/>
  <c r="Q32" i="3"/>
  <c r="O32" i="3"/>
  <c r="Q31" i="3"/>
  <c r="O31" i="3"/>
  <c r="Q30" i="3"/>
  <c r="O30" i="3"/>
  <c r="Q29" i="3"/>
  <c r="O29" i="3"/>
  <c r="Z28" i="3" a="1"/>
  <c r="Z28" i="3" s="1"/>
  <c r="AA28" i="3" s="1"/>
  <c r="Y28" i="3"/>
  <c r="Q28" i="3"/>
  <c r="O28" i="3"/>
  <c r="Q27" i="3"/>
  <c r="O27" i="3"/>
  <c r="Q26" i="3"/>
  <c r="O26" i="3"/>
  <c r="Q25" i="3"/>
  <c r="O25" i="3"/>
  <c r="X24" i="3"/>
  <c r="Z24" i="3" s="1" a="1"/>
  <c r="Z24" i="3" s="1"/>
  <c r="AA24" i="3" s="1"/>
  <c r="Q24" i="3"/>
  <c r="O24" i="3"/>
  <c r="Z23" i="3" a="1"/>
  <c r="Z23" i="3" s="1"/>
  <c r="AA23" i="3" s="1"/>
  <c r="Y23" i="3"/>
  <c r="Q23" i="3"/>
  <c r="O23" i="3"/>
  <c r="Q22" i="3"/>
  <c r="O22" i="3"/>
  <c r="Q21" i="3"/>
  <c r="O21" i="3"/>
  <c r="Q20" i="3"/>
  <c r="O20" i="3"/>
  <c r="Q19" i="3"/>
  <c r="O19" i="3"/>
  <c r="Q18" i="3"/>
  <c r="O18" i="3"/>
  <c r="Q17" i="3"/>
  <c r="O17" i="3"/>
  <c r="Q16" i="3"/>
  <c r="O16" i="3"/>
  <c r="Q15" i="3"/>
  <c r="O15" i="3"/>
  <c r="Q14" i="3"/>
  <c r="O14" i="3"/>
  <c r="Q13" i="3"/>
  <c r="O13" i="3"/>
  <c r="Q12" i="3"/>
  <c r="O12" i="3"/>
  <c r="Q11" i="3"/>
  <c r="O11" i="3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Q10" i="3"/>
  <c r="O10" i="3"/>
  <c r="Q9" i="3"/>
  <c r="O9" i="3"/>
  <c r="B9" i="3"/>
  <c r="B10" i="3" s="1"/>
  <c r="Q8" i="3"/>
  <c r="O8" i="3"/>
  <c r="B8" i="3"/>
  <c r="Q7" i="3"/>
  <c r="O7" i="3"/>
  <c r="Q5" i="3"/>
  <c r="R5" i="3" s="1"/>
  <c r="S5" i="3" s="1"/>
  <c r="P5" i="3"/>
  <c r="G5" i="3"/>
  <c r="H5" i="3" s="1"/>
  <c r="I5" i="3" s="1"/>
  <c r="J5" i="3" s="1"/>
  <c r="K5" i="3" s="1"/>
  <c r="L5" i="3" s="1"/>
  <c r="M5" i="3" s="1"/>
  <c r="N5" i="3" s="1"/>
  <c r="O5" i="3" s="1"/>
  <c r="F5" i="3"/>
  <c r="AC59" i="2"/>
  <c r="BF24" i="2" s="1"/>
  <c r="Z28" i="2" a="1"/>
  <c r="Z28" i="2" s="1"/>
  <c r="AA28" i="2" s="1"/>
  <c r="Z43" i="2" a="1"/>
  <c r="Z43" i="2" s="1"/>
  <c r="AA43" i="2" s="1"/>
  <c r="Z58" i="2" a="1"/>
  <c r="Z58" i="2" s="1"/>
  <c r="AA58" i="2" s="1"/>
  <c r="Z59" i="2" a="1"/>
  <c r="Z59" i="2" s="1"/>
  <c r="AA59" i="2" s="1"/>
  <c r="Z23" i="2" a="1"/>
  <c r="Z23" i="2" s="1"/>
  <c r="AA23" i="2" s="1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" i="2"/>
  <c r="Y28" i="2"/>
  <c r="Y43" i="2"/>
  <c r="Y58" i="2"/>
  <c r="Y59" i="2"/>
  <c r="Y23" i="2"/>
  <c r="X44" i="2"/>
  <c r="Z44" i="2" s="1" a="1"/>
  <c r="Z44" i="2" s="1"/>
  <c r="AA44" i="2" s="1"/>
  <c r="X29" i="2"/>
  <c r="Z29" i="2" s="1" a="1"/>
  <c r="Z29" i="2" s="1"/>
  <c r="AA29" i="2" s="1"/>
  <c r="X24" i="2"/>
  <c r="Z24" i="2" s="1" a="1"/>
  <c r="Z24" i="2" s="1"/>
  <c r="AA24" i="2" s="1"/>
  <c r="R173" i="5" l="1"/>
  <c r="S173" i="5" s="1"/>
  <c r="R141" i="5"/>
  <c r="S141" i="5" s="1"/>
  <c r="R109" i="5"/>
  <c r="S109" i="5" s="1"/>
  <c r="R77" i="5"/>
  <c r="S77" i="5" s="1"/>
  <c r="R22" i="5"/>
  <c r="S22" i="5" s="1"/>
  <c r="R44" i="5"/>
  <c r="S44" i="5" s="1"/>
  <c r="R392" i="5"/>
  <c r="S392" i="5" s="1"/>
  <c r="R188" i="5"/>
  <c r="S188" i="5" s="1"/>
  <c r="AC44" i="5"/>
  <c r="R767" i="5"/>
  <c r="S767" i="5" s="1"/>
  <c r="R777" i="5"/>
  <c r="S777" i="5" s="1"/>
  <c r="R793" i="5"/>
  <c r="S793" i="5" s="1"/>
  <c r="R635" i="5"/>
  <c r="S635" i="5" s="1"/>
  <c r="R611" i="5"/>
  <c r="S611" i="5" s="1"/>
  <c r="R627" i="5"/>
  <c r="S627" i="5" s="1"/>
  <c r="R578" i="5"/>
  <c r="S578" i="5" s="1"/>
  <c r="R546" i="5"/>
  <c r="S546" i="5" s="1"/>
  <c r="R572" i="5"/>
  <c r="S572" i="5" s="1"/>
  <c r="R548" i="5"/>
  <c r="S548" i="5" s="1"/>
  <c r="R226" i="5"/>
  <c r="S226" i="5" s="1"/>
  <c r="R276" i="5"/>
  <c r="S276" i="5" s="1"/>
  <c r="R18" i="5"/>
  <c r="S18" i="5" s="1"/>
  <c r="R8" i="5"/>
  <c r="S8" i="5" s="1"/>
  <c r="R163" i="5"/>
  <c r="S163" i="5" s="1"/>
  <c r="R676" i="5"/>
  <c r="S676" i="5" s="1"/>
  <c r="R721" i="5"/>
  <c r="S721" i="5" s="1"/>
  <c r="R716" i="5"/>
  <c r="S716" i="5" s="1"/>
  <c r="R690" i="5"/>
  <c r="S690" i="5" s="1"/>
  <c r="R706" i="5"/>
  <c r="S706" i="5" s="1"/>
  <c r="R753" i="5"/>
  <c r="S753" i="5" s="1"/>
  <c r="R340" i="5"/>
  <c r="S340" i="5" s="1"/>
  <c r="R177" i="5"/>
  <c r="S177" i="5" s="1"/>
  <c r="R145" i="5"/>
  <c r="S145" i="5" s="1"/>
  <c r="R113" i="5"/>
  <c r="S113" i="5" s="1"/>
  <c r="R81" i="5"/>
  <c r="S81" i="5" s="1"/>
  <c r="R99" i="5"/>
  <c r="S99" i="5" s="1"/>
  <c r="R218" i="5"/>
  <c r="S218" i="5" s="1"/>
  <c r="R186" i="5"/>
  <c r="S186" i="5" s="1"/>
  <c r="R649" i="5"/>
  <c r="S649" i="5" s="1"/>
  <c r="R700" i="5"/>
  <c r="S700" i="5" s="1"/>
  <c r="R783" i="5"/>
  <c r="S783" i="5" s="1"/>
  <c r="R751" i="5"/>
  <c r="S751" i="5" s="1"/>
  <c r="R687" i="5"/>
  <c r="S687" i="5" s="1"/>
  <c r="R592" i="5"/>
  <c r="S592" i="5" s="1"/>
  <c r="R560" i="5"/>
  <c r="S560" i="5" s="1"/>
  <c r="R214" i="5"/>
  <c r="S214" i="5" s="1"/>
  <c r="R360" i="5"/>
  <c r="S360" i="5" s="1"/>
  <c r="R328" i="5"/>
  <c r="S328" i="5" s="1"/>
  <c r="R296" i="5"/>
  <c r="S296" i="5" s="1"/>
  <c r="R264" i="5"/>
  <c r="S264" i="5" s="1"/>
  <c r="R232" i="5"/>
  <c r="S232" i="5" s="1"/>
  <c r="R346" i="5"/>
  <c r="S346" i="5" s="1"/>
  <c r="R314" i="5"/>
  <c r="S314" i="5" s="1"/>
  <c r="R282" i="5"/>
  <c r="S282" i="5" s="1"/>
  <c r="R250" i="5"/>
  <c r="S250" i="5" s="1"/>
  <c r="R210" i="5"/>
  <c r="S210" i="5" s="1"/>
  <c r="R165" i="5"/>
  <c r="S165" i="5" s="1"/>
  <c r="R133" i="5"/>
  <c r="S133" i="5" s="1"/>
  <c r="R101" i="5"/>
  <c r="S101" i="5" s="1"/>
  <c r="R69" i="5"/>
  <c r="S69" i="5" s="1"/>
  <c r="R29" i="5"/>
  <c r="S29" i="5" s="1"/>
  <c r="R564" i="5"/>
  <c r="S564" i="5" s="1"/>
  <c r="R590" i="5"/>
  <c r="S590" i="5" s="1"/>
  <c r="R558" i="5"/>
  <c r="S558" i="5" s="1"/>
  <c r="R474" i="5"/>
  <c r="S474" i="5" s="1"/>
  <c r="R507" i="5"/>
  <c r="S507" i="5" s="1"/>
  <c r="R358" i="5"/>
  <c r="S358" i="5" s="1"/>
  <c r="R326" i="5"/>
  <c r="S326" i="5" s="1"/>
  <c r="R294" i="5"/>
  <c r="S294" i="5" s="1"/>
  <c r="R262" i="5"/>
  <c r="S262" i="5" s="1"/>
  <c r="R230" i="5"/>
  <c r="S230" i="5" s="1"/>
  <c r="R312" i="5"/>
  <c r="S312" i="5" s="1"/>
  <c r="R260" i="5"/>
  <c r="S260" i="5" s="1"/>
  <c r="R52" i="5"/>
  <c r="S52" i="5" s="1"/>
  <c r="R268" i="5"/>
  <c r="S268" i="5" s="1"/>
  <c r="R175" i="5"/>
  <c r="S175" i="5" s="1"/>
  <c r="R143" i="5"/>
  <c r="S143" i="5" s="1"/>
  <c r="R111" i="5"/>
  <c r="S111" i="5" s="1"/>
  <c r="R79" i="5"/>
  <c r="S79" i="5" s="1"/>
  <c r="R49" i="5"/>
  <c r="S49" i="5" s="1"/>
  <c r="R252" i="5"/>
  <c r="S252" i="5" s="1"/>
  <c r="R139" i="5"/>
  <c r="S139" i="5" s="1"/>
  <c r="R32" i="5"/>
  <c r="S32" i="5" s="1"/>
  <c r="R16" i="5"/>
  <c r="S16" i="5" s="1"/>
  <c r="R384" i="5"/>
  <c r="S384" i="5" s="1"/>
  <c r="R609" i="5"/>
  <c r="S609" i="5" s="1"/>
  <c r="R608" i="5"/>
  <c r="S608" i="5" s="1"/>
  <c r="R494" i="5"/>
  <c r="S494" i="5" s="1"/>
  <c r="R462" i="5"/>
  <c r="S462" i="5" s="1"/>
  <c r="R442" i="5"/>
  <c r="S442" i="5" s="1"/>
  <c r="R410" i="5"/>
  <c r="S410" i="5" s="1"/>
  <c r="R403" i="5"/>
  <c r="S403" i="5" s="1"/>
  <c r="R398" i="5"/>
  <c r="S398" i="5" s="1"/>
  <c r="R496" i="5"/>
  <c r="S496" i="5" s="1"/>
  <c r="R244" i="5"/>
  <c r="S244" i="5" s="1"/>
  <c r="R147" i="5"/>
  <c r="S147" i="5" s="1"/>
  <c r="R130" i="5"/>
  <c r="S130" i="5" s="1"/>
  <c r="R76" i="5"/>
  <c r="S76" i="5" s="1"/>
  <c r="R589" i="5"/>
  <c r="S589" i="5" s="1"/>
  <c r="R325" i="5"/>
  <c r="S325" i="5" s="1"/>
  <c r="R132" i="5"/>
  <c r="S132" i="5" s="1"/>
  <c r="R207" i="5"/>
  <c r="S207" i="5" s="1"/>
  <c r="R307" i="5"/>
  <c r="S307" i="5" s="1"/>
  <c r="R339" i="5"/>
  <c r="S339" i="5" s="1"/>
  <c r="R319" i="5"/>
  <c r="S319" i="5" s="1"/>
  <c r="R351" i="5"/>
  <c r="S351" i="5" s="1"/>
  <c r="R557" i="5"/>
  <c r="S557" i="5" s="1"/>
  <c r="R533" i="5"/>
  <c r="S533" i="5" s="1"/>
  <c r="R641" i="5"/>
  <c r="S641" i="5" s="1"/>
  <c r="R551" i="5"/>
  <c r="S551" i="5" s="1"/>
  <c r="R583" i="5"/>
  <c r="S583" i="5" s="1"/>
  <c r="R697" i="5"/>
  <c r="S697" i="5" s="1"/>
  <c r="R666" i="5"/>
  <c r="S666" i="5" s="1"/>
  <c r="R659" i="5"/>
  <c r="S659" i="5" s="1"/>
  <c r="R699" i="5"/>
  <c r="S699" i="5" s="1"/>
  <c r="R731" i="5"/>
  <c r="S731" i="5" s="1"/>
  <c r="R750" i="5"/>
  <c r="S750" i="5" s="1"/>
  <c r="R782" i="5"/>
  <c r="S782" i="5" s="1"/>
  <c r="R489" i="5"/>
  <c r="S489" i="5" s="1"/>
  <c r="R473" i="5"/>
  <c r="S473" i="5" s="1"/>
  <c r="R487" i="5"/>
  <c r="S487" i="5" s="1"/>
  <c r="R457" i="5"/>
  <c r="S457" i="5" s="1"/>
  <c r="R606" i="5"/>
  <c r="S606" i="5" s="1"/>
  <c r="R500" i="5"/>
  <c r="S500" i="5" s="1"/>
  <c r="R468" i="5"/>
  <c r="S468" i="5" s="1"/>
  <c r="R787" i="5"/>
  <c r="S787" i="5" s="1"/>
  <c r="R695" i="5"/>
  <c r="S695" i="5" s="1"/>
  <c r="R490" i="5"/>
  <c r="S490" i="5" s="1"/>
  <c r="R342" i="5"/>
  <c r="S342" i="5" s="1"/>
  <c r="R278" i="5"/>
  <c r="S278" i="5" s="1"/>
  <c r="R66" i="5"/>
  <c r="S66" i="5" s="1"/>
  <c r="R223" i="5"/>
  <c r="S223" i="5" s="1"/>
  <c r="R54" i="5"/>
  <c r="S54" i="5" s="1"/>
  <c r="R525" i="5"/>
  <c r="S525" i="5" s="1"/>
  <c r="R553" i="5"/>
  <c r="S553" i="5" s="1"/>
  <c r="R585" i="5"/>
  <c r="S585" i="5" s="1"/>
  <c r="R758" i="5"/>
  <c r="S758" i="5" s="1"/>
  <c r="R790" i="5"/>
  <c r="S790" i="5" s="1"/>
  <c r="R781" i="5"/>
  <c r="S781" i="5" s="1"/>
  <c r="R749" i="5"/>
  <c r="S749" i="5" s="1"/>
  <c r="R625" i="5"/>
  <c r="S625" i="5" s="1"/>
  <c r="R653" i="5"/>
  <c r="S653" i="5" s="1"/>
  <c r="R481" i="5"/>
  <c r="S481" i="5" s="1"/>
  <c r="R511" i="5"/>
  <c r="S511" i="5" s="1"/>
  <c r="R445" i="5"/>
  <c r="S445" i="5" s="1"/>
  <c r="R429" i="5"/>
  <c r="S429" i="5" s="1"/>
  <c r="R413" i="5"/>
  <c r="S413" i="5" s="1"/>
  <c r="R397" i="5"/>
  <c r="S397" i="5" s="1"/>
  <c r="R386" i="5"/>
  <c r="S386" i="5" s="1"/>
  <c r="R411" i="5"/>
  <c r="S411" i="5" s="1"/>
  <c r="R395" i="5"/>
  <c r="S395" i="5" s="1"/>
  <c r="R438" i="5"/>
  <c r="S438" i="5" s="1"/>
  <c r="R422" i="5"/>
  <c r="S422" i="5" s="1"/>
  <c r="R406" i="5"/>
  <c r="S406" i="5" s="1"/>
  <c r="R204" i="5"/>
  <c r="S204" i="5" s="1"/>
  <c r="R171" i="5"/>
  <c r="S171" i="5" s="1"/>
  <c r="R201" i="5"/>
  <c r="S201" i="5" s="1"/>
  <c r="R755" i="5"/>
  <c r="S755" i="5" s="1"/>
  <c r="R418" i="5"/>
  <c r="S418" i="5" s="1"/>
  <c r="R374" i="5"/>
  <c r="S374" i="5" s="1"/>
  <c r="R310" i="5"/>
  <c r="S310" i="5" s="1"/>
  <c r="R246" i="5"/>
  <c r="S246" i="5" s="1"/>
  <c r="R149" i="5"/>
  <c r="S149" i="5" s="1"/>
  <c r="R180" i="5"/>
  <c r="S180" i="5" s="1"/>
  <c r="R685" i="5"/>
  <c r="S685" i="5" s="1"/>
  <c r="R613" i="5"/>
  <c r="S613" i="5" s="1"/>
  <c r="R576" i="5"/>
  <c r="S576" i="5" s="1"/>
  <c r="R544" i="5"/>
  <c r="S544" i="5" s="1"/>
  <c r="R498" i="5"/>
  <c r="S498" i="5" s="1"/>
  <c r="R382" i="5"/>
  <c r="S382" i="5" s="1"/>
  <c r="R440" i="5"/>
  <c r="S440" i="5" s="1"/>
  <c r="R424" i="5"/>
  <c r="S424" i="5" s="1"/>
  <c r="R408" i="5"/>
  <c r="S408" i="5" s="1"/>
  <c r="R391" i="5"/>
  <c r="S391" i="5" s="1"/>
  <c r="R449" i="5"/>
  <c r="S449" i="5" s="1"/>
  <c r="R417" i="5"/>
  <c r="S417" i="5" s="1"/>
  <c r="R187" i="5"/>
  <c r="S187" i="5" s="1"/>
  <c r="R83" i="5"/>
  <c r="S83" i="5" s="1"/>
  <c r="R169" i="5"/>
  <c r="S169" i="5" s="1"/>
  <c r="R137" i="5"/>
  <c r="S137" i="5" s="1"/>
  <c r="R105" i="5"/>
  <c r="S105" i="5" s="1"/>
  <c r="R73" i="5"/>
  <c r="S73" i="5" s="1"/>
  <c r="R123" i="5"/>
  <c r="S123" i="5" s="1"/>
  <c r="R477" i="5"/>
  <c r="S477" i="5" s="1"/>
  <c r="R43" i="5"/>
  <c r="S43" i="5" s="1"/>
  <c r="R779" i="5"/>
  <c r="S779" i="5" s="1"/>
  <c r="R747" i="5"/>
  <c r="S747" i="5" s="1"/>
  <c r="R711" i="5"/>
  <c r="S711" i="5" s="1"/>
  <c r="R639" i="5"/>
  <c r="S639" i="5" s="1"/>
  <c r="R574" i="5"/>
  <c r="S574" i="5" s="1"/>
  <c r="R637" i="5"/>
  <c r="S637" i="5" s="1"/>
  <c r="R517" i="5"/>
  <c r="S517" i="5" s="1"/>
  <c r="R458" i="5"/>
  <c r="S458" i="5" s="1"/>
  <c r="R437" i="5"/>
  <c r="S437" i="5" s="1"/>
  <c r="R421" i="5"/>
  <c r="S421" i="5" s="1"/>
  <c r="R405" i="5"/>
  <c r="S405" i="5" s="1"/>
  <c r="R451" i="5"/>
  <c r="S451" i="5" s="1"/>
  <c r="R455" i="5"/>
  <c r="S455" i="5" s="1"/>
  <c r="R280" i="5"/>
  <c r="S280" i="5" s="1"/>
  <c r="R196" i="5"/>
  <c r="S196" i="5" s="1"/>
  <c r="R117" i="5"/>
  <c r="S117" i="5" s="1"/>
  <c r="R39" i="5"/>
  <c r="S39" i="5" s="1"/>
  <c r="R59" i="5"/>
  <c r="S59" i="5" s="1"/>
  <c r="R372" i="5"/>
  <c r="S372" i="5" s="1"/>
  <c r="R153" i="5"/>
  <c r="S153" i="5" s="1"/>
  <c r="R121" i="5"/>
  <c r="S121" i="5" s="1"/>
  <c r="R89" i="5"/>
  <c r="S89" i="5" s="1"/>
  <c r="R57" i="5"/>
  <c r="S57" i="5" s="1"/>
  <c r="R107" i="5"/>
  <c r="S107" i="5" s="1"/>
  <c r="R92" i="5"/>
  <c r="S92" i="5" s="1"/>
  <c r="R162" i="5"/>
  <c r="S162" i="5" s="1"/>
  <c r="R116" i="5"/>
  <c r="S116" i="5" s="1"/>
  <c r="R64" i="5"/>
  <c r="S64" i="5" s="1"/>
  <c r="R96" i="5"/>
  <c r="S96" i="5" s="1"/>
  <c r="R128" i="5"/>
  <c r="S128" i="5" s="1"/>
  <c r="R160" i="5"/>
  <c r="S160" i="5" s="1"/>
  <c r="R37" i="5"/>
  <c r="S37" i="5" s="1"/>
  <c r="R13" i="5"/>
  <c r="S13" i="5" s="1"/>
  <c r="R62" i="5"/>
  <c r="S62" i="5" s="1"/>
  <c r="R94" i="5"/>
  <c r="S94" i="5" s="1"/>
  <c r="R126" i="5"/>
  <c r="S126" i="5" s="1"/>
  <c r="R158" i="5"/>
  <c r="S158" i="5" s="1"/>
  <c r="R243" i="5"/>
  <c r="S243" i="5" s="1"/>
  <c r="R275" i="5"/>
  <c r="S275" i="5" s="1"/>
  <c r="R371" i="5"/>
  <c r="S371" i="5" s="1"/>
  <c r="R255" i="5"/>
  <c r="S255" i="5" s="1"/>
  <c r="R287" i="5"/>
  <c r="S287" i="5" s="1"/>
  <c r="R519" i="5"/>
  <c r="S519" i="5" s="1"/>
  <c r="R657" i="5"/>
  <c r="S657" i="5" s="1"/>
  <c r="R652" i="5"/>
  <c r="S652" i="5" s="1"/>
  <c r="R643" i="5"/>
  <c r="S643" i="5" s="1"/>
  <c r="R675" i="5"/>
  <c r="S675" i="5" s="1"/>
  <c r="R705" i="5"/>
  <c r="S705" i="5" s="1"/>
  <c r="R724" i="5"/>
  <c r="S724" i="5" s="1"/>
  <c r="R693" i="5"/>
  <c r="S693" i="5" s="1"/>
  <c r="R715" i="5"/>
  <c r="S715" i="5" s="1"/>
  <c r="R766" i="5"/>
  <c r="S766" i="5" s="1"/>
  <c r="R774" i="5"/>
  <c r="S774" i="5" s="1"/>
  <c r="R765" i="5"/>
  <c r="S765" i="5" s="1"/>
  <c r="R771" i="5"/>
  <c r="S771" i="5" s="1"/>
  <c r="R739" i="5"/>
  <c r="S739" i="5" s="1"/>
  <c r="R727" i="5"/>
  <c r="S727" i="5" s="1"/>
  <c r="R615" i="5"/>
  <c r="S615" i="5" s="1"/>
  <c r="R542" i="5"/>
  <c r="S542" i="5" s="1"/>
  <c r="R655" i="5"/>
  <c r="S655" i="5" s="1"/>
  <c r="R530" i="5"/>
  <c r="S530" i="5" s="1"/>
  <c r="R586" i="5"/>
  <c r="S586" i="5" s="1"/>
  <c r="R528" i="5"/>
  <c r="S528" i="5" s="1"/>
  <c r="R502" i="5"/>
  <c r="S502" i="5" s="1"/>
  <c r="R470" i="5"/>
  <c r="S470" i="5" s="1"/>
  <c r="R580" i="5"/>
  <c r="S580" i="5" s="1"/>
  <c r="R508" i="5"/>
  <c r="S508" i="5" s="1"/>
  <c r="R514" i="5"/>
  <c r="S514" i="5" s="1"/>
  <c r="R485" i="5"/>
  <c r="S485" i="5" s="1"/>
  <c r="R450" i="5"/>
  <c r="S450" i="5" s="1"/>
  <c r="R448" i="5"/>
  <c r="S448" i="5" s="1"/>
  <c r="R432" i="5"/>
  <c r="S432" i="5" s="1"/>
  <c r="R387" i="5"/>
  <c r="S387" i="5" s="1"/>
  <c r="R446" i="5"/>
  <c r="S446" i="5" s="1"/>
  <c r="R430" i="5"/>
  <c r="S430" i="5" s="1"/>
  <c r="R380" i="5"/>
  <c r="S380" i="5" s="1"/>
  <c r="R376" i="5"/>
  <c r="S376" i="5" s="1"/>
  <c r="R248" i="5"/>
  <c r="S248" i="5" s="1"/>
  <c r="R220" i="5"/>
  <c r="S220" i="5" s="1"/>
  <c r="R420" i="5"/>
  <c r="S420" i="5" s="1"/>
  <c r="R370" i="5"/>
  <c r="S370" i="5" s="1"/>
  <c r="R338" i="5"/>
  <c r="S338" i="5" s="1"/>
  <c r="R306" i="5"/>
  <c r="S306" i="5" s="1"/>
  <c r="R274" i="5"/>
  <c r="S274" i="5" s="1"/>
  <c r="R242" i="5"/>
  <c r="S242" i="5" s="1"/>
  <c r="R202" i="5"/>
  <c r="S202" i="5" s="1"/>
  <c r="R292" i="5"/>
  <c r="S292" i="5" s="1"/>
  <c r="R192" i="5"/>
  <c r="S192" i="5" s="1"/>
  <c r="R85" i="5"/>
  <c r="S85" i="5" s="1"/>
  <c r="R300" i="5"/>
  <c r="S300" i="5" s="1"/>
  <c r="R216" i="5"/>
  <c r="S216" i="5" s="1"/>
  <c r="R183" i="5"/>
  <c r="S183" i="5" s="1"/>
  <c r="R151" i="5"/>
  <c r="S151" i="5" s="1"/>
  <c r="R119" i="5"/>
  <c r="S119" i="5" s="1"/>
  <c r="R87" i="5"/>
  <c r="S87" i="5" s="1"/>
  <c r="R55" i="5"/>
  <c r="S55" i="5" s="1"/>
  <c r="R155" i="5"/>
  <c r="S155" i="5" s="1"/>
  <c r="R316" i="5"/>
  <c r="S316" i="5" s="1"/>
  <c r="R689" i="5"/>
  <c r="S689" i="5" s="1"/>
  <c r="R664" i="5"/>
  <c r="S664" i="5" s="1"/>
  <c r="R763" i="5"/>
  <c r="S763" i="5" s="1"/>
  <c r="R671" i="5"/>
  <c r="S671" i="5" s="1"/>
  <c r="R629" i="5"/>
  <c r="S629" i="5" s="1"/>
  <c r="R623" i="5"/>
  <c r="S623" i="5" s="1"/>
  <c r="R554" i="5"/>
  <c r="S554" i="5" s="1"/>
  <c r="R604" i="5"/>
  <c r="S604" i="5" s="1"/>
  <c r="R503" i="5"/>
  <c r="S503" i="5" s="1"/>
  <c r="R476" i="5"/>
  <c r="S476" i="5" s="1"/>
  <c r="R588" i="5"/>
  <c r="S588" i="5" s="1"/>
  <c r="R509" i="5"/>
  <c r="S509" i="5" s="1"/>
  <c r="R482" i="5"/>
  <c r="S482" i="5" s="1"/>
  <c r="R466" i="5"/>
  <c r="S466" i="5" s="1"/>
  <c r="R443" i="5"/>
  <c r="S443" i="5" s="1"/>
  <c r="R416" i="5"/>
  <c r="S416" i="5" s="1"/>
  <c r="R400" i="5"/>
  <c r="S400" i="5" s="1"/>
  <c r="R425" i="5"/>
  <c r="S425" i="5" s="1"/>
  <c r="R350" i="5"/>
  <c r="S350" i="5" s="1"/>
  <c r="R318" i="5"/>
  <c r="S318" i="5" s="1"/>
  <c r="R286" i="5"/>
  <c r="S286" i="5" s="1"/>
  <c r="R254" i="5"/>
  <c r="S254" i="5" s="1"/>
  <c r="R190" i="5"/>
  <c r="S190" i="5" s="1"/>
  <c r="R344" i="5"/>
  <c r="S344" i="5" s="1"/>
  <c r="R464" i="5"/>
  <c r="S464" i="5" s="1"/>
  <c r="R362" i="5"/>
  <c r="S362" i="5" s="1"/>
  <c r="R330" i="5"/>
  <c r="S330" i="5" s="1"/>
  <c r="R298" i="5"/>
  <c r="S298" i="5" s="1"/>
  <c r="R266" i="5"/>
  <c r="S266" i="5" s="1"/>
  <c r="R234" i="5"/>
  <c r="S234" i="5" s="1"/>
  <c r="R194" i="5"/>
  <c r="S194" i="5" s="1"/>
  <c r="R181" i="5"/>
  <c r="S181" i="5" s="1"/>
  <c r="R67" i="5"/>
  <c r="S67" i="5" s="1"/>
  <c r="R41" i="5"/>
  <c r="S41" i="5" s="1"/>
  <c r="R308" i="5"/>
  <c r="S308" i="5" s="1"/>
  <c r="R23" i="5"/>
  <c r="S23" i="5" s="1"/>
  <c r="R10" i="5"/>
  <c r="S10" i="5" s="1"/>
  <c r="R179" i="5"/>
  <c r="S179" i="5" s="1"/>
  <c r="R480" i="5"/>
  <c r="S480" i="5" s="1"/>
  <c r="R200" i="5"/>
  <c r="S200" i="5" s="1"/>
  <c r="R257" i="5"/>
  <c r="S257" i="5" s="1"/>
  <c r="R353" i="5"/>
  <c r="S353" i="5" s="1"/>
  <c r="R563" i="5"/>
  <c r="S563" i="5" s="1"/>
  <c r="R726" i="5"/>
  <c r="S726" i="5" s="1"/>
  <c r="R670" i="5"/>
  <c r="S670" i="5" s="1"/>
  <c r="R646" i="5"/>
  <c r="S646" i="5" s="1"/>
  <c r="R686" i="5"/>
  <c r="S686" i="5" s="1"/>
  <c r="R634" i="5"/>
  <c r="S634" i="5" s="1"/>
  <c r="R710" i="5"/>
  <c r="S710" i="5" s="1"/>
  <c r="R742" i="5"/>
  <c r="S742" i="5" s="1"/>
  <c r="R741" i="5"/>
  <c r="S741" i="5" s="1"/>
  <c r="R709" i="5"/>
  <c r="S709" i="5" s="1"/>
  <c r="R582" i="5"/>
  <c r="S582" i="5" s="1"/>
  <c r="R550" i="5"/>
  <c r="S550" i="5" s="1"/>
  <c r="R521" i="5"/>
  <c r="S521" i="5" s="1"/>
  <c r="R456" i="5"/>
  <c r="S456" i="5" s="1"/>
  <c r="R495" i="5"/>
  <c r="S495" i="5" s="1"/>
  <c r="R463" i="5"/>
  <c r="S463" i="5" s="1"/>
  <c r="R669" i="5"/>
  <c r="S669" i="5" s="1"/>
  <c r="R506" i="5"/>
  <c r="S506" i="5" s="1"/>
  <c r="R493" i="5"/>
  <c r="S493" i="5" s="1"/>
  <c r="R461" i="5"/>
  <c r="S461" i="5" s="1"/>
  <c r="R512" i="5"/>
  <c r="S512" i="5" s="1"/>
  <c r="R467" i="5"/>
  <c r="S467" i="5" s="1"/>
  <c r="R472" i="5"/>
  <c r="S472" i="5" s="1"/>
  <c r="R404" i="5"/>
  <c r="S404" i="5" s="1"/>
  <c r="R206" i="5"/>
  <c r="S206" i="5" s="1"/>
  <c r="R415" i="5"/>
  <c r="S415" i="5" s="1"/>
  <c r="R385" i="5"/>
  <c r="S385" i="5" s="1"/>
  <c r="R352" i="5"/>
  <c r="S352" i="5" s="1"/>
  <c r="R320" i="5"/>
  <c r="S320" i="5" s="1"/>
  <c r="R288" i="5"/>
  <c r="S288" i="5" s="1"/>
  <c r="R256" i="5"/>
  <c r="S256" i="5" s="1"/>
  <c r="R452" i="5"/>
  <c r="S452" i="5" s="1"/>
  <c r="R407" i="5"/>
  <c r="S407" i="5" s="1"/>
  <c r="R381" i="5"/>
  <c r="S381" i="5" s="1"/>
  <c r="R444" i="5"/>
  <c r="S444" i="5" s="1"/>
  <c r="R157" i="5"/>
  <c r="S157" i="5" s="1"/>
  <c r="R125" i="5"/>
  <c r="S125" i="5" s="1"/>
  <c r="R93" i="5"/>
  <c r="S93" i="5" s="1"/>
  <c r="R61" i="5"/>
  <c r="S61" i="5" s="1"/>
  <c r="R189" i="5"/>
  <c r="S189" i="5" s="1"/>
  <c r="R348" i="5"/>
  <c r="S348" i="5" s="1"/>
  <c r="R221" i="5"/>
  <c r="S221" i="5" s="1"/>
  <c r="R91" i="5"/>
  <c r="S91" i="5" s="1"/>
  <c r="R30" i="5"/>
  <c r="S30" i="5" s="1"/>
  <c r="R515" i="5"/>
  <c r="S515" i="5" s="1"/>
  <c r="R211" i="5"/>
  <c r="S211" i="5" s="1"/>
  <c r="R197" i="5"/>
  <c r="S197" i="5" s="1"/>
  <c r="R51" i="5"/>
  <c r="S51" i="5" s="1"/>
  <c r="Y43" i="5"/>
  <c r="AC42" i="5"/>
  <c r="R431" i="5"/>
  <c r="S431" i="5" s="1"/>
  <c r="R203" i="5"/>
  <c r="S203" i="5" s="1"/>
  <c r="R245" i="5"/>
  <c r="S245" i="5" s="1"/>
  <c r="R25" i="5"/>
  <c r="S25" i="5" s="1"/>
  <c r="R74" i="5"/>
  <c r="S74" i="5" s="1"/>
  <c r="R106" i="5"/>
  <c r="S106" i="5" s="1"/>
  <c r="R138" i="5"/>
  <c r="S138" i="5" s="1"/>
  <c r="R170" i="5"/>
  <c r="S170" i="5" s="1"/>
  <c r="R237" i="5"/>
  <c r="S237" i="5" s="1"/>
  <c r="R365" i="5"/>
  <c r="S365" i="5" s="1"/>
  <c r="R84" i="5"/>
  <c r="S84" i="5" s="1"/>
  <c r="R124" i="5"/>
  <c r="S124" i="5" s="1"/>
  <c r="R215" i="5"/>
  <c r="S215" i="5" s="1"/>
  <c r="R50" i="5"/>
  <c r="S50" i="5" s="1"/>
  <c r="R72" i="5"/>
  <c r="S72" i="5" s="1"/>
  <c r="R104" i="5"/>
  <c r="S104" i="5" s="1"/>
  <c r="R136" i="5"/>
  <c r="S136" i="5" s="1"/>
  <c r="R168" i="5"/>
  <c r="S168" i="5" s="1"/>
  <c r="R229" i="5"/>
  <c r="S229" i="5" s="1"/>
  <c r="R357" i="5"/>
  <c r="S357" i="5" s="1"/>
  <c r="R140" i="5"/>
  <c r="S140" i="5" s="1"/>
  <c r="R7" i="5"/>
  <c r="S7" i="5" s="1"/>
  <c r="R15" i="5"/>
  <c r="S15" i="5" s="1"/>
  <c r="R70" i="5"/>
  <c r="S70" i="5" s="1"/>
  <c r="R102" i="5"/>
  <c r="S102" i="5" s="1"/>
  <c r="R134" i="5"/>
  <c r="S134" i="5" s="1"/>
  <c r="R166" i="5"/>
  <c r="S166" i="5" s="1"/>
  <c r="R253" i="5"/>
  <c r="S253" i="5" s="1"/>
  <c r="R225" i="5"/>
  <c r="S225" i="5" s="1"/>
  <c r="R251" i="5"/>
  <c r="S251" i="5" s="1"/>
  <c r="R283" i="5"/>
  <c r="S283" i="5" s="1"/>
  <c r="R315" i="5"/>
  <c r="S315" i="5" s="1"/>
  <c r="R347" i="5"/>
  <c r="S347" i="5" s="1"/>
  <c r="R233" i="5"/>
  <c r="S233" i="5" s="1"/>
  <c r="R265" i="5"/>
  <c r="S265" i="5" s="1"/>
  <c r="R297" i="5"/>
  <c r="S297" i="5" s="1"/>
  <c r="R329" i="5"/>
  <c r="S329" i="5" s="1"/>
  <c r="R361" i="5"/>
  <c r="S361" i="5" s="1"/>
  <c r="R231" i="5"/>
  <c r="S231" i="5" s="1"/>
  <c r="R263" i="5"/>
  <c r="S263" i="5" s="1"/>
  <c r="R295" i="5"/>
  <c r="S295" i="5" s="1"/>
  <c r="R327" i="5"/>
  <c r="S327" i="5" s="1"/>
  <c r="R359" i="5"/>
  <c r="S359" i="5" s="1"/>
  <c r="R454" i="5"/>
  <c r="S454" i="5" s="1"/>
  <c r="R541" i="5"/>
  <c r="S541" i="5" s="1"/>
  <c r="R565" i="5"/>
  <c r="S565" i="5" s="1"/>
  <c r="R539" i="5"/>
  <c r="S539" i="5" s="1"/>
  <c r="R571" i="5"/>
  <c r="S571" i="5" s="1"/>
  <c r="R603" i="5"/>
  <c r="S603" i="5" s="1"/>
  <c r="R729" i="5"/>
  <c r="S729" i="5" s="1"/>
  <c r="R561" i="5"/>
  <c r="S561" i="5" s="1"/>
  <c r="R593" i="5"/>
  <c r="S593" i="5" s="1"/>
  <c r="R523" i="5"/>
  <c r="S523" i="5" s="1"/>
  <c r="R559" i="5"/>
  <c r="S559" i="5" s="1"/>
  <c r="R591" i="5"/>
  <c r="S591" i="5" s="1"/>
  <c r="R662" i="5"/>
  <c r="S662" i="5" s="1"/>
  <c r="R620" i="5"/>
  <c r="S620" i="5" s="1"/>
  <c r="R660" i="5"/>
  <c r="S660" i="5" s="1"/>
  <c r="R688" i="5"/>
  <c r="S688" i="5" s="1"/>
  <c r="R642" i="5"/>
  <c r="S642" i="5" s="1"/>
  <c r="R674" i="5"/>
  <c r="S674" i="5" s="1"/>
  <c r="R713" i="5"/>
  <c r="S713" i="5" s="1"/>
  <c r="R648" i="5"/>
  <c r="S648" i="5" s="1"/>
  <c r="R678" i="5"/>
  <c r="S678" i="5" s="1"/>
  <c r="R734" i="5"/>
  <c r="S734" i="5" s="1"/>
  <c r="R744" i="5"/>
  <c r="S744" i="5" s="1"/>
  <c r="R698" i="5"/>
  <c r="S698" i="5" s="1"/>
  <c r="R717" i="5"/>
  <c r="S717" i="5" s="1"/>
  <c r="R733" i="5"/>
  <c r="S733" i="5" s="1"/>
  <c r="R704" i="5"/>
  <c r="S704" i="5" s="1"/>
  <c r="R720" i="5"/>
  <c r="S720" i="5" s="1"/>
  <c r="R736" i="5"/>
  <c r="S736" i="5" s="1"/>
  <c r="R752" i="5"/>
  <c r="S752" i="5" s="1"/>
  <c r="R760" i="5"/>
  <c r="S760" i="5" s="1"/>
  <c r="R768" i="5"/>
  <c r="S768" i="5" s="1"/>
  <c r="R776" i="5"/>
  <c r="S776" i="5" s="1"/>
  <c r="R784" i="5"/>
  <c r="S784" i="5" s="1"/>
  <c r="R792" i="5"/>
  <c r="S792" i="5" s="1"/>
  <c r="R428" i="5"/>
  <c r="S428" i="5" s="1"/>
  <c r="R19" i="5"/>
  <c r="S19" i="5" s="1"/>
  <c r="R98" i="5"/>
  <c r="S98" i="5" s="1"/>
  <c r="R333" i="5"/>
  <c r="S333" i="5" s="1"/>
  <c r="R289" i="5"/>
  <c r="S289" i="5" s="1"/>
  <c r="R595" i="5"/>
  <c r="S595" i="5" s="1"/>
  <c r="R789" i="5"/>
  <c r="S789" i="5" s="1"/>
  <c r="R773" i="5"/>
  <c r="S773" i="5" s="1"/>
  <c r="R757" i="5"/>
  <c r="S757" i="5" s="1"/>
  <c r="R532" i="5"/>
  <c r="S532" i="5" s="1"/>
  <c r="R614" i="5"/>
  <c r="S614" i="5" s="1"/>
  <c r="R510" i="5"/>
  <c r="S510" i="5" s="1"/>
  <c r="R497" i="5"/>
  <c r="S497" i="5" s="1"/>
  <c r="R478" i="5"/>
  <c r="S478" i="5" s="1"/>
  <c r="R465" i="5"/>
  <c r="S465" i="5" s="1"/>
  <c r="R531" i="5"/>
  <c r="S531" i="5" s="1"/>
  <c r="R516" i="5"/>
  <c r="S516" i="5" s="1"/>
  <c r="R484" i="5"/>
  <c r="S484" i="5" s="1"/>
  <c r="R471" i="5"/>
  <c r="S471" i="5" s="1"/>
  <c r="R610" i="5"/>
  <c r="S610" i="5" s="1"/>
  <c r="R556" i="5"/>
  <c r="S556" i="5" s="1"/>
  <c r="R501" i="5"/>
  <c r="S501" i="5" s="1"/>
  <c r="R469" i="5"/>
  <c r="S469" i="5" s="1"/>
  <c r="R529" i="5"/>
  <c r="S529" i="5" s="1"/>
  <c r="R488" i="5"/>
  <c r="S488" i="5" s="1"/>
  <c r="R426" i="5"/>
  <c r="S426" i="5" s="1"/>
  <c r="R394" i="5"/>
  <c r="S394" i="5" s="1"/>
  <c r="R499" i="5"/>
  <c r="S499" i="5" s="1"/>
  <c r="R419" i="5"/>
  <c r="S419" i="5" s="1"/>
  <c r="R383" i="5"/>
  <c r="S383" i="5" s="1"/>
  <c r="R504" i="5"/>
  <c r="S504" i="5" s="1"/>
  <c r="R459" i="5"/>
  <c r="S459" i="5" s="1"/>
  <c r="R433" i="5"/>
  <c r="S433" i="5" s="1"/>
  <c r="R414" i="5"/>
  <c r="S414" i="5" s="1"/>
  <c r="R401" i="5"/>
  <c r="S401" i="5" s="1"/>
  <c r="R388" i="5"/>
  <c r="S388" i="5" s="1"/>
  <c r="R526" i="5"/>
  <c r="S526" i="5" s="1"/>
  <c r="R436" i="5"/>
  <c r="S436" i="5" s="1"/>
  <c r="R198" i="5"/>
  <c r="S198" i="5" s="1"/>
  <c r="R447" i="5"/>
  <c r="S447" i="5" s="1"/>
  <c r="R439" i="5"/>
  <c r="S439" i="5" s="1"/>
  <c r="R378" i="5"/>
  <c r="S378" i="5" s="1"/>
  <c r="R399" i="5"/>
  <c r="S399" i="5" s="1"/>
  <c r="R213" i="5"/>
  <c r="S213" i="5" s="1"/>
  <c r="R48" i="5"/>
  <c r="S48" i="5" s="1"/>
  <c r="R31" i="5"/>
  <c r="S31" i="5" s="1"/>
  <c r="R26" i="5"/>
  <c r="S26" i="5" s="1"/>
  <c r="R35" i="5"/>
  <c r="S35" i="5" s="1"/>
  <c r="R38" i="5"/>
  <c r="S38" i="5" s="1"/>
  <c r="R208" i="5"/>
  <c r="S208" i="5" s="1"/>
  <c r="R193" i="5"/>
  <c r="S193" i="5" s="1"/>
  <c r="R161" i="5"/>
  <c r="S161" i="5" s="1"/>
  <c r="R129" i="5"/>
  <c r="S129" i="5" s="1"/>
  <c r="R97" i="5"/>
  <c r="S97" i="5" s="1"/>
  <c r="R65" i="5"/>
  <c r="S65" i="5" s="1"/>
  <c r="R12" i="5"/>
  <c r="S12" i="5" s="1"/>
  <c r="R131" i="5"/>
  <c r="S131" i="5" s="1"/>
  <c r="R115" i="5"/>
  <c r="S115" i="5" s="1"/>
  <c r="R277" i="5"/>
  <c r="S277" i="5" s="1"/>
  <c r="R46" i="5"/>
  <c r="S46" i="5" s="1"/>
  <c r="R82" i="5"/>
  <c r="S82" i="5" s="1"/>
  <c r="R114" i="5"/>
  <c r="S114" i="5" s="1"/>
  <c r="R146" i="5"/>
  <c r="S146" i="5" s="1"/>
  <c r="R178" i="5"/>
  <c r="S178" i="5" s="1"/>
  <c r="R269" i="5"/>
  <c r="S269" i="5" s="1"/>
  <c r="R33" i="5"/>
  <c r="S33" i="5" s="1"/>
  <c r="R100" i="5"/>
  <c r="S100" i="5" s="1"/>
  <c r="R164" i="5"/>
  <c r="S164" i="5" s="1"/>
  <c r="R341" i="5"/>
  <c r="S341" i="5" s="1"/>
  <c r="R53" i="5"/>
  <c r="S53" i="5" s="1"/>
  <c r="R80" i="5"/>
  <c r="S80" i="5" s="1"/>
  <c r="R112" i="5"/>
  <c r="S112" i="5" s="1"/>
  <c r="R144" i="5"/>
  <c r="S144" i="5" s="1"/>
  <c r="R176" i="5"/>
  <c r="S176" i="5" s="1"/>
  <c r="R261" i="5"/>
  <c r="S261" i="5" s="1"/>
  <c r="R21" i="5"/>
  <c r="S21" i="5" s="1"/>
  <c r="R148" i="5"/>
  <c r="S148" i="5" s="1"/>
  <c r="R9" i="5"/>
  <c r="S9" i="5" s="1"/>
  <c r="R17" i="5"/>
  <c r="S17" i="5" s="1"/>
  <c r="R78" i="5"/>
  <c r="S78" i="5" s="1"/>
  <c r="R110" i="5"/>
  <c r="S110" i="5" s="1"/>
  <c r="R142" i="5"/>
  <c r="S142" i="5" s="1"/>
  <c r="R174" i="5"/>
  <c r="S174" i="5" s="1"/>
  <c r="R285" i="5"/>
  <c r="S285" i="5" s="1"/>
  <c r="R227" i="5"/>
  <c r="S227" i="5" s="1"/>
  <c r="R259" i="5"/>
  <c r="S259" i="5" s="1"/>
  <c r="R291" i="5"/>
  <c r="S291" i="5" s="1"/>
  <c r="R323" i="5"/>
  <c r="S323" i="5" s="1"/>
  <c r="R355" i="5"/>
  <c r="S355" i="5" s="1"/>
  <c r="R241" i="5"/>
  <c r="S241" i="5" s="1"/>
  <c r="R273" i="5"/>
  <c r="S273" i="5" s="1"/>
  <c r="R305" i="5"/>
  <c r="S305" i="5" s="1"/>
  <c r="R337" i="5"/>
  <c r="S337" i="5" s="1"/>
  <c r="R369" i="5"/>
  <c r="S369" i="5" s="1"/>
  <c r="R239" i="5"/>
  <c r="S239" i="5" s="1"/>
  <c r="R271" i="5"/>
  <c r="S271" i="5" s="1"/>
  <c r="R303" i="5"/>
  <c r="S303" i="5" s="1"/>
  <c r="R335" i="5"/>
  <c r="S335" i="5" s="1"/>
  <c r="R367" i="5"/>
  <c r="S367" i="5" s="1"/>
  <c r="R549" i="5"/>
  <c r="S549" i="5" s="1"/>
  <c r="R573" i="5"/>
  <c r="S573" i="5" s="1"/>
  <c r="R597" i="5"/>
  <c r="S597" i="5" s="1"/>
  <c r="R547" i="5"/>
  <c r="S547" i="5" s="1"/>
  <c r="R579" i="5"/>
  <c r="S579" i="5" s="1"/>
  <c r="R612" i="5"/>
  <c r="S612" i="5" s="1"/>
  <c r="R537" i="5"/>
  <c r="S537" i="5" s="1"/>
  <c r="R569" i="5"/>
  <c r="S569" i="5" s="1"/>
  <c r="R601" i="5"/>
  <c r="S601" i="5" s="1"/>
  <c r="R535" i="5"/>
  <c r="S535" i="5" s="1"/>
  <c r="R567" i="5"/>
  <c r="S567" i="5" s="1"/>
  <c r="R599" i="5"/>
  <c r="S599" i="5" s="1"/>
  <c r="R622" i="5"/>
  <c r="S622" i="5" s="1"/>
  <c r="R665" i="5"/>
  <c r="S665" i="5" s="1"/>
  <c r="R628" i="5"/>
  <c r="S628" i="5" s="1"/>
  <c r="R618" i="5"/>
  <c r="S618" i="5" s="1"/>
  <c r="R636" i="5"/>
  <c r="S636" i="5" s="1"/>
  <c r="R668" i="5"/>
  <c r="S668" i="5" s="1"/>
  <c r="R718" i="5"/>
  <c r="S718" i="5" s="1"/>
  <c r="R677" i="5"/>
  <c r="S677" i="5" s="1"/>
  <c r="R632" i="5"/>
  <c r="S632" i="5" s="1"/>
  <c r="R651" i="5"/>
  <c r="S651" i="5" s="1"/>
  <c r="R667" i="5"/>
  <c r="S667" i="5" s="1"/>
  <c r="R680" i="5"/>
  <c r="S680" i="5" s="1"/>
  <c r="R708" i="5"/>
  <c r="S708" i="5" s="1"/>
  <c r="R738" i="5"/>
  <c r="S738" i="5" s="1"/>
  <c r="R682" i="5"/>
  <c r="S682" i="5" s="1"/>
  <c r="R701" i="5"/>
  <c r="S701" i="5" s="1"/>
  <c r="R691" i="5"/>
  <c r="S691" i="5" s="1"/>
  <c r="R707" i="5"/>
  <c r="S707" i="5" s="1"/>
  <c r="R723" i="5"/>
  <c r="S723" i="5" s="1"/>
  <c r="R746" i="5"/>
  <c r="S746" i="5" s="1"/>
  <c r="R754" i="5"/>
  <c r="S754" i="5" s="1"/>
  <c r="R762" i="5"/>
  <c r="S762" i="5" s="1"/>
  <c r="R770" i="5"/>
  <c r="S770" i="5" s="1"/>
  <c r="R778" i="5"/>
  <c r="S778" i="5" s="1"/>
  <c r="R786" i="5"/>
  <c r="S786" i="5" s="1"/>
  <c r="R199" i="5"/>
  <c r="S199" i="5" s="1"/>
  <c r="R349" i="5"/>
  <c r="S349" i="5" s="1"/>
  <c r="R321" i="5"/>
  <c r="S321" i="5" s="1"/>
  <c r="R645" i="5"/>
  <c r="S645" i="5" s="1"/>
  <c r="R524" i="5"/>
  <c r="S524" i="5" s="1"/>
  <c r="R584" i="5"/>
  <c r="S584" i="5" s="1"/>
  <c r="R552" i="5"/>
  <c r="S552" i="5" s="1"/>
  <c r="R594" i="5"/>
  <c r="S594" i="5" s="1"/>
  <c r="R562" i="5"/>
  <c r="S562" i="5" s="1"/>
  <c r="R518" i="5"/>
  <c r="S518" i="5" s="1"/>
  <c r="R505" i="5"/>
  <c r="S505" i="5" s="1"/>
  <c r="R486" i="5"/>
  <c r="S486" i="5" s="1"/>
  <c r="R527" i="5"/>
  <c r="S527" i="5" s="1"/>
  <c r="R492" i="5"/>
  <c r="S492" i="5" s="1"/>
  <c r="R479" i="5"/>
  <c r="S479" i="5" s="1"/>
  <c r="R460" i="5"/>
  <c r="S460" i="5" s="1"/>
  <c r="R520" i="5"/>
  <c r="S520" i="5" s="1"/>
  <c r="R475" i="5"/>
  <c r="S475" i="5" s="1"/>
  <c r="R434" i="5"/>
  <c r="S434" i="5" s="1"/>
  <c r="R402" i="5"/>
  <c r="S402" i="5" s="1"/>
  <c r="R390" i="5"/>
  <c r="S390" i="5" s="1"/>
  <c r="R427" i="5"/>
  <c r="S427" i="5" s="1"/>
  <c r="R379" i="5"/>
  <c r="S379" i="5" s="1"/>
  <c r="R491" i="5"/>
  <c r="S491" i="5" s="1"/>
  <c r="R441" i="5"/>
  <c r="S441" i="5" s="1"/>
  <c r="R409" i="5"/>
  <c r="S409" i="5" s="1"/>
  <c r="R483" i="5"/>
  <c r="S483" i="5" s="1"/>
  <c r="R423" i="5"/>
  <c r="S423" i="5" s="1"/>
  <c r="R389" i="5"/>
  <c r="S389" i="5" s="1"/>
  <c r="R222" i="5"/>
  <c r="S222" i="5" s="1"/>
  <c r="R396" i="5"/>
  <c r="S396" i="5" s="1"/>
  <c r="R393" i="5"/>
  <c r="S393" i="5" s="1"/>
  <c r="R324" i="5"/>
  <c r="S324" i="5" s="1"/>
  <c r="R209" i="5"/>
  <c r="S209" i="5" s="1"/>
  <c r="R195" i="5"/>
  <c r="S195" i="5" s="1"/>
  <c r="AC32" i="5"/>
  <c r="AC25" i="5"/>
  <c r="R36" i="5"/>
  <c r="S36" i="5" s="1"/>
  <c r="R412" i="5"/>
  <c r="S412" i="5" s="1"/>
  <c r="R332" i="5"/>
  <c r="S332" i="5" s="1"/>
  <c r="R219" i="5"/>
  <c r="S219" i="5" s="1"/>
  <c r="R205" i="5"/>
  <c r="S205" i="5" s="1"/>
  <c r="R159" i="5"/>
  <c r="S159" i="5" s="1"/>
  <c r="R127" i="5"/>
  <c r="S127" i="5" s="1"/>
  <c r="R95" i="5"/>
  <c r="S95" i="5" s="1"/>
  <c r="R63" i="5"/>
  <c r="S63" i="5" s="1"/>
  <c r="R42" i="5"/>
  <c r="S42" i="5" s="1"/>
  <c r="R47" i="5"/>
  <c r="S47" i="5" s="1"/>
  <c r="Y31" i="5"/>
  <c r="AC30" i="5"/>
  <c r="R28" i="5"/>
  <c r="S28" i="5" s="1"/>
  <c r="R217" i="5"/>
  <c r="S217" i="5" s="1"/>
  <c r="R185" i="5"/>
  <c r="S185" i="5" s="1"/>
  <c r="R75" i="5"/>
  <c r="S75" i="5" s="1"/>
  <c r="R60" i="5"/>
  <c r="S60" i="5" s="1"/>
  <c r="R309" i="5"/>
  <c r="S309" i="5" s="1"/>
  <c r="R58" i="5"/>
  <c r="S58" i="5" s="1"/>
  <c r="R90" i="5"/>
  <c r="S90" i="5" s="1"/>
  <c r="R122" i="5"/>
  <c r="S122" i="5" s="1"/>
  <c r="R154" i="5"/>
  <c r="S154" i="5" s="1"/>
  <c r="R191" i="5"/>
  <c r="S191" i="5" s="1"/>
  <c r="R301" i="5"/>
  <c r="S301" i="5" s="1"/>
  <c r="R68" i="5"/>
  <c r="S68" i="5" s="1"/>
  <c r="R108" i="5"/>
  <c r="S108" i="5" s="1"/>
  <c r="R172" i="5"/>
  <c r="S172" i="5" s="1"/>
  <c r="R373" i="5"/>
  <c r="S373" i="5" s="1"/>
  <c r="R56" i="5"/>
  <c r="S56" i="5" s="1"/>
  <c r="R88" i="5"/>
  <c r="S88" i="5" s="1"/>
  <c r="R120" i="5"/>
  <c r="S120" i="5" s="1"/>
  <c r="R152" i="5"/>
  <c r="S152" i="5" s="1"/>
  <c r="R184" i="5"/>
  <c r="S184" i="5" s="1"/>
  <c r="R293" i="5"/>
  <c r="S293" i="5" s="1"/>
  <c r="R24" i="5"/>
  <c r="S24" i="5" s="1"/>
  <c r="R156" i="5"/>
  <c r="S156" i="5" s="1"/>
  <c r="R11" i="5"/>
  <c r="S11" i="5" s="1"/>
  <c r="R40" i="5"/>
  <c r="S40" i="5" s="1"/>
  <c r="R86" i="5"/>
  <c r="S86" i="5" s="1"/>
  <c r="R118" i="5"/>
  <c r="S118" i="5" s="1"/>
  <c r="R150" i="5"/>
  <c r="S150" i="5" s="1"/>
  <c r="R182" i="5"/>
  <c r="S182" i="5" s="1"/>
  <c r="R317" i="5"/>
  <c r="S317" i="5" s="1"/>
  <c r="R235" i="5"/>
  <c r="S235" i="5" s="1"/>
  <c r="R267" i="5"/>
  <c r="S267" i="5" s="1"/>
  <c r="R299" i="5"/>
  <c r="S299" i="5" s="1"/>
  <c r="R331" i="5"/>
  <c r="S331" i="5" s="1"/>
  <c r="R363" i="5"/>
  <c r="S363" i="5" s="1"/>
  <c r="R249" i="5"/>
  <c r="S249" i="5" s="1"/>
  <c r="R281" i="5"/>
  <c r="S281" i="5" s="1"/>
  <c r="R313" i="5"/>
  <c r="S313" i="5" s="1"/>
  <c r="R345" i="5"/>
  <c r="S345" i="5" s="1"/>
  <c r="R377" i="5"/>
  <c r="S377" i="5" s="1"/>
  <c r="R247" i="5"/>
  <c r="S247" i="5" s="1"/>
  <c r="R279" i="5"/>
  <c r="S279" i="5" s="1"/>
  <c r="R311" i="5"/>
  <c r="S311" i="5" s="1"/>
  <c r="R343" i="5"/>
  <c r="S343" i="5" s="1"/>
  <c r="R375" i="5"/>
  <c r="S375" i="5" s="1"/>
  <c r="R581" i="5"/>
  <c r="S581" i="5" s="1"/>
  <c r="R605" i="5"/>
  <c r="S605" i="5" s="1"/>
  <c r="R638" i="5"/>
  <c r="S638" i="5" s="1"/>
  <c r="R555" i="5"/>
  <c r="S555" i="5" s="1"/>
  <c r="R587" i="5"/>
  <c r="S587" i="5" s="1"/>
  <c r="R624" i="5"/>
  <c r="S624" i="5" s="1"/>
  <c r="R545" i="5"/>
  <c r="S545" i="5" s="1"/>
  <c r="R577" i="5"/>
  <c r="S577" i="5" s="1"/>
  <c r="R616" i="5"/>
  <c r="S616" i="5" s="1"/>
  <c r="R543" i="5"/>
  <c r="S543" i="5" s="1"/>
  <c r="R575" i="5"/>
  <c r="S575" i="5" s="1"/>
  <c r="R607" i="5"/>
  <c r="S607" i="5" s="1"/>
  <c r="R630" i="5"/>
  <c r="S630" i="5" s="1"/>
  <c r="R694" i="5"/>
  <c r="S694" i="5" s="1"/>
  <c r="R654" i="5"/>
  <c r="S654" i="5" s="1"/>
  <c r="R626" i="5"/>
  <c r="S626" i="5" s="1"/>
  <c r="R644" i="5"/>
  <c r="S644" i="5" s="1"/>
  <c r="R658" i="5"/>
  <c r="S658" i="5" s="1"/>
  <c r="R640" i="5"/>
  <c r="S640" i="5" s="1"/>
  <c r="R656" i="5"/>
  <c r="S656" i="5" s="1"/>
  <c r="R672" i="5"/>
  <c r="S672" i="5" s="1"/>
  <c r="R702" i="5"/>
  <c r="S702" i="5" s="1"/>
  <c r="R684" i="5"/>
  <c r="S684" i="5" s="1"/>
  <c r="R740" i="5"/>
  <c r="S740" i="5" s="1"/>
  <c r="R725" i="5"/>
  <c r="S725" i="5" s="1"/>
  <c r="R696" i="5"/>
  <c r="S696" i="5" s="1"/>
  <c r="R712" i="5"/>
  <c r="S712" i="5" s="1"/>
  <c r="R728" i="5"/>
  <c r="S728" i="5" s="1"/>
  <c r="R748" i="5"/>
  <c r="S748" i="5" s="1"/>
  <c r="R756" i="5"/>
  <c r="S756" i="5" s="1"/>
  <c r="R764" i="5"/>
  <c r="S764" i="5" s="1"/>
  <c r="R772" i="5"/>
  <c r="S772" i="5" s="1"/>
  <c r="R780" i="5"/>
  <c r="S780" i="5" s="1"/>
  <c r="R788" i="5"/>
  <c r="S788" i="5" s="1"/>
  <c r="AC21" i="3"/>
  <c r="P146" i="3" s="1"/>
  <c r="AC38" i="3"/>
  <c r="AC24" i="3"/>
  <c r="AC36" i="3"/>
  <c r="AC31" i="3"/>
  <c r="Z29" i="3" a="1"/>
  <c r="Z29" i="3" s="1"/>
  <c r="AA29" i="3" s="1"/>
  <c r="AC29" i="3" s="1"/>
  <c r="Y29" i="3"/>
  <c r="Y24" i="3"/>
  <c r="Y36" i="3"/>
  <c r="AC21" i="2"/>
  <c r="P781" i="2" s="1"/>
  <c r="AC24" i="2"/>
  <c r="AI24" i="2" s="1"/>
  <c r="AC32" i="2"/>
  <c r="AN24" i="2" s="1"/>
  <c r="AC47" i="2"/>
  <c r="AW24" i="2" s="1"/>
  <c r="AC44" i="2"/>
  <c r="Y47" i="2" s="1"/>
  <c r="AC46" i="2" s="1"/>
  <c r="AZ24" i="2" s="1"/>
  <c r="AC29" i="2"/>
  <c r="Y32" i="2" s="1"/>
  <c r="Y24" i="2"/>
  <c r="Y29" i="2"/>
  <c r="Y44" i="2"/>
  <c r="P130" i="3" l="1"/>
  <c r="P536" i="3"/>
  <c r="P517" i="3"/>
  <c r="P783" i="3"/>
  <c r="P183" i="3"/>
  <c r="P728" i="3"/>
  <c r="P67" i="3"/>
  <c r="P140" i="3"/>
  <c r="P266" i="3"/>
  <c r="P179" i="3"/>
  <c r="P404" i="3"/>
  <c r="P520" i="3"/>
  <c r="P754" i="3"/>
  <c r="P703" i="3"/>
  <c r="P401" i="3"/>
  <c r="P372" i="3"/>
  <c r="P390" i="3"/>
  <c r="P714" i="3"/>
  <c r="P690" i="3"/>
  <c r="P667" i="3"/>
  <c r="P644" i="3"/>
  <c r="P383" i="3"/>
  <c r="P748" i="3"/>
  <c r="P333" i="3"/>
  <c r="P222" i="3"/>
  <c r="P699" i="3"/>
  <c r="P61" i="3"/>
  <c r="P621" i="3"/>
  <c r="P376" i="3"/>
  <c r="P135" i="3"/>
  <c r="P145" i="3"/>
  <c r="R145" i="3" s="1"/>
  <c r="S145" i="3" s="1"/>
  <c r="P430" i="3"/>
  <c r="P573" i="3"/>
  <c r="P550" i="3"/>
  <c r="P706" i="3"/>
  <c r="P660" i="3"/>
  <c r="P789" i="3"/>
  <c r="P710" i="3"/>
  <c r="P772" i="3"/>
  <c r="P431" i="3"/>
  <c r="P325" i="3"/>
  <c r="P701" i="3"/>
  <c r="P435" i="3"/>
  <c r="P141" i="3"/>
  <c r="P134" i="3"/>
  <c r="P356" i="3"/>
  <c r="P80" i="3"/>
  <c r="P575" i="3"/>
  <c r="P288" i="3"/>
  <c r="P580" i="3"/>
  <c r="P564" i="3"/>
  <c r="P148" i="3"/>
  <c r="P788" i="3"/>
  <c r="R788" i="3" s="1"/>
  <c r="S788" i="3" s="1"/>
  <c r="P662" i="3"/>
  <c r="P607" i="3"/>
  <c r="P599" i="3"/>
  <c r="P640" i="3"/>
  <c r="P765" i="3"/>
  <c r="P695" i="3"/>
  <c r="P467" i="3"/>
  <c r="P117" i="3"/>
  <c r="P158" i="3"/>
  <c r="P75" i="3"/>
  <c r="P104" i="3"/>
  <c r="P318" i="3"/>
  <c r="P321" i="3"/>
  <c r="P346" i="3"/>
  <c r="P35" i="3"/>
  <c r="P59" i="3"/>
  <c r="P53" i="3"/>
  <c r="P233" i="3"/>
  <c r="P216" i="3"/>
  <c r="R216" i="3" s="1"/>
  <c r="S216" i="3" s="1"/>
  <c r="P391" i="3"/>
  <c r="R390" i="3" s="1"/>
  <c r="S390" i="3" s="1"/>
  <c r="P25" i="3"/>
  <c r="P27" i="3"/>
  <c r="P19" i="3"/>
  <c r="P195" i="3"/>
  <c r="P328" i="3"/>
  <c r="P106" i="3"/>
  <c r="P159" i="3"/>
  <c r="P109" i="3"/>
  <c r="P406" i="3"/>
  <c r="P427" i="3"/>
  <c r="P242" i="3"/>
  <c r="P451" i="3"/>
  <c r="P531" i="3"/>
  <c r="P442" i="3"/>
  <c r="P553" i="3"/>
  <c r="P610" i="3"/>
  <c r="P196" i="3"/>
  <c r="P162" i="3"/>
  <c r="P586" i="3"/>
  <c r="P43" i="3"/>
  <c r="P193" i="2"/>
  <c r="P746" i="3"/>
  <c r="P674" i="3"/>
  <c r="P758" i="3"/>
  <c r="P744" i="3"/>
  <c r="P683" i="3"/>
  <c r="P763" i="3"/>
  <c r="P784" i="3"/>
  <c r="P692" i="3"/>
  <c r="P581" i="3"/>
  <c r="R580" i="3" s="1"/>
  <c r="S580" i="3" s="1"/>
  <c r="P707" i="3"/>
  <c r="P421" i="3"/>
  <c r="P629" i="3"/>
  <c r="P720" i="3"/>
  <c r="P730" i="3"/>
  <c r="P688" i="3"/>
  <c r="P752" i="3"/>
  <c r="P740" i="3"/>
  <c r="P670" i="3"/>
  <c r="P518" i="3"/>
  <c r="P677" i="3"/>
  <c r="P679" i="3"/>
  <c r="P395" i="3"/>
  <c r="P658" i="3"/>
  <c r="P315" i="3"/>
  <c r="P217" i="3"/>
  <c r="P648" i="3"/>
  <c r="P535" i="3"/>
  <c r="R535" i="3" s="1"/>
  <c r="S535" i="3" s="1"/>
  <c r="P47" i="3"/>
  <c r="P77" i="3"/>
  <c r="P168" i="3"/>
  <c r="P246" i="3"/>
  <c r="P373" i="3"/>
  <c r="P505" i="3"/>
  <c r="P110" i="3"/>
  <c r="P362" i="3"/>
  <c r="P349" i="3"/>
  <c r="P111" i="3"/>
  <c r="P197" i="3"/>
  <c r="P116" i="3"/>
  <c r="R116" i="3" s="1"/>
  <c r="S116" i="3" s="1"/>
  <c r="P513" i="3"/>
  <c r="P456" i="3"/>
  <c r="P264" i="3"/>
  <c r="P691" i="3"/>
  <c r="P539" i="3"/>
  <c r="P490" i="3"/>
  <c r="P561" i="3"/>
  <c r="P369" i="2"/>
  <c r="P581" i="2"/>
  <c r="P130" i="2"/>
  <c r="P200" i="2"/>
  <c r="P479" i="2"/>
  <c r="P594" i="2"/>
  <c r="Z32" i="2" a="1"/>
  <c r="Z32" i="2" s="1"/>
  <c r="AA32" i="2" s="1"/>
  <c r="AC31" i="2"/>
  <c r="AQ24" i="2" s="1"/>
  <c r="P226" i="2"/>
  <c r="P464" i="2"/>
  <c r="P453" i="2"/>
  <c r="P187" i="2"/>
  <c r="P671" i="2"/>
  <c r="P40" i="2"/>
  <c r="P716" i="2"/>
  <c r="P252" i="2"/>
  <c r="P294" i="2"/>
  <c r="P562" i="2"/>
  <c r="P621" i="2"/>
  <c r="P547" i="2"/>
  <c r="P247" i="2"/>
  <c r="P28" i="2"/>
  <c r="P58" i="2"/>
  <c r="P44" i="2"/>
  <c r="P33" i="2"/>
  <c r="P402" i="2"/>
  <c r="P221" i="2"/>
  <c r="P691" i="2"/>
  <c r="P664" i="2"/>
  <c r="AC40" i="5"/>
  <c r="AC23" i="5"/>
  <c r="AC28" i="5"/>
  <c r="Z31" i="5" a="1"/>
  <c r="Z31" i="5" s="1"/>
  <c r="AA31" i="5" s="1"/>
  <c r="AC34" i="5" s="1"/>
  <c r="X31" i="5"/>
  <c r="X43" i="5"/>
  <c r="Z43" i="5" a="1"/>
  <c r="Z43" i="5" s="1"/>
  <c r="AA43" i="5" s="1"/>
  <c r="AC46" i="5" s="1"/>
  <c r="AC52" i="5"/>
  <c r="Z47" i="2" a="1"/>
  <c r="Z47" i="2" s="1"/>
  <c r="AA47" i="2" s="1"/>
  <c r="X47" i="2"/>
  <c r="X32" i="2"/>
  <c r="P490" i="2"/>
  <c r="P380" i="2"/>
  <c r="P117" i="2"/>
  <c r="P256" i="2"/>
  <c r="P331" i="2"/>
  <c r="P267" i="2"/>
  <c r="P299" i="2"/>
  <c r="P544" i="2"/>
  <c r="P384" i="2"/>
  <c r="P394" i="2"/>
  <c r="P128" i="2"/>
  <c r="P560" i="2"/>
  <c r="P285" i="2"/>
  <c r="P112" i="2"/>
  <c r="P762" i="2"/>
  <c r="P17" i="2"/>
  <c r="P66" i="2"/>
  <c r="P705" i="2"/>
  <c r="P255" i="2"/>
  <c r="P146" i="2"/>
  <c r="P145" i="2"/>
  <c r="P30" i="2"/>
  <c r="P310" i="2"/>
  <c r="P646" i="2"/>
  <c r="P296" i="2"/>
  <c r="P632" i="2"/>
  <c r="P189" i="2"/>
  <c r="P549" i="2"/>
  <c r="P258" i="2"/>
  <c r="P91" i="2"/>
  <c r="P183" i="2"/>
  <c r="P535" i="2"/>
  <c r="P558" i="2"/>
  <c r="P119" i="2"/>
  <c r="P591" i="2"/>
  <c r="P616" i="2"/>
  <c r="P233" i="2"/>
  <c r="P412" i="2"/>
  <c r="P243" i="2"/>
  <c r="P240" i="2"/>
  <c r="P60" i="2"/>
  <c r="P120" i="2"/>
  <c r="P168" i="2"/>
  <c r="P228" i="2"/>
  <c r="P157" i="2"/>
  <c r="P194" i="2"/>
  <c r="R193" i="2" s="1"/>
  <c r="S193" i="2" s="1"/>
  <c r="P349" i="2"/>
  <c r="P445" i="2"/>
  <c r="P541" i="2"/>
  <c r="P661" i="2"/>
  <c r="P757" i="2"/>
  <c r="P169" i="2"/>
  <c r="P350" i="2"/>
  <c r="P446" i="2"/>
  <c r="P566" i="2"/>
  <c r="P662" i="2"/>
  <c r="P758" i="2"/>
  <c r="P229" i="2"/>
  <c r="P14" i="2"/>
  <c r="P480" i="2"/>
  <c r="P121" i="2"/>
  <c r="P337" i="2"/>
  <c r="P481" i="2"/>
  <c r="P660" i="2"/>
  <c r="P181" i="2"/>
  <c r="P600" i="2"/>
  <c r="P133" i="2"/>
  <c r="P348" i="2"/>
  <c r="P529" i="2"/>
  <c r="P673" i="2"/>
  <c r="P97" i="2"/>
  <c r="P792" i="2"/>
  <c r="P185" i="2"/>
  <c r="P425" i="2"/>
  <c r="P689" i="2"/>
  <c r="P568" i="2"/>
  <c r="P684" i="2"/>
  <c r="P158" i="2"/>
  <c r="P314" i="2"/>
  <c r="P530" i="2"/>
  <c r="P746" i="2"/>
  <c r="P266" i="2"/>
  <c r="R266" i="2" s="1"/>
  <c r="S266" i="2" s="1"/>
  <c r="P698" i="2"/>
  <c r="P377" i="2"/>
  <c r="P484" i="2"/>
  <c r="P700" i="2"/>
  <c r="P281" i="2"/>
  <c r="P497" i="2"/>
  <c r="P713" i="2"/>
  <c r="P288" i="2"/>
  <c r="P504" i="2"/>
  <c r="P720" i="2"/>
  <c r="P396" i="2"/>
  <c r="P612" i="2"/>
  <c r="P88" i="2"/>
  <c r="P506" i="2"/>
  <c r="P292" i="2"/>
  <c r="P569" i="2"/>
  <c r="P785" i="2"/>
  <c r="P280" i="2"/>
  <c r="P496" i="2"/>
  <c r="P712" i="2"/>
  <c r="P241" i="2"/>
  <c r="P376" i="2"/>
  <c r="R376" i="2" s="1"/>
  <c r="S376" i="2" s="1"/>
  <c r="P461" i="2"/>
  <c r="P123" i="2"/>
  <c r="P41" i="2"/>
  <c r="P207" i="2"/>
  <c r="P615" i="2"/>
  <c r="P387" i="2"/>
  <c r="P135" i="2"/>
  <c r="P766" i="2"/>
  <c r="P718" i="2"/>
  <c r="P670" i="2"/>
  <c r="P639" i="2"/>
  <c r="P435" i="2"/>
  <c r="P195" i="2"/>
  <c r="P779" i="2"/>
  <c r="P731" i="2"/>
  <c r="P683" i="2"/>
  <c r="P635" i="2"/>
  <c r="P587" i="2"/>
  <c r="P539" i="2"/>
  <c r="P521" i="2"/>
  <c r="P99" i="2"/>
  <c r="P48" i="2"/>
  <c r="P132" i="2"/>
  <c r="R132" i="2" s="1"/>
  <c r="S132" i="2" s="1"/>
  <c r="P192" i="2"/>
  <c r="P98" i="2"/>
  <c r="P253" i="2"/>
  <c r="P397" i="2"/>
  <c r="P517" i="2"/>
  <c r="P685" i="2"/>
  <c r="P25" i="2"/>
  <c r="P326" i="2"/>
  <c r="P470" i="2"/>
  <c r="P614" i="2"/>
  <c r="P734" i="2"/>
  <c r="P86" i="2"/>
  <c r="P336" i="2"/>
  <c r="P768" i="2"/>
  <c r="P372" i="2"/>
  <c r="P588" i="2"/>
  <c r="P769" i="2"/>
  <c r="P672" i="2"/>
  <c r="P276" i="2"/>
  <c r="P492" i="2"/>
  <c r="P708" i="2"/>
  <c r="P576" i="2"/>
  <c r="P101" i="2"/>
  <c r="P532" i="2"/>
  <c r="P289" i="2"/>
  <c r="P468" i="2"/>
  <c r="P38" i="2"/>
  <c r="P424" i="2"/>
  <c r="P688" i="2"/>
  <c r="P432" i="2"/>
  <c r="P268" i="2"/>
  <c r="P433" i="2"/>
  <c r="P756" i="2"/>
  <c r="P388" i="2"/>
  <c r="P652" i="2"/>
  <c r="P338" i="2"/>
  <c r="P605" i="2"/>
  <c r="P340" i="2"/>
  <c r="P665" i="2"/>
  <c r="P400" i="2"/>
  <c r="P784" i="2"/>
  <c r="P617" i="2"/>
  <c r="P134" i="2"/>
  <c r="P434" i="2"/>
  <c r="P760" i="2"/>
  <c r="P317" i="2"/>
  <c r="P749" i="2"/>
  <c r="P737" i="2"/>
  <c r="P628" i="2"/>
  <c r="P675" i="2"/>
  <c r="P303" i="2"/>
  <c r="P790" i="2"/>
  <c r="P730" i="2"/>
  <c r="P658" i="2"/>
  <c r="P543" i="2"/>
  <c r="P291" i="2"/>
  <c r="P767" i="2"/>
  <c r="P707" i="2"/>
  <c r="P647" i="2"/>
  <c r="P575" i="2"/>
  <c r="P515" i="2"/>
  <c r="P467" i="2"/>
  <c r="R467" i="2" s="1"/>
  <c r="S467" i="2" s="1"/>
  <c r="P419" i="2"/>
  <c r="P371" i="2"/>
  <c r="P323" i="2"/>
  <c r="P275" i="2"/>
  <c r="P227" i="2"/>
  <c r="P179" i="2"/>
  <c r="AC30" i="2" s="1"/>
  <c r="AP24" i="2" s="1"/>
  <c r="P131" i="2"/>
  <c r="P83" i="2"/>
  <c r="P777" i="2"/>
  <c r="P729" i="2"/>
  <c r="P681" i="2"/>
  <c r="P603" i="2"/>
  <c r="P231" i="2"/>
  <c r="P727" i="2"/>
  <c r="P595" i="2"/>
  <c r="P439" i="2"/>
  <c r="P319" i="2"/>
  <c r="P223" i="2"/>
  <c r="P726" i="2"/>
  <c r="P12" i="2"/>
  <c r="P96" i="2"/>
  <c r="P180" i="2"/>
  <c r="P242" i="2"/>
  <c r="P325" i="2"/>
  <c r="P493" i="2"/>
  <c r="P709" i="2"/>
  <c r="P278" i="2"/>
  <c r="P422" i="2"/>
  <c r="P638" i="2"/>
  <c r="P26" i="2"/>
  <c r="P264" i="2"/>
  <c r="P217" i="2"/>
  <c r="P444" i="2"/>
  <c r="P732" i="2"/>
  <c r="P744" i="2"/>
  <c r="P385" i="2"/>
  <c r="P636" i="2"/>
  <c r="P626" i="2"/>
  <c r="P316" i="2"/>
  <c r="P748" i="2"/>
  <c r="P793" i="2"/>
  <c r="P245" i="2"/>
  <c r="P640" i="2"/>
  <c r="P482" i="2"/>
  <c r="P353" i="2"/>
  <c r="P649" i="2"/>
  <c r="P436" i="2"/>
  <c r="P73" i="2"/>
  <c r="P554" i="2"/>
  <c r="P449" i="2"/>
  <c r="P772" i="2"/>
  <c r="P722" i="2"/>
  <c r="P676" i="2"/>
  <c r="P328" i="2"/>
  <c r="P650" i="2"/>
  <c r="P592" i="2"/>
  <c r="P520" i="2"/>
  <c r="P736" i="2"/>
  <c r="R736" i="2" s="1"/>
  <c r="S736" i="2" s="1"/>
  <c r="P567" i="2"/>
  <c r="P159" i="2"/>
  <c r="P742" i="2"/>
  <c r="P7" i="2"/>
  <c r="P399" i="2"/>
  <c r="P791" i="2"/>
  <c r="P695" i="2"/>
  <c r="P611" i="2"/>
  <c r="P527" i="2"/>
  <c r="P455" i="2"/>
  <c r="P395" i="2"/>
  <c r="P335" i="2"/>
  <c r="P263" i="2"/>
  <c r="R263" i="2" s="1"/>
  <c r="S263" i="2" s="1"/>
  <c r="P203" i="2"/>
  <c r="P143" i="2"/>
  <c r="P71" i="2"/>
  <c r="P753" i="2"/>
  <c r="P693" i="2"/>
  <c r="P519" i="2"/>
  <c r="R519" i="2" s="1"/>
  <c r="S519" i="2" s="1"/>
  <c r="P788" i="2"/>
  <c r="P619" i="2"/>
  <c r="P403" i="2"/>
  <c r="R402" i="2" s="1"/>
  <c r="S402" i="2" s="1"/>
  <c r="P271" i="2"/>
  <c r="P750" i="2"/>
  <c r="P630" i="2"/>
  <c r="P534" i="2"/>
  <c r="P438" i="2"/>
  <c r="P342" i="2"/>
  <c r="P246" i="2"/>
  <c r="P150" i="2"/>
  <c r="P78" i="2"/>
  <c r="P651" i="2"/>
  <c r="P423" i="2"/>
  <c r="P171" i="2"/>
  <c r="P751" i="2"/>
  <c r="P607" i="2"/>
  <c r="P463" i="2"/>
  <c r="P773" i="2"/>
  <c r="P629" i="2"/>
  <c r="P485" i="2"/>
  <c r="P341" i="2"/>
  <c r="P209" i="2"/>
  <c r="P125" i="2"/>
  <c r="P53" i="2"/>
  <c r="P735" i="2"/>
  <c r="P495" i="2"/>
  <c r="R495" i="2" s="1"/>
  <c r="S495" i="2" s="1"/>
  <c r="P279" i="2"/>
  <c r="P775" i="2"/>
  <c r="P631" i="2"/>
  <c r="P475" i="2"/>
  <c r="P355" i="2"/>
  <c r="P259" i="2"/>
  <c r="P175" i="2"/>
  <c r="P127" i="2"/>
  <c r="P79" i="2"/>
  <c r="P19" i="2"/>
  <c r="P714" i="2"/>
  <c r="P618" i="2"/>
  <c r="P522" i="2"/>
  <c r="P426" i="2"/>
  <c r="P330" i="2"/>
  <c r="P234" i="2"/>
  <c r="P138" i="2"/>
  <c r="P220" i="2"/>
  <c r="R220" i="2" s="1"/>
  <c r="S220" i="2" s="1"/>
  <c r="P136" i="2"/>
  <c r="P64" i="2"/>
  <c r="P633" i="2"/>
  <c r="P585" i="2"/>
  <c r="P537" i="2"/>
  <c r="P489" i="2"/>
  <c r="P441" i="2"/>
  <c r="P393" i="2"/>
  <c r="P345" i="2"/>
  <c r="P297" i="2"/>
  <c r="P249" i="2"/>
  <c r="P201" i="2"/>
  <c r="P153" i="2"/>
  <c r="P105" i="2"/>
  <c r="P57" i="2"/>
  <c r="P9" i="2"/>
  <c r="P740" i="2"/>
  <c r="P692" i="2"/>
  <c r="R692" i="2" s="1"/>
  <c r="S692" i="2" s="1"/>
  <c r="P644" i="2"/>
  <c r="P596" i="2"/>
  <c r="P548" i="2"/>
  <c r="R548" i="2" s="1"/>
  <c r="S548" i="2" s="1"/>
  <c r="P500" i="2"/>
  <c r="P452" i="2"/>
  <c r="P404" i="2"/>
  <c r="P356" i="2"/>
  <c r="P308" i="2"/>
  <c r="P260" i="2"/>
  <c r="P212" i="2"/>
  <c r="P164" i="2"/>
  <c r="P116" i="2"/>
  <c r="P68" i="2"/>
  <c r="P20" i="2"/>
  <c r="P23" i="2"/>
  <c r="P622" i="2"/>
  <c r="P574" i="2"/>
  <c r="P526" i="2"/>
  <c r="P478" i="2"/>
  <c r="P430" i="2"/>
  <c r="P382" i="2"/>
  <c r="P334" i="2"/>
  <c r="R334" i="2" s="1"/>
  <c r="S334" i="2" s="1"/>
  <c r="P286" i="2"/>
  <c r="P238" i="2"/>
  <c r="P190" i="2"/>
  <c r="P142" i="2"/>
  <c r="P94" i="2"/>
  <c r="P46" i="2"/>
  <c r="P54" i="2"/>
  <c r="P304" i="2"/>
  <c r="P24" i="2"/>
  <c r="P108" i="2"/>
  <c r="P204" i="2"/>
  <c r="P50" i="2"/>
  <c r="P373" i="2"/>
  <c r="P565" i="2"/>
  <c r="P733" i="2"/>
  <c r="R733" i="2" s="1"/>
  <c r="S733" i="2" s="1"/>
  <c r="P302" i="2"/>
  <c r="P494" i="2"/>
  <c r="P686" i="2"/>
  <c r="P170" i="2"/>
  <c r="P408" i="2"/>
  <c r="P265" i="2"/>
  <c r="P553" i="2"/>
  <c r="P312" i="2"/>
  <c r="P37" i="2"/>
  <c r="P420" i="2"/>
  <c r="P745" i="2"/>
  <c r="R745" i="2" s="1"/>
  <c r="S745" i="2" s="1"/>
  <c r="P184" i="2"/>
  <c r="P16" i="2"/>
  <c r="P144" i="2"/>
  <c r="P109" i="2"/>
  <c r="P613" i="2"/>
  <c r="R612" i="2" s="1"/>
  <c r="S612" i="2" s="1"/>
  <c r="P374" i="2"/>
  <c r="P710" i="2"/>
  <c r="P552" i="2"/>
  <c r="R552" i="2" s="1"/>
  <c r="S552" i="2" s="1"/>
  <c r="P625" i="2"/>
  <c r="P182" i="2"/>
  <c r="R182" i="2" s="1"/>
  <c r="S182" i="2" s="1"/>
  <c r="P780" i="2"/>
  <c r="R780" i="2" s="1"/>
  <c r="S780" i="2" s="1"/>
  <c r="P364" i="2"/>
  <c r="P89" i="2"/>
  <c r="P100" i="2"/>
  <c r="P794" i="2"/>
  <c r="P49" i="2"/>
  <c r="P593" i="2"/>
  <c r="R593" i="2" s="1"/>
  <c r="S593" i="2" s="1"/>
  <c r="P545" i="2"/>
  <c r="P389" i="2"/>
  <c r="P148" i="2"/>
  <c r="P352" i="2"/>
  <c r="R352" i="2" s="1"/>
  <c r="S352" i="2" s="1"/>
  <c r="P460" i="2"/>
  <c r="P206" i="2"/>
  <c r="P74" i="2"/>
  <c r="P147" i="2"/>
  <c r="P305" i="2"/>
  <c r="P507" i="2"/>
  <c r="P778" i="2"/>
  <c r="P682" i="2"/>
  <c r="P351" i="2"/>
  <c r="P743" i="2"/>
  <c r="P623" i="2"/>
  <c r="P503" i="2"/>
  <c r="P431" i="2"/>
  <c r="P347" i="2"/>
  <c r="R347" i="2" s="1"/>
  <c r="S347" i="2" s="1"/>
  <c r="P251" i="2"/>
  <c r="P167" i="2"/>
  <c r="P95" i="2"/>
  <c r="P741" i="2"/>
  <c r="P747" i="2"/>
  <c r="R747" i="2" s="1"/>
  <c r="S747" i="2" s="1"/>
  <c r="P87" i="2"/>
  <c r="P559" i="2"/>
  <c r="P343" i="2"/>
  <c r="P774" i="2"/>
  <c r="P606" i="2"/>
  <c r="P486" i="2"/>
  <c r="P366" i="2"/>
  <c r="P222" i="2"/>
  <c r="P114" i="2"/>
  <c r="P711" i="2"/>
  <c r="P375" i="2"/>
  <c r="P27" i="2"/>
  <c r="R27" i="2" s="1"/>
  <c r="S27" i="2" s="1"/>
  <c r="P643" i="2"/>
  <c r="R643" i="2" s="1"/>
  <c r="S643" i="2" s="1"/>
  <c r="P427" i="2"/>
  <c r="P701" i="2"/>
  <c r="P509" i="2"/>
  <c r="P293" i="2"/>
  <c r="P161" i="2"/>
  <c r="P65" i="2"/>
  <c r="P687" i="2"/>
  <c r="P363" i="2"/>
  <c r="P39" i="2"/>
  <c r="P583" i="2"/>
  <c r="P415" i="2"/>
  <c r="P283" i="2"/>
  <c r="P163" i="2"/>
  <c r="P103" i="2"/>
  <c r="P31" i="2"/>
  <c r="P690" i="2"/>
  <c r="P570" i="2"/>
  <c r="P450" i="2"/>
  <c r="P306" i="2"/>
  <c r="P186" i="2"/>
  <c r="P232" i="2"/>
  <c r="P124" i="2"/>
  <c r="P657" i="2"/>
  <c r="P597" i="2"/>
  <c r="P525" i="2"/>
  <c r="R525" i="2" s="1"/>
  <c r="S525" i="2" s="1"/>
  <c r="P465" i="2"/>
  <c r="P405" i="2"/>
  <c r="P333" i="2"/>
  <c r="P273" i="2"/>
  <c r="P213" i="2"/>
  <c r="P141" i="2"/>
  <c r="P81" i="2"/>
  <c r="P21" i="2"/>
  <c r="P728" i="2"/>
  <c r="P668" i="2"/>
  <c r="P608" i="2"/>
  <c r="P536" i="2"/>
  <c r="P476" i="2"/>
  <c r="P416" i="2"/>
  <c r="P344" i="2"/>
  <c r="P284" i="2"/>
  <c r="P224" i="2"/>
  <c r="P152" i="2"/>
  <c r="P92" i="2"/>
  <c r="P32" i="2"/>
  <c r="P11" i="2"/>
  <c r="P598" i="2"/>
  <c r="P538" i="2"/>
  <c r="P466" i="2"/>
  <c r="P406" i="2"/>
  <c r="P346" i="2"/>
  <c r="P274" i="2"/>
  <c r="P214" i="2"/>
  <c r="P154" i="2"/>
  <c r="P82" i="2"/>
  <c r="P22" i="2"/>
  <c r="P18" i="2"/>
  <c r="P219" i="2"/>
  <c r="P156" i="2"/>
  <c r="P277" i="2"/>
  <c r="R276" i="2" s="1"/>
  <c r="S276" i="2" s="1"/>
  <c r="P637" i="2"/>
  <c r="P398" i="2"/>
  <c r="R398" i="2" s="1"/>
  <c r="S398" i="2" s="1"/>
  <c r="P782" i="2"/>
  <c r="R781" i="2" s="1"/>
  <c r="S781" i="2" s="1"/>
  <c r="P696" i="2"/>
  <c r="P697" i="2"/>
  <c r="P313" i="2"/>
  <c r="P360" i="2"/>
  <c r="P580" i="2"/>
  <c r="R580" i="2" s="1"/>
  <c r="S580" i="2" s="1"/>
  <c r="P361" i="2"/>
  <c r="P362" i="2"/>
  <c r="P122" i="2"/>
  <c r="P324" i="2"/>
  <c r="P62" i="2"/>
  <c r="P604" i="2"/>
  <c r="R604" i="2" s="1"/>
  <c r="S604" i="2" s="1"/>
  <c r="P448" i="2"/>
  <c r="P505" i="2"/>
  <c r="P458" i="2"/>
  <c r="P508" i="2"/>
  <c r="P386" i="2"/>
  <c r="P290" i="2"/>
  <c r="P173" i="2"/>
  <c r="P172" i="2"/>
  <c r="P459" i="2"/>
  <c r="P754" i="2"/>
  <c r="P699" i="2"/>
  <c r="P111" i="2"/>
  <c r="P719" i="2"/>
  <c r="P599" i="2"/>
  <c r="R599" i="2" s="1"/>
  <c r="S599" i="2" s="1"/>
  <c r="P491" i="2"/>
  <c r="P407" i="2"/>
  <c r="P311" i="2"/>
  <c r="P239" i="2"/>
  <c r="P155" i="2"/>
  <c r="P59" i="2"/>
  <c r="P717" i="2"/>
  <c r="R717" i="2" s="1"/>
  <c r="S717" i="2" s="1"/>
  <c r="P663" i="2"/>
  <c r="P763" i="2"/>
  <c r="P523" i="2"/>
  <c r="P295" i="2"/>
  <c r="R294" i="2" s="1"/>
  <c r="S294" i="2" s="1"/>
  <c r="P702" i="2"/>
  <c r="P582" i="2"/>
  <c r="R581" i="2" s="1"/>
  <c r="S581" i="2" s="1"/>
  <c r="P462" i="2"/>
  <c r="R462" i="2" s="1"/>
  <c r="S462" i="2" s="1"/>
  <c r="P318" i="2"/>
  <c r="P198" i="2"/>
  <c r="P90" i="2"/>
  <c r="P579" i="2"/>
  <c r="P327" i="2"/>
  <c r="P787" i="2"/>
  <c r="P571" i="2"/>
  <c r="P379" i="2"/>
  <c r="P653" i="2"/>
  <c r="P437" i="2"/>
  <c r="R437" i="2" s="1"/>
  <c r="S437" i="2" s="1"/>
  <c r="P269" i="2"/>
  <c r="P137" i="2"/>
  <c r="P29" i="2"/>
  <c r="P627" i="2"/>
  <c r="P315" i="2"/>
  <c r="P739" i="2"/>
  <c r="R739" i="2" s="1"/>
  <c r="S739" i="2" s="1"/>
  <c r="P42" i="2"/>
  <c r="P70" i="2"/>
  <c r="P166" i="2"/>
  <c r="P250" i="2"/>
  <c r="P322" i="2"/>
  <c r="P418" i="2"/>
  <c r="R418" i="2" s="1"/>
  <c r="S418" i="2" s="1"/>
  <c r="P586" i="2"/>
  <c r="P35" i="2"/>
  <c r="P56" i="2"/>
  <c r="P140" i="2"/>
  <c r="P320" i="2"/>
  <c r="P392" i="2"/>
  <c r="P488" i="2"/>
  <c r="P572" i="2"/>
  <c r="P752" i="2"/>
  <c r="P45" i="2"/>
  <c r="P129" i="2"/>
  <c r="P225" i="2"/>
  <c r="P381" i="2"/>
  <c r="P477" i="2"/>
  <c r="R477" i="2" s="1"/>
  <c r="S477" i="2" s="1"/>
  <c r="P561" i="2"/>
  <c r="P160" i="2"/>
  <c r="P102" i="2"/>
  <c r="P282" i="2"/>
  <c r="P474" i="2"/>
  <c r="R474" i="2" s="1"/>
  <c r="S474" i="2" s="1"/>
  <c r="P786" i="2"/>
  <c r="R786" i="2" s="1"/>
  <c r="S786" i="2" s="1"/>
  <c r="P115" i="2"/>
  <c r="P211" i="2"/>
  <c r="P391" i="2"/>
  <c r="P411" i="2"/>
  <c r="R411" i="2" s="1"/>
  <c r="S411" i="2" s="1"/>
  <c r="P77" i="2"/>
  <c r="P365" i="2"/>
  <c r="R365" i="2" s="1"/>
  <c r="S365" i="2" s="1"/>
  <c r="P679" i="2"/>
  <c r="P471" i="2"/>
  <c r="P390" i="2"/>
  <c r="P723" i="2"/>
  <c r="P10" i="2"/>
  <c r="P106" i="2"/>
  <c r="P178" i="2"/>
  <c r="R178" i="2" s="1"/>
  <c r="S178" i="2" s="1"/>
  <c r="P262" i="2"/>
  <c r="R262" i="2" s="1"/>
  <c r="S262" i="2" s="1"/>
  <c r="P358" i="2"/>
  <c r="P442" i="2"/>
  <c r="P514" i="2"/>
  <c r="P610" i="2"/>
  <c r="P47" i="2"/>
  <c r="P80" i="2"/>
  <c r="R80" i="2" s="1"/>
  <c r="S80" i="2" s="1"/>
  <c r="P176" i="2"/>
  <c r="P248" i="2"/>
  <c r="P332" i="2"/>
  <c r="R331" i="2" s="1"/>
  <c r="S331" i="2" s="1"/>
  <c r="P428" i="2"/>
  <c r="P512" i="2"/>
  <c r="P584" i="2"/>
  <c r="P680" i="2"/>
  <c r="P764" i="2"/>
  <c r="P69" i="2"/>
  <c r="P165" i="2"/>
  <c r="P237" i="2"/>
  <c r="R237" i="2" s="1"/>
  <c r="S237" i="2" s="1"/>
  <c r="P321" i="2"/>
  <c r="P417" i="2"/>
  <c r="P501" i="2"/>
  <c r="P573" i="2"/>
  <c r="P52" i="2"/>
  <c r="P196" i="2"/>
  <c r="P162" i="2"/>
  <c r="P354" i="2"/>
  <c r="P498" i="2"/>
  <c r="P666" i="2"/>
  <c r="P43" i="2"/>
  <c r="P139" i="2"/>
  <c r="P235" i="2"/>
  <c r="P451" i="2"/>
  <c r="P703" i="2"/>
  <c r="P555" i="2"/>
  <c r="P113" i="2"/>
  <c r="R113" i="2" s="1"/>
  <c r="S113" i="2" s="1"/>
  <c r="P413" i="2"/>
  <c r="R412" i="2" s="1"/>
  <c r="S412" i="2" s="1"/>
  <c r="P199" i="2"/>
  <c r="P715" i="2"/>
  <c r="P531" i="2"/>
  <c r="P174" i="2"/>
  <c r="P414" i="2"/>
  <c r="P678" i="2"/>
  <c r="R678" i="2" s="1"/>
  <c r="S678" i="2" s="1"/>
  <c r="P487" i="2"/>
  <c r="P447" i="2"/>
  <c r="R446" i="2" s="1"/>
  <c r="S446" i="2" s="1"/>
  <c r="P789" i="2"/>
  <c r="P215" i="2"/>
  <c r="P383" i="2"/>
  <c r="P563" i="2"/>
  <c r="P15" i="2"/>
  <c r="P706" i="2"/>
  <c r="P771" i="2"/>
  <c r="P533" i="2"/>
  <c r="P724" i="2"/>
  <c r="P556" i="2"/>
  <c r="P761" i="2"/>
  <c r="P205" i="2"/>
  <c r="P472" i="2"/>
  <c r="P641" i="2"/>
  <c r="P564" i="2"/>
  <c r="P300" i="2"/>
  <c r="R299" i="2" s="1"/>
  <c r="S299" i="2" s="1"/>
  <c r="P518" i="2"/>
  <c r="P421" i="2"/>
  <c r="R421" i="2" s="1"/>
  <c r="S421" i="2" s="1"/>
  <c r="P36" i="2"/>
  <c r="P34" i="2"/>
  <c r="P118" i="2"/>
  <c r="P202" i="2"/>
  <c r="P298" i="2"/>
  <c r="P370" i="2"/>
  <c r="R370" i="2" s="1"/>
  <c r="S370" i="2" s="1"/>
  <c r="P454" i="2"/>
  <c r="P550" i="2"/>
  <c r="P634" i="2"/>
  <c r="P8" i="2"/>
  <c r="R8" i="2" s="1"/>
  <c r="S8" i="2" s="1"/>
  <c r="P104" i="2"/>
  <c r="P188" i="2"/>
  <c r="P272" i="2"/>
  <c r="P368" i="2"/>
  <c r="P440" i="2"/>
  <c r="P524" i="2"/>
  <c r="P620" i="2"/>
  <c r="P704" i="2"/>
  <c r="R704" i="2" s="1"/>
  <c r="S704" i="2" s="1"/>
  <c r="P776" i="2"/>
  <c r="P93" i="2"/>
  <c r="P177" i="2"/>
  <c r="P261" i="2"/>
  <c r="P357" i="2"/>
  <c r="P429" i="2"/>
  <c r="P513" i="2"/>
  <c r="P609" i="2"/>
  <c r="P76" i="2"/>
  <c r="P208" i="2"/>
  <c r="R208" i="2" s="1"/>
  <c r="S208" i="2" s="1"/>
  <c r="P210" i="2"/>
  <c r="P378" i="2"/>
  <c r="P546" i="2"/>
  <c r="P738" i="2"/>
  <c r="P55" i="2"/>
  <c r="R54" i="2" s="1"/>
  <c r="S54" i="2" s="1"/>
  <c r="P151" i="2"/>
  <c r="P307" i="2"/>
  <c r="P511" i="2"/>
  <c r="P63" i="2"/>
  <c r="P759" i="2"/>
  <c r="P197" i="2"/>
  <c r="P557" i="2"/>
  <c r="R557" i="2" s="1"/>
  <c r="S557" i="2" s="1"/>
  <c r="P499" i="2"/>
  <c r="P75" i="2"/>
  <c r="P783" i="2"/>
  <c r="R783" i="2" s="1"/>
  <c r="S783" i="2" s="1"/>
  <c r="P270" i="2"/>
  <c r="P510" i="2"/>
  <c r="P67" i="2"/>
  <c r="P655" i="2"/>
  <c r="P669" i="2"/>
  <c r="P107" i="2"/>
  <c r="P287" i="2"/>
  <c r="R287" i="2" s="1"/>
  <c r="S287" i="2" s="1"/>
  <c r="P443" i="2"/>
  <c r="P659" i="2"/>
  <c r="P483" i="2"/>
  <c r="P51" i="2"/>
  <c r="P677" i="2"/>
  <c r="P602" i="2"/>
  <c r="R602" i="2" s="1"/>
  <c r="S602" i="2" s="1"/>
  <c r="P401" i="2"/>
  <c r="P770" i="2"/>
  <c r="P329" i="2"/>
  <c r="R329" i="2" s="1"/>
  <c r="S329" i="2" s="1"/>
  <c r="P648" i="2"/>
  <c r="P674" i="2"/>
  <c r="R673" i="2" s="1"/>
  <c r="S673" i="2" s="1"/>
  <c r="P257" i="2"/>
  <c r="P456" i="2"/>
  <c r="P230" i="2"/>
  <c r="P110" i="2"/>
  <c r="P13" i="2"/>
  <c r="R13" i="2" s="1"/>
  <c r="S13" i="2" s="1"/>
  <c r="P502" i="2"/>
  <c r="P236" i="2"/>
  <c r="P656" i="2"/>
  <c r="P309" i="2"/>
  <c r="R309" i="2" s="1"/>
  <c r="S309" i="2" s="1"/>
  <c r="P645" i="2"/>
  <c r="P642" i="2"/>
  <c r="P667" i="2"/>
  <c r="P725" i="2"/>
  <c r="P126" i="2"/>
  <c r="P654" i="2"/>
  <c r="P367" i="2"/>
  <c r="P339" i="2"/>
  <c r="P765" i="2"/>
  <c r="P191" i="2"/>
  <c r="P359" i="2"/>
  <c r="P551" i="2"/>
  <c r="P755" i="2"/>
  <c r="P694" i="2"/>
  <c r="P244" i="2"/>
  <c r="P61" i="2"/>
  <c r="R61" i="2" s="1"/>
  <c r="S61" i="2" s="1"/>
  <c r="P721" i="2"/>
  <c r="P218" i="2"/>
  <c r="P540" i="2"/>
  <c r="P578" i="2"/>
  <c r="P149" i="2"/>
  <c r="P601" i="2"/>
  <c r="P409" i="2"/>
  <c r="P590" i="2"/>
  <c r="R590" i="2" s="1"/>
  <c r="S590" i="2" s="1"/>
  <c r="P469" i="2"/>
  <c r="R469" i="2" s="1"/>
  <c r="S469" i="2" s="1"/>
  <c r="P84" i="2"/>
  <c r="AC48" i="2"/>
  <c r="AX24" i="2" s="1"/>
  <c r="AC60" i="2"/>
  <c r="BG24" i="2" s="1"/>
  <c r="AC33" i="2"/>
  <c r="AO24" i="2" s="1"/>
  <c r="AC25" i="2"/>
  <c r="AJ24" i="2" s="1"/>
  <c r="P577" i="2"/>
  <c r="P473" i="2"/>
  <c r="P410" i="2"/>
  <c r="P457" i="2"/>
  <c r="P528" i="2"/>
  <c r="P516" i="2"/>
  <c r="P624" i="2"/>
  <c r="P85" i="2"/>
  <c r="P542" i="2"/>
  <c r="R542" i="2" s="1"/>
  <c r="S542" i="2" s="1"/>
  <c r="P254" i="2"/>
  <c r="P589" i="2"/>
  <c r="P301" i="2"/>
  <c r="P216" i="2"/>
  <c r="P72" i="2"/>
  <c r="P251" i="3"/>
  <c r="P83" i="3"/>
  <c r="P487" i="3"/>
  <c r="P620" i="3"/>
  <c r="P350" i="3"/>
  <c r="R349" i="3" s="1"/>
  <c r="S349" i="3" s="1"/>
  <c r="P215" i="3"/>
  <c r="P450" i="3"/>
  <c r="P73" i="3"/>
  <c r="P8" i="3"/>
  <c r="P187" i="3"/>
  <c r="P396" i="3"/>
  <c r="P119" i="3"/>
  <c r="P729" i="3"/>
  <c r="R728" i="3" s="1"/>
  <c r="S728" i="3" s="1"/>
  <c r="P68" i="3"/>
  <c r="P329" i="3"/>
  <c r="R328" i="3" s="1"/>
  <c r="S328" i="3" s="1"/>
  <c r="P551" i="3"/>
  <c r="R550" i="3" s="1"/>
  <c r="S550" i="3" s="1"/>
  <c r="P757" i="3"/>
  <c r="P528" i="3"/>
  <c r="P693" i="3"/>
  <c r="R692" i="3" s="1"/>
  <c r="S692" i="3" s="1"/>
  <c r="P718" i="3"/>
  <c r="P762" i="3"/>
  <c r="R762" i="3" s="1"/>
  <c r="S762" i="3" s="1"/>
  <c r="P51" i="3"/>
  <c r="P516" i="3"/>
  <c r="P570" i="3"/>
  <c r="P592" i="3"/>
  <c r="P556" i="3"/>
  <c r="P355" i="3"/>
  <c r="R355" i="3" s="1"/>
  <c r="S355" i="3" s="1"/>
  <c r="P62" i="3"/>
  <c r="R61" i="3" s="1"/>
  <c r="S61" i="3" s="1"/>
  <c r="P378" i="3"/>
  <c r="P56" i="3"/>
  <c r="P341" i="3"/>
  <c r="P218" i="3"/>
  <c r="R217" i="3" s="1"/>
  <c r="S217" i="3" s="1"/>
  <c r="P70" i="3"/>
  <c r="P479" i="3"/>
  <c r="P569" i="3"/>
  <c r="P716" i="3"/>
  <c r="P731" i="3"/>
  <c r="R730" i="3" s="1"/>
  <c r="S730" i="3" s="1"/>
  <c r="P567" i="3"/>
  <c r="P721" i="3"/>
  <c r="P793" i="3"/>
  <c r="P199" i="3"/>
  <c r="P590" i="3"/>
  <c r="P615" i="3"/>
  <c r="P380" i="3"/>
  <c r="P330" i="3"/>
  <c r="P294" i="3"/>
  <c r="P336" i="3"/>
  <c r="P50" i="3"/>
  <c r="P153" i="3"/>
  <c r="P101" i="3"/>
  <c r="P281" i="3"/>
  <c r="P530" i="3"/>
  <c r="R530" i="3" s="1"/>
  <c r="S530" i="3" s="1"/>
  <c r="P761" i="3"/>
  <c r="P749" i="3"/>
  <c r="P587" i="3"/>
  <c r="P767" i="3"/>
  <c r="P774" i="3"/>
  <c r="P359" i="3"/>
  <c r="P320" i="3"/>
  <c r="R320" i="3" s="1"/>
  <c r="S320" i="3" s="1"/>
  <c r="P499" i="3"/>
  <c r="P310" i="3"/>
  <c r="P275" i="3"/>
  <c r="P287" i="3"/>
  <c r="P314" i="3"/>
  <c r="P32" i="3"/>
  <c r="P400" i="3"/>
  <c r="P108" i="3"/>
  <c r="P399" i="3"/>
  <c r="P205" i="3"/>
  <c r="P753" i="3"/>
  <c r="R752" i="3" s="1"/>
  <c r="S752" i="3" s="1"/>
  <c r="P301" i="3"/>
  <c r="P429" i="3"/>
  <c r="P534" i="3"/>
  <c r="P538" i="3"/>
  <c r="R538" i="3" s="1"/>
  <c r="S538" i="3" s="1"/>
  <c r="P790" i="3"/>
  <c r="P497" i="3"/>
  <c r="P591" i="3"/>
  <c r="R591" i="3" s="1"/>
  <c r="S591" i="3" s="1"/>
  <c r="P486" i="3"/>
  <c r="P504" i="3"/>
  <c r="P523" i="3"/>
  <c r="P250" i="3"/>
  <c r="R250" i="3" s="1"/>
  <c r="S250" i="3" s="1"/>
  <c r="P389" i="3"/>
  <c r="R389" i="3" s="1"/>
  <c r="S389" i="3" s="1"/>
  <c r="P17" i="3"/>
  <c r="P358" i="3"/>
  <c r="P125" i="3"/>
  <c r="P194" i="3"/>
  <c r="R194" i="3" s="1"/>
  <c r="S194" i="3" s="1"/>
  <c r="P743" i="3"/>
  <c r="R743" i="3" s="1"/>
  <c r="S743" i="3" s="1"/>
  <c r="P506" i="3"/>
  <c r="R505" i="3" s="1"/>
  <c r="S505" i="3" s="1"/>
  <c r="P545" i="3"/>
  <c r="P755" i="3"/>
  <c r="R754" i="3" s="1"/>
  <c r="S754" i="3" s="1"/>
  <c r="P702" i="3"/>
  <c r="R702" i="3" s="1"/>
  <c r="S702" i="3" s="1"/>
  <c r="P291" i="3"/>
  <c r="P595" i="3"/>
  <c r="P137" i="3"/>
  <c r="P48" i="3"/>
  <c r="R47" i="3" s="1"/>
  <c r="S47" i="3" s="1"/>
  <c r="P388" i="3"/>
  <c r="P191" i="3"/>
  <c r="P385" i="3"/>
  <c r="P476" i="3"/>
  <c r="P308" i="3"/>
  <c r="P227" i="3"/>
  <c r="P434" i="3"/>
  <c r="P466" i="3"/>
  <c r="P576" i="3"/>
  <c r="P63" i="3"/>
  <c r="P160" i="3"/>
  <c r="P598" i="3"/>
  <c r="P45" i="3"/>
  <c r="P657" i="3"/>
  <c r="P770" i="3"/>
  <c r="P768" i="3"/>
  <c r="P617" i="3"/>
  <c r="P751" i="3"/>
  <c r="R751" i="3" s="1"/>
  <c r="S751" i="3" s="1"/>
  <c r="P760" i="3"/>
  <c r="P521" i="3"/>
  <c r="P540" i="3"/>
  <c r="R539" i="3" s="1"/>
  <c r="S539" i="3" s="1"/>
  <c r="P613" i="3"/>
  <c r="P186" i="3"/>
  <c r="P503" i="3"/>
  <c r="R503" i="3" s="1"/>
  <c r="S503" i="3" s="1"/>
  <c r="P411" i="3"/>
  <c r="P533" i="3"/>
  <c r="R533" i="3" s="1"/>
  <c r="S533" i="3" s="1"/>
  <c r="P426" i="3"/>
  <c r="P209" i="3"/>
  <c r="P364" i="3"/>
  <c r="P268" i="3"/>
  <c r="P223" i="3"/>
  <c r="P444" i="3"/>
  <c r="P269" i="3"/>
  <c r="P422" i="3"/>
  <c r="P608" i="3"/>
  <c r="P423" i="3"/>
  <c r="P23" i="3"/>
  <c r="P207" i="3"/>
  <c r="P11" i="3"/>
  <c r="P245" i="3"/>
  <c r="P624" i="3"/>
  <c r="P103" i="3"/>
  <c r="R103" i="3" s="1"/>
  <c r="S103" i="3" s="1"/>
  <c r="P231" i="3"/>
  <c r="P126" i="3"/>
  <c r="P313" i="3"/>
  <c r="P461" i="3"/>
  <c r="P225" i="3"/>
  <c r="P82" i="3"/>
  <c r="P715" i="3"/>
  <c r="R714" i="3" s="1"/>
  <c r="S714" i="3" s="1"/>
  <c r="P565" i="3"/>
  <c r="P332" i="3"/>
  <c r="P280" i="3"/>
  <c r="R280" i="3" s="1"/>
  <c r="S280" i="3" s="1"/>
  <c r="P374" i="3"/>
  <c r="R373" i="3" s="1"/>
  <c r="S373" i="3" s="1"/>
  <c r="P344" i="3"/>
  <c r="P637" i="3"/>
  <c r="P98" i="3"/>
  <c r="P219" i="3"/>
  <c r="R218" i="3" s="1"/>
  <c r="S218" i="3" s="1"/>
  <c r="P102" i="3"/>
  <c r="P698" i="3"/>
  <c r="R698" i="3" s="1"/>
  <c r="S698" i="3" s="1"/>
  <c r="P764" i="3"/>
  <c r="R764" i="3" s="1"/>
  <c r="S764" i="3" s="1"/>
  <c r="P785" i="3"/>
  <c r="P631" i="3"/>
  <c r="P659" i="3"/>
  <c r="R658" i="3" s="1"/>
  <c r="S658" i="3" s="1"/>
  <c r="P713" i="3"/>
  <c r="R713" i="3" s="1"/>
  <c r="S713" i="3" s="1"/>
  <c r="P645" i="3"/>
  <c r="P619" i="3"/>
  <c r="P747" i="3"/>
  <c r="P563" i="3"/>
  <c r="P303" i="3"/>
  <c r="P144" i="3"/>
  <c r="P182" i="3"/>
  <c r="R182" i="3" s="1"/>
  <c r="S182" i="3" s="1"/>
  <c r="P74" i="3"/>
  <c r="P408" i="3"/>
  <c r="P180" i="3"/>
  <c r="R179" i="3" s="1"/>
  <c r="S179" i="3" s="1"/>
  <c r="P463" i="3"/>
  <c r="P87" i="3"/>
  <c r="P297" i="3"/>
  <c r="P152" i="3"/>
  <c r="R152" i="3" s="1"/>
  <c r="S152" i="3" s="1"/>
  <c r="P555" i="3"/>
  <c r="P232" i="3"/>
  <c r="P327" i="3"/>
  <c r="R327" i="3" s="1"/>
  <c r="S327" i="3" s="1"/>
  <c r="P398" i="3"/>
  <c r="P604" i="3"/>
  <c r="P653" i="3"/>
  <c r="P243" i="3"/>
  <c r="P9" i="3"/>
  <c r="P323" i="3"/>
  <c r="P676" i="3"/>
  <c r="R676" i="3" s="1"/>
  <c r="S676" i="3" s="1"/>
  <c r="P727" i="3"/>
  <c r="R727" i="3" s="1"/>
  <c r="S727" i="3" s="1"/>
  <c r="P704" i="3"/>
  <c r="R703" i="3" s="1"/>
  <c r="S703" i="3" s="1"/>
  <c r="P557" i="3"/>
  <c r="P719" i="3"/>
  <c r="P632" i="3"/>
  <c r="P781" i="3"/>
  <c r="P267" i="3"/>
  <c r="P512" i="3"/>
  <c r="R512" i="3" s="1"/>
  <c r="S512" i="3" s="1"/>
  <c r="P277" i="3"/>
  <c r="P489" i="3"/>
  <c r="P193" i="3"/>
  <c r="R193" i="3" s="1"/>
  <c r="S193" i="3" s="1"/>
  <c r="P58" i="3"/>
  <c r="P143" i="3"/>
  <c r="P90" i="3"/>
  <c r="P282" i="3"/>
  <c r="P208" i="3"/>
  <c r="P118" i="3"/>
  <c r="P203" i="3"/>
  <c r="P445" i="3"/>
  <c r="P337" i="3"/>
  <c r="R336" i="3" s="1"/>
  <c r="S336" i="3" s="1"/>
  <c r="P462" i="3"/>
  <c r="P787" i="3"/>
  <c r="P627" i="3"/>
  <c r="P368" i="3"/>
  <c r="P588" i="3"/>
  <c r="P454" i="3"/>
  <c r="P224" i="3"/>
  <c r="R223" i="3" s="1"/>
  <c r="S223" i="3" s="1"/>
  <c r="P131" i="3"/>
  <c r="R130" i="3" s="1"/>
  <c r="S130" i="3" s="1"/>
  <c r="P24" i="3"/>
  <c r="R24" i="3" s="1"/>
  <c r="S24" i="3" s="1"/>
  <c r="P626" i="3"/>
  <c r="P712" i="3"/>
  <c r="P732" i="3"/>
  <c r="P643" i="3"/>
  <c r="P510" i="3"/>
  <c r="P733" i="3"/>
  <c r="P519" i="3"/>
  <c r="P577" i="3"/>
  <c r="P465" i="3"/>
  <c r="P741" i="3"/>
  <c r="P603" i="3"/>
  <c r="P261" i="3"/>
  <c r="P485" i="3"/>
  <c r="P265" i="3"/>
  <c r="R265" i="3" s="1"/>
  <c r="S265" i="3" s="1"/>
  <c r="P636" i="3"/>
  <c r="P363" i="3"/>
  <c r="P42" i="3"/>
  <c r="P91" i="3"/>
  <c r="P26" i="3"/>
  <c r="P172" i="3"/>
  <c r="P286" i="3"/>
  <c r="P149" i="3"/>
  <c r="P16" i="3"/>
  <c r="P176" i="3"/>
  <c r="P278" i="3"/>
  <c r="P164" i="3"/>
  <c r="P484" i="3"/>
  <c r="P495" i="3"/>
  <c r="P468" i="3"/>
  <c r="R467" i="3" s="1"/>
  <c r="S467" i="3" s="1"/>
  <c r="P338" i="3"/>
  <c r="P661" i="3"/>
  <c r="P594" i="3"/>
  <c r="P416" i="3"/>
  <c r="P697" i="3"/>
  <c r="P129" i="3"/>
  <c r="R129" i="3" s="1"/>
  <c r="S129" i="3" s="1"/>
  <c r="P81" i="3"/>
  <c r="P204" i="3"/>
  <c r="R204" i="3" s="1"/>
  <c r="S204" i="3" s="1"/>
  <c r="P625" i="3"/>
  <c r="P794" i="3"/>
  <c r="P652" i="3"/>
  <c r="P668" i="3"/>
  <c r="R667" i="3" s="1"/>
  <c r="S667" i="3" s="1"/>
  <c r="P694" i="3"/>
  <c r="P605" i="3"/>
  <c r="P742" i="3"/>
  <c r="P696" i="3"/>
  <c r="P745" i="3"/>
  <c r="R744" i="3" s="1"/>
  <c r="S744" i="3" s="1"/>
  <c r="P529" i="3"/>
  <c r="P407" i="3"/>
  <c r="R406" i="3" s="1"/>
  <c r="S406" i="3" s="1"/>
  <c r="P726" i="3"/>
  <c r="P353" i="3"/>
  <c r="P249" i="3"/>
  <c r="P441" i="3"/>
  <c r="R441" i="3" s="1"/>
  <c r="S441" i="3" s="1"/>
  <c r="P258" i="3"/>
  <c r="P279" i="3"/>
  <c r="P238" i="3"/>
  <c r="P256" i="3"/>
  <c r="P361" i="3"/>
  <c r="P312" i="3"/>
  <c r="P228" i="3"/>
  <c r="P18" i="3"/>
  <c r="P181" i="3"/>
  <c r="P340" i="3"/>
  <c r="R340" i="3" s="1"/>
  <c r="S340" i="3" s="1"/>
  <c r="P169" i="3"/>
  <c r="P723" i="3"/>
  <c r="P244" i="3"/>
  <c r="P480" i="3"/>
  <c r="P433" i="3"/>
  <c r="P737" i="3"/>
  <c r="P597" i="3"/>
  <c r="P554" i="3"/>
  <c r="P725" i="3"/>
  <c r="P124" i="3"/>
  <c r="P76" i="3"/>
  <c r="P309" i="3"/>
  <c r="P107" i="3"/>
  <c r="P778" i="3"/>
  <c r="P628" i="3"/>
  <c r="R628" i="3" s="1"/>
  <c r="S628" i="3" s="1"/>
  <c r="P663" i="3"/>
  <c r="P684" i="3"/>
  <c r="P735" i="3"/>
  <c r="P734" i="3"/>
  <c r="P681" i="3"/>
  <c r="P678" i="3"/>
  <c r="P525" i="3"/>
  <c r="P377" i="3"/>
  <c r="P453" i="3"/>
  <c r="P638" i="3"/>
  <c r="P664" i="3"/>
  <c r="P214" i="3"/>
  <c r="P213" i="3"/>
  <c r="P285" i="3"/>
  <c r="P254" i="3"/>
  <c r="P170" i="3"/>
  <c r="P270" i="3"/>
  <c r="P379" i="3"/>
  <c r="P253" i="3"/>
  <c r="P38" i="3"/>
  <c r="P317" i="3"/>
  <c r="R317" i="3" s="1"/>
  <c r="S317" i="3" s="1"/>
  <c r="P66" i="3"/>
  <c r="P189" i="3"/>
  <c r="P382" i="3"/>
  <c r="R382" i="3" s="1"/>
  <c r="S382" i="3" s="1"/>
  <c r="P174" i="3"/>
  <c r="P409" i="3"/>
  <c r="P304" i="3"/>
  <c r="P492" i="3"/>
  <c r="P448" i="3"/>
  <c r="P769" i="3"/>
  <c r="P322" i="3"/>
  <c r="P584" i="3"/>
  <c r="P548" i="3"/>
  <c r="P369" i="3"/>
  <c r="P100" i="3"/>
  <c r="P54" i="3"/>
  <c r="R53" i="3" s="1"/>
  <c r="S53" i="3" s="1"/>
  <c r="P185" i="3"/>
  <c r="P57" i="3"/>
  <c r="P319" i="3"/>
  <c r="P200" i="3"/>
  <c r="P469" i="3"/>
  <c r="P31" i="3"/>
  <c r="P260" i="3"/>
  <c r="R260" i="3" s="1"/>
  <c r="S260" i="3" s="1"/>
  <c r="P46" i="3"/>
  <c r="R46" i="3" s="1"/>
  <c r="S46" i="3" s="1"/>
  <c r="P178" i="3"/>
  <c r="R178" i="3" s="1"/>
  <c r="S178" i="3" s="1"/>
  <c r="P60" i="3"/>
  <c r="P28" i="3"/>
  <c r="R27" i="3" s="1"/>
  <c r="S27" i="3" s="1"/>
  <c r="P305" i="3"/>
  <c r="AC44" i="3"/>
  <c r="AC32" i="3"/>
  <c r="P650" i="3"/>
  <c r="P724" i="3"/>
  <c r="P775" i="3"/>
  <c r="P739" i="3"/>
  <c r="P776" i="3"/>
  <c r="P717" i="3"/>
  <c r="P547" i="3"/>
  <c r="R547" i="3" s="1"/>
  <c r="S547" i="3" s="1"/>
  <c r="P792" i="3"/>
  <c r="P483" i="3"/>
  <c r="P357" i="3"/>
  <c r="R356" i="3" s="1"/>
  <c r="S356" i="3" s="1"/>
  <c r="P559" i="3"/>
  <c r="P262" i="3"/>
  <c r="P311" i="3"/>
  <c r="P471" i="3"/>
  <c r="P202" i="3"/>
  <c r="P236" i="3"/>
  <c r="P365" i="3"/>
  <c r="P651" i="3"/>
  <c r="P609" i="3"/>
  <c r="P481" i="3"/>
  <c r="P151" i="3"/>
  <c r="P419" i="3"/>
  <c r="P331" i="3"/>
  <c r="P161" i="3"/>
  <c r="P14" i="3"/>
  <c r="P142" i="3"/>
  <c r="R141" i="3" s="1"/>
  <c r="S141" i="3" s="1"/>
  <c r="P578" i="3"/>
  <c r="P121" i="3"/>
  <c r="P633" i="3"/>
  <c r="P307" i="3"/>
  <c r="P436" i="3"/>
  <c r="P237" i="3"/>
  <c r="P537" i="3"/>
  <c r="R536" i="3" s="1"/>
  <c r="S536" i="3" s="1"/>
  <c r="P326" i="3"/>
  <c r="P709" i="3"/>
  <c r="R709" i="3" s="1"/>
  <c r="S709" i="3" s="1"/>
  <c r="P440" i="3"/>
  <c r="P671" i="3"/>
  <c r="P622" i="3"/>
  <c r="R621" i="3" s="1"/>
  <c r="S621" i="3" s="1"/>
  <c r="P127" i="3"/>
  <c r="P21" i="3"/>
  <c r="P345" i="3"/>
  <c r="R345" i="3" s="1"/>
  <c r="S345" i="3" s="1"/>
  <c r="P150" i="3"/>
  <c r="P482" i="3"/>
  <c r="P235" i="3"/>
  <c r="P773" i="3"/>
  <c r="R772" i="3" s="1"/>
  <c r="S772" i="3" s="1"/>
  <c r="P115" i="3"/>
  <c r="P190" i="3"/>
  <c r="P478" i="3"/>
  <c r="P276" i="3"/>
  <c r="P458" i="3"/>
  <c r="P574" i="3"/>
  <c r="P614" i="3"/>
  <c r="P488" i="3"/>
  <c r="P418" i="3"/>
  <c r="P560" i="3"/>
  <c r="P572" i="3"/>
  <c r="P413" i="3"/>
  <c r="P184" i="3"/>
  <c r="P498" i="3"/>
  <c r="P424" i="3"/>
  <c r="P475" i="3"/>
  <c r="P211" i="3"/>
  <c r="P97" i="3"/>
  <c r="P425" i="3"/>
  <c r="P154" i="3"/>
  <c r="P30" i="3"/>
  <c r="P500" i="3"/>
  <c r="P509" i="3"/>
  <c r="P257" i="3"/>
  <c r="P44" i="3"/>
  <c r="P165" i="3"/>
  <c r="P230" i="3"/>
  <c r="P15" i="3"/>
  <c r="P295" i="3"/>
  <c r="P132" i="3"/>
  <c r="P791" i="3"/>
  <c r="P175" i="3"/>
  <c r="P290" i="3"/>
  <c r="P226" i="3"/>
  <c r="P491" i="3"/>
  <c r="P247" i="3"/>
  <c r="P672" i="3"/>
  <c r="P501" i="3"/>
  <c r="P477" i="3"/>
  <c r="P272" i="3"/>
  <c r="P455" i="3"/>
  <c r="P641" i="3"/>
  <c r="R640" i="3" s="1"/>
  <c r="S640" i="3" s="1"/>
  <c r="P655" i="3"/>
  <c r="P759" i="3"/>
  <c r="P700" i="3"/>
  <c r="R700" i="3" s="1"/>
  <c r="S700" i="3" s="1"/>
  <c r="P711" i="3"/>
  <c r="R710" i="3" s="1"/>
  <c r="S710" i="3" s="1"/>
  <c r="P642" i="3"/>
  <c r="P630" i="3"/>
  <c r="P738" i="3"/>
  <c r="P188" i="3"/>
  <c r="P34" i="3"/>
  <c r="P139" i="3"/>
  <c r="P273" i="3"/>
  <c r="P646" i="3"/>
  <c r="P292" i="3"/>
  <c r="P212" i="3"/>
  <c r="P544" i="3"/>
  <c r="P579" i="3"/>
  <c r="R579" i="3" s="1"/>
  <c r="S579" i="3" s="1"/>
  <c r="P464" i="3"/>
  <c r="P370" i="3"/>
  <c r="P446" i="3"/>
  <c r="P552" i="3"/>
  <c r="P410" i="3"/>
  <c r="P173" i="3"/>
  <c r="P474" i="3"/>
  <c r="P415" i="3"/>
  <c r="P460" i="3"/>
  <c r="P206" i="3"/>
  <c r="P92" i="3"/>
  <c r="P417" i="3"/>
  <c r="P147" i="3"/>
  <c r="P29" i="3"/>
  <c r="P452" i="3"/>
  <c r="P457" i="3"/>
  <c r="P241" i="3"/>
  <c r="P616" i="3"/>
  <c r="P155" i="3"/>
  <c r="P167" i="3"/>
  <c r="P52" i="3"/>
  <c r="P89" i="3"/>
  <c r="P156" i="3"/>
  <c r="P96" i="3"/>
  <c r="P198" i="3"/>
  <c r="P397" i="3"/>
  <c r="P339" i="3"/>
  <c r="P381" i="3"/>
  <c r="P447" i="3"/>
  <c r="P689" i="3"/>
  <c r="P55" i="3"/>
  <c r="P120" i="3"/>
  <c r="P210" i="3"/>
  <c r="P511" i="3"/>
  <c r="P248" i="3"/>
  <c r="P93" i="3"/>
  <c r="P438" i="3"/>
  <c r="P263" i="3"/>
  <c r="P334" i="3"/>
  <c r="R333" i="3" s="1"/>
  <c r="S333" i="3" s="1"/>
  <c r="P366" i="3"/>
  <c r="P65" i="3"/>
  <c r="P606" i="3"/>
  <c r="P252" i="3"/>
  <c r="R251" i="3" s="1"/>
  <c r="S251" i="3" s="1"/>
  <c r="P420" i="3"/>
  <c r="P10" i="3"/>
  <c r="P94" i="3"/>
  <c r="P166" i="3"/>
  <c r="P375" i="3"/>
  <c r="P472" i="3"/>
  <c r="P128" i="3"/>
  <c r="P347" i="3"/>
  <c r="P428" i="3"/>
  <c r="P596" i="3"/>
  <c r="P635" i="3"/>
  <c r="P507" i="3"/>
  <c r="P601" i="3"/>
  <c r="P293" i="3"/>
  <c r="P585" i="3"/>
  <c r="P470" i="3"/>
  <c r="P779" i="3"/>
  <c r="P685" i="3"/>
  <c r="P618" i="3"/>
  <c r="P582" i="3"/>
  <c r="P600" i="3"/>
  <c r="P449" i="3"/>
  <c r="P271" i="3"/>
  <c r="P675" i="3"/>
  <c r="P138" i="3"/>
  <c r="P64" i="3"/>
  <c r="P79" i="3"/>
  <c r="R79" i="3" s="1"/>
  <c r="S79" i="3" s="1"/>
  <c r="P136" i="3"/>
  <c r="P78" i="3"/>
  <c r="P502" i="3"/>
  <c r="P722" i="3"/>
  <c r="P654" i="3"/>
  <c r="P682" i="3"/>
  <c r="P782" i="3"/>
  <c r="P526" i="3"/>
  <c r="P508" i="3"/>
  <c r="P656" i="3"/>
  <c r="P705" i="3"/>
  <c r="P673" i="3"/>
  <c r="P522" i="3"/>
  <c r="R521" i="3" s="1"/>
  <c r="S521" i="3" s="1"/>
  <c r="P708" i="3"/>
  <c r="P459" i="3"/>
  <c r="P439" i="3"/>
  <c r="P532" i="3"/>
  <c r="R531" i="3" s="1"/>
  <c r="S531" i="3" s="1"/>
  <c r="P405" i="3"/>
  <c r="R405" i="3" s="1"/>
  <c r="S405" i="3" s="1"/>
  <c r="P665" i="3"/>
  <c r="P371" i="3"/>
  <c r="P240" i="3"/>
  <c r="P367" i="3"/>
  <c r="P274" i="3"/>
  <c r="P524" i="3"/>
  <c r="P49" i="3"/>
  <c r="P113" i="3"/>
  <c r="P177" i="3"/>
  <c r="P387" i="3"/>
  <c r="P201" i="3"/>
  <c r="P88" i="3"/>
  <c r="P443" i="3"/>
  <c r="P342" i="3"/>
  <c r="P384" i="3"/>
  <c r="P566" i="3"/>
  <c r="P71" i="3"/>
  <c r="P22" i="3"/>
  <c r="P306" i="3"/>
  <c r="P432" i="3"/>
  <c r="P12" i="3"/>
  <c r="P99" i="3"/>
  <c r="P171" i="3"/>
  <c r="P414" i="3"/>
  <c r="P546" i="3"/>
  <c r="P133" i="3"/>
  <c r="P402" i="3"/>
  <c r="P437" i="3"/>
  <c r="P649" i="3"/>
  <c r="P239" i="3"/>
  <c r="P568" i="3"/>
  <c r="P777" i="3"/>
  <c r="P316" i="3"/>
  <c r="R315" i="3" s="1"/>
  <c r="S315" i="3" s="1"/>
  <c r="P589" i="3"/>
  <c r="P623" i="3"/>
  <c r="P494" i="3"/>
  <c r="P298" i="3"/>
  <c r="P296" i="3"/>
  <c r="P558" i="3"/>
  <c r="P611" i="3"/>
  <c r="R610" i="3" s="1"/>
  <c r="S610" i="3" s="1"/>
  <c r="P612" i="3"/>
  <c r="P351" i="3"/>
  <c r="P255" i="3"/>
  <c r="P669" i="3"/>
  <c r="P114" i="3"/>
  <c r="P33" i="3"/>
  <c r="P7" i="3"/>
  <c r="P112" i="3"/>
  <c r="P40" i="3"/>
  <c r="P412" i="3"/>
  <c r="P786" i="3"/>
  <c r="P686" i="3"/>
  <c r="P780" i="3"/>
  <c r="P634" i="3"/>
  <c r="P736" i="3"/>
  <c r="P750" i="3"/>
  <c r="R749" i="3" s="1"/>
  <c r="S749" i="3" s="1"/>
  <c r="P680" i="3"/>
  <c r="P771" i="3"/>
  <c r="R771" i="3" s="1"/>
  <c r="S771" i="3" s="1"/>
  <c r="P542" i="3"/>
  <c r="P583" i="3"/>
  <c r="P639" i="3"/>
  <c r="P593" i="3"/>
  <c r="P756" i="3"/>
  <c r="R756" i="3" s="1"/>
  <c r="S756" i="3" s="1"/>
  <c r="P335" i="3"/>
  <c r="P766" i="3"/>
  <c r="R765" i="3" s="1"/>
  <c r="S765" i="3" s="1"/>
  <c r="P666" i="3"/>
  <c r="P343" i="3"/>
  <c r="P284" i="3"/>
  <c r="P647" i="3"/>
  <c r="P84" i="3"/>
  <c r="P514" i="3"/>
  <c r="P571" i="3"/>
  <c r="P493" i="3"/>
  <c r="P393" i="3"/>
  <c r="P234" i="3"/>
  <c r="P95" i="3"/>
  <c r="P41" i="3"/>
  <c r="P36" i="3"/>
  <c r="P163" i="3"/>
  <c r="P324" i="3"/>
  <c r="R324" i="3" s="1"/>
  <c r="S324" i="3" s="1"/>
  <c r="P37" i="3"/>
  <c r="P352" i="3"/>
  <c r="P229" i="3"/>
  <c r="P299" i="3"/>
  <c r="P549" i="3"/>
  <c r="P300" i="3"/>
  <c r="P20" i="3"/>
  <c r="R19" i="3" s="1"/>
  <c r="S19" i="3" s="1"/>
  <c r="P123" i="3"/>
  <c r="P192" i="3"/>
  <c r="P541" i="3"/>
  <c r="R540" i="3" s="1"/>
  <c r="S540" i="3" s="1"/>
  <c r="P85" i="3"/>
  <c r="P157" i="3"/>
  <c r="P527" i="3"/>
  <c r="P496" i="3"/>
  <c r="P348" i="3"/>
  <c r="P354" i="3"/>
  <c r="P360" i="3"/>
  <c r="P220" i="3"/>
  <c r="P386" i="3"/>
  <c r="P403" i="3"/>
  <c r="P302" i="3"/>
  <c r="P515" i="3"/>
  <c r="P394" i="3"/>
  <c r="P392" i="3"/>
  <c r="P602" i="3"/>
  <c r="P687" i="3"/>
  <c r="P562" i="3"/>
  <c r="R561" i="3" s="1"/>
  <c r="S561" i="3" s="1"/>
  <c r="P259" i="3"/>
  <c r="P122" i="3"/>
  <c r="P105" i="3"/>
  <c r="P473" i="3"/>
  <c r="P13" i="3"/>
  <c r="P86" i="3"/>
  <c r="P221" i="3"/>
  <c r="P289" i="3"/>
  <c r="P543" i="3"/>
  <c r="P283" i="3"/>
  <c r="P39" i="3"/>
  <c r="P72" i="3"/>
  <c r="P69" i="3"/>
  <c r="AC39" i="3"/>
  <c r="AC25" i="3"/>
  <c r="R394" i="2"/>
  <c r="S394" i="2" s="1"/>
  <c r="R679" i="3" l="1"/>
  <c r="S679" i="3" s="1"/>
  <c r="R442" i="3"/>
  <c r="S442" i="3" s="1"/>
  <c r="R705" i="3"/>
  <c r="S705" i="3" s="1"/>
  <c r="R490" i="3"/>
  <c r="S490" i="3" s="1"/>
  <c r="R161" i="3"/>
  <c r="S161" i="3" s="1"/>
  <c r="R60" i="3"/>
  <c r="S60" i="3" s="1"/>
  <c r="R66" i="3"/>
  <c r="S66" i="3" s="1"/>
  <c r="R516" i="3"/>
  <c r="S516" i="3" s="1"/>
  <c r="R430" i="3"/>
  <c r="S430" i="3" s="1"/>
  <c r="R403" i="3"/>
  <c r="S403" i="3" s="1"/>
  <c r="R517" i="3"/>
  <c r="S517" i="3" s="1"/>
  <c r="R372" i="3"/>
  <c r="S372" i="3" s="1"/>
  <c r="R475" i="3"/>
  <c r="S475" i="3" s="1"/>
  <c r="R742" i="3"/>
  <c r="S742" i="3" s="1"/>
  <c r="R652" i="3"/>
  <c r="S652" i="3" s="1"/>
  <c r="R68" i="2"/>
  <c r="S68" i="2" s="1"/>
  <c r="R192" i="2"/>
  <c r="S192" i="2" s="1"/>
  <c r="R140" i="3"/>
  <c r="S140" i="3" s="1"/>
  <c r="R431" i="3"/>
  <c r="S431" i="3" s="1"/>
  <c r="R599" i="3"/>
  <c r="S599" i="3" s="1"/>
  <c r="R148" i="3"/>
  <c r="S148" i="3" s="1"/>
  <c r="R332" i="3"/>
  <c r="S332" i="3" s="1"/>
  <c r="R215" i="3"/>
  <c r="S215" i="3" s="1"/>
  <c r="R783" i="3"/>
  <c r="S783" i="3" s="1"/>
  <c r="R35" i="3"/>
  <c r="S35" i="3" s="1"/>
  <c r="R371" i="3"/>
  <c r="S371" i="3" s="1"/>
  <c r="R139" i="3"/>
  <c r="S139" i="3" s="1"/>
  <c r="R575" i="3"/>
  <c r="S575" i="3" s="1"/>
  <c r="R429" i="3"/>
  <c r="S429" i="3" s="1"/>
  <c r="R620" i="3"/>
  <c r="S620" i="3" s="1"/>
  <c r="R183" i="3"/>
  <c r="S183" i="3" s="1"/>
  <c r="R104" i="3"/>
  <c r="S104" i="3" s="1"/>
  <c r="R666" i="3"/>
  <c r="S666" i="3" s="1"/>
  <c r="R34" i="3"/>
  <c r="S34" i="3" s="1"/>
  <c r="R660" i="3"/>
  <c r="S660" i="3" s="1"/>
  <c r="R519" i="3"/>
  <c r="S519" i="3" s="1"/>
  <c r="R520" i="3"/>
  <c r="S520" i="3" s="1"/>
  <c r="R598" i="3"/>
  <c r="S598" i="3" s="1"/>
  <c r="R466" i="3"/>
  <c r="S466" i="3" s="1"/>
  <c r="R678" i="3"/>
  <c r="S678" i="3" s="1"/>
  <c r="R683" i="3"/>
  <c r="S683" i="3" s="1"/>
  <c r="R106" i="3"/>
  <c r="S106" i="3" s="1"/>
  <c r="R26" i="3"/>
  <c r="S26" i="3" s="1"/>
  <c r="R719" i="3"/>
  <c r="S719" i="3" s="1"/>
  <c r="R563" i="3"/>
  <c r="S563" i="3" s="1"/>
  <c r="R504" i="3"/>
  <c r="S504" i="3" s="1"/>
  <c r="R720" i="3"/>
  <c r="S720" i="3" s="1"/>
  <c r="R620" i="2"/>
  <c r="S620" i="2" s="1"/>
  <c r="R452" i="2"/>
  <c r="S452" i="2" s="1"/>
  <c r="R57" i="2"/>
  <c r="S57" i="2" s="1"/>
  <c r="R682" i="3"/>
  <c r="S682" i="3" s="1"/>
  <c r="R456" i="3"/>
  <c r="S456" i="3" s="1"/>
  <c r="R740" i="3"/>
  <c r="S740" i="3" s="1"/>
  <c r="R746" i="3"/>
  <c r="S746" i="3" s="1"/>
  <c r="R607" i="3"/>
  <c r="S607" i="3" s="1"/>
  <c r="R426" i="3"/>
  <c r="S426" i="3" s="1"/>
  <c r="R434" i="3"/>
  <c r="S434" i="3" s="1"/>
  <c r="R486" i="3"/>
  <c r="S486" i="3" s="1"/>
  <c r="R400" i="3"/>
  <c r="S400" i="3" s="1"/>
  <c r="R748" i="3"/>
  <c r="S748" i="3" s="1"/>
  <c r="R67" i="3"/>
  <c r="S67" i="3" s="1"/>
  <c r="R690" i="3"/>
  <c r="S690" i="3" s="1"/>
  <c r="R195" i="3"/>
  <c r="S195" i="3" s="1"/>
  <c r="R134" i="3"/>
  <c r="S134" i="3" s="1"/>
  <c r="R346" i="3"/>
  <c r="S346" i="3" s="1"/>
  <c r="R76" i="3"/>
  <c r="S76" i="3" s="1"/>
  <c r="R695" i="3"/>
  <c r="S695" i="3" s="1"/>
  <c r="R489" i="3"/>
  <c r="S489" i="3" s="1"/>
  <c r="R144" i="3"/>
  <c r="S144" i="3" s="1"/>
  <c r="R564" i="3"/>
  <c r="S564" i="3" s="1"/>
  <c r="R706" i="3"/>
  <c r="S706" i="3" s="1"/>
  <c r="R489" i="2"/>
  <c r="S489" i="2" s="1"/>
  <c r="R222" i="3"/>
  <c r="S222" i="3" s="1"/>
  <c r="R691" i="3"/>
  <c r="S691" i="3" s="1"/>
  <c r="R221" i="3"/>
  <c r="S221" i="3" s="1"/>
  <c r="R688" i="3"/>
  <c r="S688" i="3" s="1"/>
  <c r="R758" i="3"/>
  <c r="S758" i="3" s="1"/>
  <c r="R246" i="3"/>
  <c r="S246" i="3" s="1"/>
  <c r="R362" i="3"/>
  <c r="S362" i="3" s="1"/>
  <c r="R643" i="3"/>
  <c r="S643" i="3" s="1"/>
  <c r="R644" i="3"/>
  <c r="S644" i="3" s="1"/>
  <c r="R784" i="3"/>
  <c r="S784" i="3" s="1"/>
  <c r="R50" i="3"/>
  <c r="S50" i="3" s="1"/>
  <c r="R288" i="3"/>
  <c r="S288" i="3" s="1"/>
  <c r="R567" i="3"/>
  <c r="S567" i="3" s="1"/>
  <c r="R290" i="3"/>
  <c r="S290" i="3" s="1"/>
  <c r="R115" i="3"/>
  <c r="S115" i="3" s="1"/>
  <c r="R325" i="3"/>
  <c r="S325" i="3" s="1"/>
  <c r="R376" i="3"/>
  <c r="S376" i="3" s="1"/>
  <c r="R361" i="3"/>
  <c r="S361" i="3" s="1"/>
  <c r="R286" i="3"/>
  <c r="S286" i="3" s="1"/>
  <c r="R42" i="3"/>
  <c r="S42" i="3" s="1"/>
  <c r="R485" i="3"/>
  <c r="S485" i="3" s="1"/>
  <c r="R787" i="3"/>
  <c r="S787" i="3" s="1"/>
  <c r="R398" i="3"/>
  <c r="S398" i="3" s="1"/>
  <c r="R619" i="3"/>
  <c r="S619" i="3" s="1"/>
  <c r="R101" i="3"/>
  <c r="S101" i="3" s="1"/>
  <c r="R421" i="3"/>
  <c r="S421" i="3" s="1"/>
  <c r="R657" i="3"/>
  <c r="S657" i="3" s="1"/>
  <c r="R124" i="3"/>
  <c r="S124" i="3" s="1"/>
  <c r="R534" i="3"/>
  <c r="S534" i="3" s="1"/>
  <c r="R757" i="3"/>
  <c r="S757" i="3" s="1"/>
  <c r="R247" i="2"/>
  <c r="S247" i="2" s="1"/>
  <c r="R478" i="2"/>
  <c r="S478" i="2" s="1"/>
  <c r="R246" i="2"/>
  <c r="S246" i="2" s="1"/>
  <c r="R196" i="3"/>
  <c r="S196" i="3" s="1"/>
  <c r="R109" i="3"/>
  <c r="S109" i="3" s="1"/>
  <c r="R158" i="3"/>
  <c r="S158" i="3" s="1"/>
  <c r="R33" i="2"/>
  <c r="S33" i="2" s="1"/>
  <c r="R32" i="2"/>
  <c r="S32" i="2" s="1"/>
  <c r="R275" i="3"/>
  <c r="S275" i="3" s="1"/>
  <c r="R388" i="3"/>
  <c r="S388" i="3" s="1"/>
  <c r="R358" i="3"/>
  <c r="S358" i="3" s="1"/>
  <c r="R399" i="3"/>
  <c r="S399" i="3" s="1"/>
  <c r="R639" i="3"/>
  <c r="S639" i="3" s="1"/>
  <c r="R572" i="3"/>
  <c r="S572" i="3" s="1"/>
  <c r="R637" i="3"/>
  <c r="S637" i="3" s="1"/>
  <c r="R636" i="3"/>
  <c r="S636" i="3" s="1"/>
  <c r="R58" i="3"/>
  <c r="S58" i="3" s="1"/>
  <c r="R245" i="3"/>
  <c r="S245" i="3" s="1"/>
  <c r="R789" i="3"/>
  <c r="S789" i="3" s="1"/>
  <c r="R108" i="3"/>
  <c r="S108" i="3" s="1"/>
  <c r="R287" i="3"/>
  <c r="S287" i="3" s="1"/>
  <c r="R450" i="3"/>
  <c r="S450" i="3" s="1"/>
  <c r="R225" i="2"/>
  <c r="S225" i="2" s="1"/>
  <c r="R663" i="2"/>
  <c r="S663" i="2" s="1"/>
  <c r="R293" i="2"/>
  <c r="S293" i="2" s="1"/>
  <c r="R226" i="2"/>
  <c r="S226" i="2" s="1"/>
  <c r="R664" i="2"/>
  <c r="S664" i="2" s="1"/>
  <c r="R670" i="2"/>
  <c r="S670" i="2" s="1"/>
  <c r="R670" i="3"/>
  <c r="S670" i="3" s="1"/>
  <c r="R242" i="3"/>
  <c r="S242" i="3" s="1"/>
  <c r="R200" i="2"/>
  <c r="S200" i="2" s="1"/>
  <c r="R673" i="3"/>
  <c r="S673" i="3" s="1"/>
  <c r="R110" i="3"/>
  <c r="S110" i="3" s="1"/>
  <c r="R647" i="3"/>
  <c r="S647" i="3" s="1"/>
  <c r="R241" i="3"/>
  <c r="S241" i="3" s="1"/>
  <c r="R168" i="3"/>
  <c r="S168" i="3" s="1"/>
  <c r="R73" i="3"/>
  <c r="S73" i="3" s="1"/>
  <c r="R586" i="3"/>
  <c r="S586" i="3" s="1"/>
  <c r="R395" i="3"/>
  <c r="S395" i="3" s="1"/>
  <c r="R263" i="3"/>
  <c r="S263" i="3" s="1"/>
  <c r="R167" i="3"/>
  <c r="S167" i="3" s="1"/>
  <c r="R552" i="3"/>
  <c r="S552" i="3" s="1"/>
  <c r="R560" i="3"/>
  <c r="S560" i="3" s="1"/>
  <c r="R159" i="3"/>
  <c r="S159" i="3" s="1"/>
  <c r="AC34" i="2"/>
  <c r="AC36" i="2" s="1"/>
  <c r="AC40" i="2" s="1"/>
  <c r="AG24" i="2"/>
  <c r="R608" i="2"/>
  <c r="S608" i="2" s="1"/>
  <c r="R77" i="2"/>
  <c r="S77" i="2" s="1"/>
  <c r="R101" i="2"/>
  <c r="S101" i="2" s="1"/>
  <c r="R751" i="2"/>
  <c r="S751" i="2" s="1"/>
  <c r="R586" i="2"/>
  <c r="S586" i="2" s="1"/>
  <c r="R166" i="2"/>
  <c r="S166" i="2" s="1"/>
  <c r="R90" i="2"/>
  <c r="S90" i="2" s="1"/>
  <c r="R699" i="2"/>
  <c r="S699" i="2" s="1"/>
  <c r="R231" i="2"/>
  <c r="S231" i="2" s="1"/>
  <c r="R711" i="2"/>
  <c r="S711" i="2" s="1"/>
  <c r="R100" i="2"/>
  <c r="S100" i="2" s="1"/>
  <c r="R142" i="2"/>
  <c r="S142" i="2" s="1"/>
  <c r="R393" i="2"/>
  <c r="S393" i="2" s="1"/>
  <c r="R749" i="2"/>
  <c r="S749" i="2" s="1"/>
  <c r="R611" i="2"/>
  <c r="S611" i="2" s="1"/>
  <c r="R509" i="2"/>
  <c r="S509" i="2" s="1"/>
  <c r="R553" i="2"/>
  <c r="S553" i="2" s="1"/>
  <c r="R718" i="2"/>
  <c r="S718" i="2" s="1"/>
  <c r="R577" i="2"/>
  <c r="S577" i="2" s="1"/>
  <c r="R51" i="2"/>
  <c r="S51" i="2" s="1"/>
  <c r="R69" i="2"/>
  <c r="S69" i="2" s="1"/>
  <c r="R176" i="2"/>
  <c r="S176" i="2" s="1"/>
  <c r="R513" i="2"/>
  <c r="S513" i="2" s="1"/>
  <c r="R53" i="2"/>
  <c r="S53" i="2" s="1"/>
  <c r="R371" i="2"/>
  <c r="S371" i="2" s="1"/>
  <c r="R424" i="2"/>
  <c r="S424" i="2" s="1"/>
  <c r="R464" i="2"/>
  <c r="S464" i="2" s="1"/>
  <c r="R330" i="2"/>
  <c r="S330" i="2" s="1"/>
  <c r="R463" i="2"/>
  <c r="S463" i="2" s="1"/>
  <c r="R104" i="2"/>
  <c r="S104" i="2" s="1"/>
  <c r="R39" i="2"/>
  <c r="S39" i="2" s="1"/>
  <c r="R160" i="2"/>
  <c r="S160" i="2" s="1"/>
  <c r="R486" i="2"/>
  <c r="S486" i="2" s="1"/>
  <c r="R408" i="2"/>
  <c r="S408" i="2" s="1"/>
  <c r="R301" i="2"/>
  <c r="S301" i="2" s="1"/>
  <c r="R787" i="2"/>
  <c r="S787" i="2" s="1"/>
  <c r="R244" i="2"/>
  <c r="S244" i="2" s="1"/>
  <c r="R625" i="2"/>
  <c r="S625" i="2" s="1"/>
  <c r="R574" i="2"/>
  <c r="S574" i="2" s="1"/>
  <c r="R400" i="2"/>
  <c r="S400" i="2" s="1"/>
  <c r="R538" i="2"/>
  <c r="S538" i="2" s="1"/>
  <c r="R638" i="2"/>
  <c r="S638" i="2" s="1"/>
  <c r="R40" i="2"/>
  <c r="S40" i="2" s="1"/>
  <c r="R96" i="2"/>
  <c r="S96" i="2" s="1"/>
  <c r="R133" i="2"/>
  <c r="S133" i="2" s="1"/>
  <c r="R349" i="2"/>
  <c r="S349" i="2" s="1"/>
  <c r="R183" i="2"/>
  <c r="S183" i="2" s="1"/>
  <c r="R761" i="2"/>
  <c r="S761" i="2" s="1"/>
  <c r="R298" i="2"/>
  <c r="S298" i="2" s="1"/>
  <c r="R252" i="2"/>
  <c r="S252" i="2" s="1"/>
  <c r="R401" i="2"/>
  <c r="S401" i="2" s="1"/>
  <c r="R499" i="2"/>
  <c r="S499" i="2" s="1"/>
  <c r="R383" i="2"/>
  <c r="S383" i="2" s="1"/>
  <c r="R89" i="2"/>
  <c r="S89" i="2" s="1"/>
  <c r="R119" i="2"/>
  <c r="S119" i="2" s="1"/>
  <c r="R91" i="2"/>
  <c r="S91" i="2" s="1"/>
  <c r="R267" i="2"/>
  <c r="S267" i="2" s="1"/>
  <c r="R186" i="2"/>
  <c r="S186" i="2" s="1"/>
  <c r="R271" i="2"/>
  <c r="S271" i="2" s="1"/>
  <c r="R690" i="2"/>
  <c r="S690" i="2" s="1"/>
  <c r="R589" i="2"/>
  <c r="S589" i="2" s="1"/>
  <c r="R624" i="2"/>
  <c r="S624" i="2" s="1"/>
  <c r="R409" i="2"/>
  <c r="S409" i="2" s="1"/>
  <c r="R754" i="2"/>
  <c r="S754" i="2" s="1"/>
  <c r="R502" i="2"/>
  <c r="S502" i="2" s="1"/>
  <c r="R676" i="2"/>
  <c r="S676" i="2" s="1"/>
  <c r="R442" i="2"/>
  <c r="S442" i="2" s="1"/>
  <c r="R655" i="2"/>
  <c r="S655" i="2" s="1"/>
  <c r="R196" i="2"/>
  <c r="S196" i="2" s="1"/>
  <c r="R545" i="2"/>
  <c r="S545" i="2" s="1"/>
  <c r="R76" i="2"/>
  <c r="S76" i="2" s="1"/>
  <c r="R775" i="2"/>
  <c r="S775" i="2" s="1"/>
  <c r="R440" i="2"/>
  <c r="S440" i="2" s="1"/>
  <c r="R118" i="2"/>
  <c r="S118" i="2" s="1"/>
  <c r="R518" i="2"/>
  <c r="S518" i="2" s="1"/>
  <c r="R471" i="2"/>
  <c r="S471" i="2" s="1"/>
  <c r="R724" i="2"/>
  <c r="S724" i="2" s="1"/>
  <c r="R14" i="2"/>
  <c r="S14" i="2" s="1"/>
  <c r="R789" i="2"/>
  <c r="S789" i="2" s="1"/>
  <c r="R198" i="2"/>
  <c r="S198" i="2" s="1"/>
  <c r="R702" i="2"/>
  <c r="S702" i="2" s="1"/>
  <c r="R162" i="2"/>
  <c r="S162" i="2" s="1"/>
  <c r="R165" i="2"/>
  <c r="S165" i="2" s="1"/>
  <c r="R584" i="2"/>
  <c r="S584" i="2" s="1"/>
  <c r="R715" i="2"/>
  <c r="S715" i="2" s="1"/>
  <c r="R716" i="2"/>
  <c r="S716" i="2" s="1"/>
  <c r="R251" i="2"/>
  <c r="S251" i="2" s="1"/>
  <c r="R609" i="2"/>
  <c r="S609" i="2" s="1"/>
  <c r="R210" i="2"/>
  <c r="S210" i="2" s="1"/>
  <c r="R281" i="2"/>
  <c r="S281" i="2" s="1"/>
  <c r="R35" i="2"/>
  <c r="S35" i="2" s="1"/>
  <c r="R249" i="2"/>
  <c r="S249" i="2" s="1"/>
  <c r="R137" i="2"/>
  <c r="S137" i="2" s="1"/>
  <c r="R522" i="2"/>
  <c r="S522" i="2" s="1"/>
  <c r="R407" i="2"/>
  <c r="S407" i="2" s="1"/>
  <c r="R111" i="2"/>
  <c r="S111" i="2" s="1"/>
  <c r="R172" i="2"/>
  <c r="S172" i="2" s="1"/>
  <c r="R361" i="2"/>
  <c r="S361" i="2" s="1"/>
  <c r="R312" i="2"/>
  <c r="S312" i="2" s="1"/>
  <c r="R219" i="2"/>
  <c r="S219" i="2" s="1"/>
  <c r="R154" i="2"/>
  <c r="S154" i="2" s="1"/>
  <c r="R223" i="2"/>
  <c r="S223" i="2" s="1"/>
  <c r="R728" i="2"/>
  <c r="S728" i="2" s="1"/>
  <c r="R212" i="2"/>
  <c r="S212" i="2" s="1"/>
  <c r="R123" i="2"/>
  <c r="S123" i="2" s="1"/>
  <c r="R102" i="2"/>
  <c r="S102" i="2" s="1"/>
  <c r="R701" i="2"/>
  <c r="S701" i="2" s="1"/>
  <c r="R374" i="2"/>
  <c r="S374" i="2" s="1"/>
  <c r="R366" i="2"/>
  <c r="S366" i="2" s="1"/>
  <c r="R342" i="2"/>
  <c r="S342" i="2" s="1"/>
  <c r="R741" i="2"/>
  <c r="S741" i="2" s="1"/>
  <c r="R742" i="2"/>
  <c r="S742" i="2" s="1"/>
  <c r="R389" i="2"/>
  <c r="S389" i="2" s="1"/>
  <c r="R793" i="2"/>
  <c r="S793" i="2" s="1"/>
  <c r="R710" i="2"/>
  <c r="S710" i="2" s="1"/>
  <c r="R265" i="2"/>
  <c r="S265" i="2" s="1"/>
  <c r="R373" i="2"/>
  <c r="S373" i="2" s="1"/>
  <c r="R24" i="2"/>
  <c r="S24" i="2" s="1"/>
  <c r="R22" i="2"/>
  <c r="S22" i="2" s="1"/>
  <c r="R537" i="2"/>
  <c r="S537" i="2" s="1"/>
  <c r="R135" i="2"/>
  <c r="S135" i="2" s="1"/>
  <c r="R631" i="2"/>
  <c r="S631" i="2" s="1"/>
  <c r="R734" i="2"/>
  <c r="S734" i="2" s="1"/>
  <c r="R423" i="2"/>
  <c r="S423" i="2" s="1"/>
  <c r="R629" i="2"/>
  <c r="S629" i="2" s="1"/>
  <c r="R752" i="2"/>
  <c r="S752" i="2" s="1"/>
  <c r="R526" i="2"/>
  <c r="S526" i="2" s="1"/>
  <c r="R399" i="2"/>
  <c r="S399" i="2" s="1"/>
  <c r="R566" i="2"/>
  <c r="S566" i="2" s="1"/>
  <c r="R650" i="2"/>
  <c r="S650" i="2" s="1"/>
  <c r="R436" i="2"/>
  <c r="S436" i="2" s="1"/>
  <c r="R639" i="2"/>
  <c r="S639" i="2" s="1"/>
  <c r="R315" i="2"/>
  <c r="S315" i="2" s="1"/>
  <c r="R277" i="2"/>
  <c r="S277" i="2" s="1"/>
  <c r="R242" i="2"/>
  <c r="S242" i="2" s="1"/>
  <c r="R726" i="2"/>
  <c r="S726" i="2" s="1"/>
  <c r="R595" i="2"/>
  <c r="S595" i="2" s="1"/>
  <c r="R681" i="2"/>
  <c r="S681" i="2" s="1"/>
  <c r="R131" i="2"/>
  <c r="S131" i="2" s="1"/>
  <c r="R323" i="2"/>
  <c r="S323" i="2" s="1"/>
  <c r="R514" i="2"/>
  <c r="S514" i="2" s="1"/>
  <c r="R729" i="2"/>
  <c r="S729" i="2" s="1"/>
  <c r="R759" i="2"/>
  <c r="S759" i="2" s="1"/>
  <c r="R784" i="2"/>
  <c r="S784" i="2" s="1"/>
  <c r="R605" i="2"/>
  <c r="S605" i="2" s="1"/>
  <c r="R756" i="2"/>
  <c r="S756" i="2" s="1"/>
  <c r="R688" i="2"/>
  <c r="S688" i="2" s="1"/>
  <c r="R289" i="2"/>
  <c r="S289" i="2" s="1"/>
  <c r="R708" i="2"/>
  <c r="S708" i="2" s="1"/>
  <c r="R769" i="2"/>
  <c r="S769" i="2" s="1"/>
  <c r="R336" i="2"/>
  <c r="S336" i="2" s="1"/>
  <c r="R470" i="2"/>
  <c r="S470" i="2" s="1"/>
  <c r="R521" i="2"/>
  <c r="S521" i="2" s="1"/>
  <c r="R434" i="2"/>
  <c r="S434" i="2" s="1"/>
  <c r="R279" i="2"/>
  <c r="S279" i="2" s="1"/>
  <c r="R505" i="2"/>
  <c r="S505" i="2" s="1"/>
  <c r="R497" i="2"/>
  <c r="S497" i="2" s="1"/>
  <c r="R377" i="2"/>
  <c r="S377" i="2" s="1"/>
  <c r="R568" i="2"/>
  <c r="S568" i="2" s="1"/>
  <c r="R348" i="2"/>
  <c r="S348" i="2" s="1"/>
  <c r="R660" i="2"/>
  <c r="S660" i="2" s="1"/>
  <c r="R480" i="2"/>
  <c r="S480" i="2" s="1"/>
  <c r="R662" i="2"/>
  <c r="S662" i="2" s="1"/>
  <c r="R168" i="2"/>
  <c r="S168" i="2" s="1"/>
  <c r="R444" i="2"/>
  <c r="S444" i="2" s="1"/>
  <c r="R228" i="2"/>
  <c r="S228" i="2" s="1"/>
  <c r="R240" i="2"/>
  <c r="S240" i="2" s="1"/>
  <c r="R535" i="2"/>
  <c r="S535" i="2" s="1"/>
  <c r="R646" i="2"/>
  <c r="S646" i="2" s="1"/>
  <c r="R146" i="2"/>
  <c r="S146" i="2" s="1"/>
  <c r="R543" i="2"/>
  <c r="S543" i="2" s="1"/>
  <c r="R256" i="2"/>
  <c r="S256" i="2" s="1"/>
  <c r="R52" i="2"/>
  <c r="S52" i="2" s="1"/>
  <c r="R139" i="2"/>
  <c r="S139" i="2" s="1"/>
  <c r="R485" i="2"/>
  <c r="S485" i="2" s="1"/>
  <c r="R106" i="2"/>
  <c r="S106" i="2" s="1"/>
  <c r="R78" i="2"/>
  <c r="S78" i="2" s="1"/>
  <c r="R268" i="2"/>
  <c r="S268" i="2" s="1"/>
  <c r="R112" i="2"/>
  <c r="S112" i="2" s="1"/>
  <c r="R570" i="2"/>
  <c r="S570" i="2" s="1"/>
  <c r="R19" i="2"/>
  <c r="S19" i="2" s="1"/>
  <c r="R87" i="2"/>
  <c r="S87" i="2" s="1"/>
  <c r="R503" i="2"/>
  <c r="S503" i="2" s="1"/>
  <c r="R382" i="2"/>
  <c r="S382" i="2" s="1"/>
  <c r="R633" i="2"/>
  <c r="S633" i="2" s="1"/>
  <c r="R79" i="2"/>
  <c r="S79" i="2" s="1"/>
  <c r="R20" i="2"/>
  <c r="S20" i="2" s="1"/>
  <c r="R177" i="2"/>
  <c r="S177" i="2" s="1"/>
  <c r="R498" i="2"/>
  <c r="S498" i="2" s="1"/>
  <c r="R441" i="2"/>
  <c r="S441" i="2" s="1"/>
  <c r="R695" i="2"/>
  <c r="S695" i="2" s="1"/>
  <c r="R319" i="2"/>
  <c r="S319" i="2" s="1"/>
  <c r="R38" i="2"/>
  <c r="S38" i="2" s="1"/>
  <c r="R587" i="2"/>
  <c r="S587" i="2" s="1"/>
  <c r="R632" i="2"/>
  <c r="S632" i="2" s="1"/>
  <c r="R659" i="2"/>
  <c r="S659" i="2" s="1"/>
  <c r="R261" i="2"/>
  <c r="S261" i="2" s="1"/>
  <c r="R7" i="2"/>
  <c r="S7" i="2" s="1"/>
  <c r="R532" i="2"/>
  <c r="S532" i="2" s="1"/>
  <c r="R762" i="2"/>
  <c r="S762" i="2" s="1"/>
  <c r="R369" i="2"/>
  <c r="S369" i="2" s="1"/>
  <c r="R600" i="2"/>
  <c r="S600" i="2" s="1"/>
  <c r="R694" i="2"/>
  <c r="S694" i="2" s="1"/>
  <c r="R642" i="2"/>
  <c r="S642" i="2" s="1"/>
  <c r="R229" i="2"/>
  <c r="S229" i="2" s="1"/>
  <c r="R647" i="2"/>
  <c r="S647" i="2" s="1"/>
  <c r="R669" i="2"/>
  <c r="S669" i="2" s="1"/>
  <c r="R270" i="2"/>
  <c r="S270" i="2" s="1"/>
  <c r="R428" i="2"/>
  <c r="S428" i="2" s="1"/>
  <c r="R92" i="2"/>
  <c r="S92" i="2" s="1"/>
  <c r="R215" i="2"/>
  <c r="S215" i="2" s="1"/>
  <c r="R138" i="2"/>
  <c r="S138" i="2" s="1"/>
  <c r="R573" i="2"/>
  <c r="S573" i="2" s="1"/>
  <c r="R47" i="2"/>
  <c r="S47" i="2" s="1"/>
  <c r="R358" i="2"/>
  <c r="S358" i="2" s="1"/>
  <c r="R487" i="2"/>
  <c r="S487" i="2" s="1"/>
  <c r="R56" i="2"/>
  <c r="S56" i="2" s="1"/>
  <c r="R321" i="2"/>
  <c r="S321" i="2" s="1"/>
  <c r="R652" i="2"/>
  <c r="S652" i="2" s="1"/>
  <c r="R318" i="2"/>
  <c r="S318" i="2" s="1"/>
  <c r="R386" i="2"/>
  <c r="S386" i="2" s="1"/>
  <c r="R122" i="2"/>
  <c r="S122" i="2" s="1"/>
  <c r="R140" i="2"/>
  <c r="S140" i="2" s="1"/>
  <c r="R30" i="2"/>
  <c r="S30" i="2" s="1"/>
  <c r="R778" i="2"/>
  <c r="S778" i="2" s="1"/>
  <c r="R363" i="2"/>
  <c r="S363" i="2" s="1"/>
  <c r="R238" i="2"/>
  <c r="S238" i="2" s="1"/>
  <c r="R203" i="2"/>
  <c r="S203" i="2" s="1"/>
  <c r="R592" i="2"/>
  <c r="S592" i="2" s="1"/>
  <c r="R748" i="2"/>
  <c r="S748" i="2" s="1"/>
  <c r="R387" i="2"/>
  <c r="S387" i="2" s="1"/>
  <c r="R635" i="2"/>
  <c r="S635" i="2" s="1"/>
  <c r="R194" i="2"/>
  <c r="S194" i="2" s="1"/>
  <c r="R712" i="2"/>
  <c r="S712" i="2" s="1"/>
  <c r="R120" i="2"/>
  <c r="S120" i="2" s="1"/>
  <c r="R157" i="2"/>
  <c r="S157" i="2" s="1"/>
  <c r="AC47" i="5"/>
  <c r="AC50" i="5" s="1"/>
  <c r="AC35" i="5"/>
  <c r="AC38" i="5" s="1"/>
  <c r="AC36" i="5"/>
  <c r="AC33" i="5"/>
  <c r="AC49" i="5"/>
  <c r="AC48" i="5"/>
  <c r="AC45" i="5"/>
  <c r="AC37" i="5"/>
  <c r="AC49" i="2"/>
  <c r="AC53" i="2"/>
  <c r="BD24" i="2" s="1"/>
  <c r="AC38" i="2"/>
  <c r="AU24" i="2" s="1"/>
  <c r="R563" i="2"/>
  <c r="S563" i="2" s="1"/>
  <c r="R562" i="2"/>
  <c r="S562" i="2" s="1"/>
  <c r="R491" i="2"/>
  <c r="S491" i="2" s="1"/>
  <c r="R490" i="2"/>
  <c r="S490" i="2" s="1"/>
  <c r="R696" i="2"/>
  <c r="S696" i="2" s="1"/>
  <c r="R697" i="2"/>
  <c r="S697" i="2" s="1"/>
  <c r="R273" i="2"/>
  <c r="S273" i="2" s="1"/>
  <c r="R272" i="2"/>
  <c r="S272" i="2" s="1"/>
  <c r="R16" i="2"/>
  <c r="S16" i="2" s="1"/>
  <c r="R50" i="2"/>
  <c r="S50" i="2" s="1"/>
  <c r="R304" i="2"/>
  <c r="S304" i="2" s="1"/>
  <c r="R585" i="2"/>
  <c r="S585" i="2" s="1"/>
  <c r="R426" i="2"/>
  <c r="S426" i="2" s="1"/>
  <c r="R338" i="2"/>
  <c r="S338" i="2" s="1"/>
  <c r="R731" i="2"/>
  <c r="S731" i="2" s="1"/>
  <c r="R698" i="2"/>
  <c r="S698" i="2" s="1"/>
  <c r="R314" i="2"/>
  <c r="S314" i="2" s="1"/>
  <c r="R303" i="2"/>
  <c r="S303" i="2" s="1"/>
  <c r="R544" i="2"/>
  <c r="S544" i="2" s="1"/>
  <c r="R255" i="2"/>
  <c r="S255" i="2" s="1"/>
  <c r="R743" i="2"/>
  <c r="S743" i="2" s="1"/>
  <c r="R62" i="2"/>
  <c r="S62" i="2" s="1"/>
  <c r="R512" i="2"/>
  <c r="S512" i="2" s="1"/>
  <c r="R531" i="2"/>
  <c r="S531" i="2" s="1"/>
  <c r="R785" i="2"/>
  <c r="S785" i="2" s="1"/>
  <c r="R504" i="2"/>
  <c r="S504" i="2" s="1"/>
  <c r="R607" i="2"/>
  <c r="S607" i="2" s="1"/>
  <c r="R300" i="2"/>
  <c r="S300" i="2" s="1"/>
  <c r="R85" i="2"/>
  <c r="S85" i="2" s="1"/>
  <c r="R218" i="2"/>
  <c r="S218" i="2" s="1"/>
  <c r="R654" i="2"/>
  <c r="S654" i="2" s="1"/>
  <c r="R737" i="2"/>
  <c r="S737" i="2" s="1"/>
  <c r="R524" i="2"/>
  <c r="S524" i="2" s="1"/>
  <c r="R188" i="2"/>
  <c r="S188" i="2" s="1"/>
  <c r="R549" i="2"/>
  <c r="S549" i="2" s="1"/>
  <c r="R201" i="2"/>
  <c r="S201" i="2" s="1"/>
  <c r="R390" i="2"/>
  <c r="S390" i="2" s="1"/>
  <c r="R560" i="2"/>
  <c r="S560" i="2" s="1"/>
  <c r="R128" i="2"/>
  <c r="S128" i="2" s="1"/>
  <c r="R41" i="2"/>
  <c r="S41" i="2" s="1"/>
  <c r="R310" i="2"/>
  <c r="S310" i="2" s="1"/>
  <c r="R459" i="2"/>
  <c r="S459" i="2" s="1"/>
  <c r="R360" i="2"/>
  <c r="S360" i="2" s="1"/>
  <c r="R416" i="2"/>
  <c r="S416" i="2" s="1"/>
  <c r="R667" i="2"/>
  <c r="S667" i="2" s="1"/>
  <c r="R656" i="2"/>
  <c r="S656" i="2" s="1"/>
  <c r="R305" i="2"/>
  <c r="S305" i="2" s="1"/>
  <c r="R774" i="2"/>
  <c r="S774" i="2" s="1"/>
  <c r="R74" i="2"/>
  <c r="S74" i="2" s="1"/>
  <c r="R49" i="2"/>
  <c r="S49" i="2" s="1"/>
  <c r="R109" i="2"/>
  <c r="S109" i="2" s="1"/>
  <c r="R564" i="2"/>
  <c r="S564" i="2" s="1"/>
  <c r="R107" i="2"/>
  <c r="S107" i="2" s="1"/>
  <c r="R430" i="2"/>
  <c r="S430" i="2" s="1"/>
  <c r="R308" i="2"/>
  <c r="S308" i="2" s="1"/>
  <c r="R105" i="2"/>
  <c r="S105" i="2" s="1"/>
  <c r="R297" i="2"/>
  <c r="S297" i="2" s="1"/>
  <c r="R63" i="2"/>
  <c r="S63" i="2" s="1"/>
  <c r="R234" i="2"/>
  <c r="S234" i="2" s="1"/>
  <c r="R127" i="2"/>
  <c r="S127" i="2" s="1"/>
  <c r="R475" i="2"/>
  <c r="S475" i="2" s="1"/>
  <c r="R209" i="2"/>
  <c r="S209" i="2" s="1"/>
  <c r="R150" i="2"/>
  <c r="S150" i="2" s="1"/>
  <c r="R534" i="2"/>
  <c r="S534" i="2" s="1"/>
  <c r="R693" i="2"/>
  <c r="S693" i="2" s="1"/>
  <c r="R482" i="2"/>
  <c r="S482" i="2" s="1"/>
  <c r="R216" i="2"/>
  <c r="S216" i="2" s="1"/>
  <c r="R324" i="2"/>
  <c r="S324" i="2" s="1"/>
  <c r="R12" i="2"/>
  <c r="S12" i="2" s="1"/>
  <c r="R616" i="2"/>
  <c r="S616" i="2" s="1"/>
  <c r="R432" i="2"/>
  <c r="S432" i="2" s="1"/>
  <c r="R575" i="2"/>
  <c r="S575" i="2" s="1"/>
  <c r="R768" i="2"/>
  <c r="S768" i="2" s="1"/>
  <c r="R97" i="2"/>
  <c r="S97" i="2" s="1"/>
  <c r="R99" i="2"/>
  <c r="S99" i="2" s="1"/>
  <c r="R615" i="2"/>
  <c r="S615" i="2" s="1"/>
  <c r="R291" i="2"/>
  <c r="S291" i="2" s="1"/>
  <c r="R395" i="2"/>
  <c r="S395" i="2" s="1"/>
  <c r="R483" i="2"/>
  <c r="S483" i="2" s="1"/>
  <c r="R184" i="2"/>
  <c r="S184" i="2" s="1"/>
  <c r="R528" i="2"/>
  <c r="S528" i="2" s="1"/>
  <c r="R181" i="2"/>
  <c r="S181" i="2" s="1"/>
  <c r="R758" i="2"/>
  <c r="S758" i="2" s="1"/>
  <c r="R350" i="2"/>
  <c r="S350" i="2" s="1"/>
  <c r="R540" i="2"/>
  <c r="S540" i="2" s="1"/>
  <c r="R60" i="2"/>
  <c r="S60" i="2" s="1"/>
  <c r="R232" i="2"/>
  <c r="S232" i="2" s="1"/>
  <c r="R558" i="2"/>
  <c r="S558" i="2" s="1"/>
  <c r="R258" i="2"/>
  <c r="S258" i="2" s="1"/>
  <c r="R296" i="2"/>
  <c r="S296" i="2" s="1"/>
  <c r="R145" i="2"/>
  <c r="S145" i="2" s="1"/>
  <c r="R66" i="2"/>
  <c r="S66" i="2" s="1"/>
  <c r="R284" i="2"/>
  <c r="S284" i="2" s="1"/>
  <c r="R773" i="2"/>
  <c r="S773" i="2" s="1"/>
  <c r="R658" i="2"/>
  <c r="S658" i="2" s="1"/>
  <c r="R684" i="2"/>
  <c r="S684" i="2" s="1"/>
  <c r="R26" i="2"/>
  <c r="S26" i="2" s="1"/>
  <c r="R65" i="2"/>
  <c r="S65" i="2" s="1"/>
  <c r="R313" i="2"/>
  <c r="S313" i="2" s="1"/>
  <c r="R211" i="2"/>
  <c r="S211" i="2" s="1"/>
  <c r="R757" i="2"/>
  <c r="S757" i="2" s="1"/>
  <c r="R466" i="2"/>
  <c r="S466" i="2" s="1"/>
  <c r="R339" i="2"/>
  <c r="S339" i="2" s="1"/>
  <c r="R257" i="2"/>
  <c r="S257" i="2" s="1"/>
  <c r="R770" i="2"/>
  <c r="S770" i="2" s="1"/>
  <c r="R67" i="2"/>
  <c r="S67" i="2" s="1"/>
  <c r="R260" i="2"/>
  <c r="S260" i="2" s="1"/>
  <c r="R204" i="2"/>
  <c r="S204" i="2" s="1"/>
  <c r="R451" i="2"/>
  <c r="S451" i="2" s="1"/>
  <c r="R417" i="2"/>
  <c r="S417" i="2" s="1"/>
  <c r="R114" i="2"/>
  <c r="S114" i="2" s="1"/>
  <c r="R320" i="2"/>
  <c r="S320" i="2" s="1"/>
  <c r="R571" i="2"/>
  <c r="S571" i="2" s="1"/>
  <c r="R763" i="2"/>
  <c r="S763" i="2" s="1"/>
  <c r="R173" i="2"/>
  <c r="S173" i="2" s="1"/>
  <c r="R283" i="2"/>
  <c r="S283" i="2" s="1"/>
  <c r="R536" i="2"/>
  <c r="S536" i="2" s="1"/>
  <c r="R21" i="2"/>
  <c r="S21" i="2" s="1"/>
  <c r="R569" i="2"/>
  <c r="S569" i="2" s="1"/>
  <c r="R427" i="2"/>
  <c r="S427" i="2" s="1"/>
  <c r="R559" i="2"/>
  <c r="S559" i="2" s="1"/>
  <c r="R95" i="2"/>
  <c r="S95" i="2" s="1"/>
  <c r="R431" i="2"/>
  <c r="S431" i="2" s="1"/>
  <c r="R351" i="2"/>
  <c r="S351" i="2" s="1"/>
  <c r="R36" i="2"/>
  <c r="S36" i="2" s="1"/>
  <c r="R302" i="2"/>
  <c r="S302" i="2" s="1"/>
  <c r="R333" i="2"/>
  <c r="S333" i="2" s="1"/>
  <c r="R404" i="2"/>
  <c r="S404" i="2" s="1"/>
  <c r="R596" i="2"/>
  <c r="S596" i="2" s="1"/>
  <c r="R425" i="2"/>
  <c r="S425" i="2" s="1"/>
  <c r="R259" i="2"/>
  <c r="S259" i="2" s="1"/>
  <c r="R606" i="2"/>
  <c r="S606" i="2" s="1"/>
  <c r="R651" i="2"/>
  <c r="S651" i="2" s="1"/>
  <c r="R750" i="2"/>
  <c r="S750" i="2" s="1"/>
  <c r="R70" i="2"/>
  <c r="S70" i="2" s="1"/>
  <c r="R626" i="2"/>
  <c r="S626" i="2" s="1"/>
  <c r="R732" i="2"/>
  <c r="S732" i="2" s="1"/>
  <c r="R25" i="2"/>
  <c r="S25" i="2" s="1"/>
  <c r="R290" i="2"/>
  <c r="S290" i="2" s="1"/>
  <c r="R337" i="2"/>
  <c r="S337" i="2" s="1"/>
  <c r="R433" i="2"/>
  <c r="S433" i="2" s="1"/>
  <c r="R492" i="2"/>
  <c r="S492" i="2" s="1"/>
  <c r="R86" i="2"/>
  <c r="S86" i="2" s="1"/>
  <c r="R539" i="2"/>
  <c r="S539" i="2" s="1"/>
  <c r="R134" i="2"/>
  <c r="S134" i="2" s="1"/>
  <c r="R88" i="2"/>
  <c r="S88" i="2" s="1"/>
  <c r="R689" i="2"/>
  <c r="S689" i="2" s="1"/>
  <c r="R167" i="2"/>
  <c r="S167" i="2" s="1"/>
  <c r="R243" i="2"/>
  <c r="S243" i="2" s="1"/>
  <c r="R189" i="2"/>
  <c r="S189" i="2" s="1"/>
  <c r="R622" i="2"/>
  <c r="S622" i="2" s="1"/>
  <c r="R73" i="2"/>
  <c r="S73" i="2" s="1"/>
  <c r="R746" i="2"/>
  <c r="S746" i="2" s="1"/>
  <c r="R98" i="2"/>
  <c r="S98" i="2" s="1"/>
  <c r="R458" i="2"/>
  <c r="S458" i="2" s="1"/>
  <c r="R185" i="2"/>
  <c r="S185" i="2" s="1"/>
  <c r="R375" i="2"/>
  <c r="S375" i="2" s="1"/>
  <c r="R523" i="2"/>
  <c r="S523" i="2" s="1"/>
  <c r="R777" i="2"/>
  <c r="S777" i="2" s="1"/>
  <c r="R75" i="2"/>
  <c r="S75" i="2" s="1"/>
  <c r="R180" i="2"/>
  <c r="S180" i="2" s="1"/>
  <c r="R520" i="2"/>
  <c r="S520" i="2" s="1"/>
  <c r="R332" i="2"/>
  <c r="S332" i="2" s="1"/>
  <c r="R233" i="2"/>
  <c r="S233" i="2" s="1"/>
  <c r="R31" i="2"/>
  <c r="S31" i="2" s="1"/>
  <c r="R617" i="2"/>
  <c r="S617" i="2" s="1"/>
  <c r="R691" i="2"/>
  <c r="S691" i="2" s="1"/>
  <c r="R565" i="2"/>
  <c r="S565" i="2" s="1"/>
  <c r="R84" i="2"/>
  <c r="S84" i="2" s="1"/>
  <c r="R235" i="2"/>
  <c r="S235" i="2" s="1"/>
  <c r="R236" i="2"/>
  <c r="S236" i="2" s="1"/>
  <c r="R510" i="2"/>
  <c r="S510" i="2" s="1"/>
  <c r="R511" i="2"/>
  <c r="S511" i="2" s="1"/>
  <c r="R641" i="2"/>
  <c r="S641" i="2" s="1"/>
  <c r="R706" i="2"/>
  <c r="S706" i="2" s="1"/>
  <c r="R705" i="2"/>
  <c r="S705" i="2" s="1"/>
  <c r="R555" i="2"/>
  <c r="S555" i="2" s="1"/>
  <c r="R81" i="2"/>
  <c r="S81" i="2" s="1"/>
  <c r="R82" i="2"/>
  <c r="S82" i="2" s="1"/>
  <c r="R415" i="2"/>
  <c r="S415" i="2" s="1"/>
  <c r="R686" i="2"/>
  <c r="S686" i="2" s="1"/>
  <c r="R159" i="2"/>
  <c r="S159" i="2" s="1"/>
  <c r="R158" i="2"/>
  <c r="S158" i="2" s="1"/>
  <c r="R613" i="2"/>
  <c r="S613" i="2" s="1"/>
  <c r="R614" i="2"/>
  <c r="S614" i="2" s="1"/>
  <c r="R685" i="2"/>
  <c r="S685" i="2" s="1"/>
  <c r="R129" i="2"/>
  <c r="S129" i="2" s="1"/>
  <c r="R550" i="2"/>
  <c r="S550" i="2" s="1"/>
  <c r="R429" i="2"/>
  <c r="S429" i="2" s="1"/>
  <c r="R202" i="2"/>
  <c r="S202" i="2" s="1"/>
  <c r="R48" i="2"/>
  <c r="S48" i="2" s="1"/>
  <c r="R322" i="2"/>
  <c r="S322" i="2" s="1"/>
  <c r="R230" i="2"/>
  <c r="S230" i="2" s="1"/>
  <c r="R307" i="2"/>
  <c r="S307" i="2" s="1"/>
  <c r="R541" i="2"/>
  <c r="S541" i="2" s="1"/>
  <c r="R621" i="2"/>
  <c r="S621" i="2" s="1"/>
  <c r="R207" i="2"/>
  <c r="S207" i="2" s="1"/>
  <c r="R488" i="2"/>
  <c r="S488" i="2" s="1"/>
  <c r="R108" i="2"/>
  <c r="S108" i="2" s="1"/>
  <c r="R576" i="2"/>
  <c r="S576" i="2" s="1"/>
  <c r="R149" i="2"/>
  <c r="S149" i="2" s="1"/>
  <c r="R721" i="2"/>
  <c r="S721" i="2" s="1"/>
  <c r="R126" i="2"/>
  <c r="S126" i="2" s="1"/>
  <c r="R455" i="2"/>
  <c r="S455" i="2" s="1"/>
  <c r="R306" i="2"/>
  <c r="S306" i="2" s="1"/>
  <c r="R357" i="2"/>
  <c r="S357" i="2" s="1"/>
  <c r="R454" i="2"/>
  <c r="S454" i="2" s="1"/>
  <c r="R42" i="2"/>
  <c r="S42" i="2" s="1"/>
  <c r="R391" i="2"/>
  <c r="S391" i="2" s="1"/>
  <c r="R59" i="2"/>
  <c r="S59" i="2" s="1"/>
  <c r="R58" i="2"/>
  <c r="S58" i="2" s="1"/>
  <c r="R508" i="2"/>
  <c r="S508" i="2" s="1"/>
  <c r="R11" i="2"/>
  <c r="S11" i="2" s="1"/>
  <c r="R476" i="2"/>
  <c r="S476" i="2" s="1"/>
  <c r="R507" i="2"/>
  <c r="S507" i="2" s="1"/>
  <c r="R205" i="2"/>
  <c r="S205" i="2" s="1"/>
  <c r="R206" i="2"/>
  <c r="S206" i="2" s="1"/>
  <c r="R420" i="2"/>
  <c r="S420" i="2" s="1"/>
  <c r="R494" i="2"/>
  <c r="S494" i="2" s="1"/>
  <c r="R93" i="2"/>
  <c r="S93" i="2" s="1"/>
  <c r="R164" i="2"/>
  <c r="S164" i="2" s="1"/>
  <c r="R153" i="2"/>
  <c r="S153" i="2" s="1"/>
  <c r="R345" i="2"/>
  <c r="S345" i="2" s="1"/>
  <c r="R714" i="2"/>
  <c r="S714" i="2" s="1"/>
  <c r="R340" i="2"/>
  <c r="S340" i="2" s="1"/>
  <c r="R618" i="2"/>
  <c r="S618" i="2" s="1"/>
  <c r="R744" i="2"/>
  <c r="S744" i="2" s="1"/>
  <c r="R264" i="2"/>
  <c r="S264" i="2" s="1"/>
  <c r="R767" i="2"/>
  <c r="S767" i="2" s="1"/>
  <c r="R627" i="2"/>
  <c r="S627" i="2" s="1"/>
  <c r="R628" i="2"/>
  <c r="S628" i="2" s="1"/>
  <c r="R517" i="2"/>
  <c r="S517" i="2" s="1"/>
  <c r="R683" i="2"/>
  <c r="S683" i="2" s="1"/>
  <c r="R719" i="2"/>
  <c r="S719" i="2" s="1"/>
  <c r="R529" i="2"/>
  <c r="S529" i="2" s="1"/>
  <c r="R791" i="2"/>
  <c r="S791" i="2" s="1"/>
  <c r="R493" i="2"/>
  <c r="S493" i="2" s="1"/>
  <c r="R403" i="2"/>
  <c r="S403" i="2" s="1"/>
  <c r="R124" i="2"/>
  <c r="S124" i="2" s="1"/>
  <c r="R214" i="2"/>
  <c r="S214" i="2" s="1"/>
  <c r="R484" i="2"/>
  <c r="S484" i="2" s="1"/>
  <c r="R479" i="2"/>
  <c r="S479" i="2" s="1"/>
  <c r="R657" i="2"/>
  <c r="S657" i="2" s="1"/>
  <c r="R561" i="2"/>
  <c r="S561" i="2" s="1"/>
  <c r="R328" i="2"/>
  <c r="S328" i="2" s="1"/>
  <c r="R776" i="2"/>
  <c r="S776" i="2" s="1"/>
  <c r="R533" i="2"/>
  <c r="S533" i="2" s="1"/>
  <c r="R359" i="2"/>
  <c r="S359" i="2" s="1"/>
  <c r="R473" i="2"/>
  <c r="S473" i="2" s="1"/>
  <c r="AC45" i="2"/>
  <c r="AY24" i="2" s="1"/>
  <c r="R551" i="2"/>
  <c r="S551" i="2" s="1"/>
  <c r="R368" i="2"/>
  <c r="S368" i="2" s="1"/>
  <c r="R367" i="2"/>
  <c r="S367" i="2" s="1"/>
  <c r="R666" i="2"/>
  <c r="S666" i="2" s="1"/>
  <c r="R665" i="2"/>
  <c r="S665" i="2" s="1"/>
  <c r="R381" i="2"/>
  <c r="S381" i="2" s="1"/>
  <c r="R380" i="2"/>
  <c r="S380" i="2" s="1"/>
  <c r="R269" i="2"/>
  <c r="S269" i="2" s="1"/>
  <c r="R582" i="2"/>
  <c r="S582" i="2" s="1"/>
  <c r="R637" i="2"/>
  <c r="S637" i="2" s="1"/>
  <c r="R636" i="2"/>
  <c r="S636" i="2" s="1"/>
  <c r="R18" i="2"/>
  <c r="S18" i="2" s="1"/>
  <c r="R17" i="2"/>
  <c r="S17" i="2" s="1"/>
  <c r="R788" i="2"/>
  <c r="S788" i="2" s="1"/>
  <c r="R179" i="2"/>
  <c r="S179" i="2" s="1"/>
  <c r="R790" i="2"/>
  <c r="S790" i="2" s="1"/>
  <c r="R481" i="2"/>
  <c r="S481" i="2" s="1"/>
  <c r="R591" i="2"/>
  <c r="S591" i="2" s="1"/>
  <c r="R64" i="2"/>
  <c r="S64" i="2" s="1"/>
  <c r="R396" i="2"/>
  <c r="S396" i="2" s="1"/>
  <c r="R195" i="2"/>
  <c r="S195" i="2" s="1"/>
  <c r="R325" i="2"/>
  <c r="S325" i="2" s="1"/>
  <c r="R295" i="2"/>
  <c r="S295" i="2" s="1"/>
  <c r="R572" i="2"/>
  <c r="S572" i="2" s="1"/>
  <c r="R121" i="2"/>
  <c r="S121" i="2" s="1"/>
  <c r="R554" i="2"/>
  <c r="S554" i="2" s="1"/>
  <c r="R55" i="2"/>
  <c r="S55" i="2" s="1"/>
  <c r="R199" i="2"/>
  <c r="S199" i="2" s="1"/>
  <c r="R648" i="2"/>
  <c r="S648" i="2" s="1"/>
  <c r="R43" i="2"/>
  <c r="S43" i="2" s="1"/>
  <c r="R141" i="2"/>
  <c r="S141" i="2" s="1"/>
  <c r="R601" i="2"/>
  <c r="S601" i="2" s="1"/>
  <c r="R292" i="2"/>
  <c r="S292" i="2" s="1"/>
  <c r="R634" i="2"/>
  <c r="S634" i="2" s="1"/>
  <c r="R311" i="2"/>
  <c r="S311" i="2" s="1"/>
  <c r="R187" i="2"/>
  <c r="S187" i="2" s="1"/>
  <c r="R37" i="2"/>
  <c r="S37" i="2" s="1"/>
  <c r="R392" i="2"/>
  <c r="S392" i="2" s="1"/>
  <c r="R765" i="2"/>
  <c r="S765" i="2" s="1"/>
  <c r="R764" i="2"/>
  <c r="S764" i="2" s="1"/>
  <c r="R644" i="2"/>
  <c r="S644" i="2" s="1"/>
  <c r="R645" i="2"/>
  <c r="S645" i="2" s="1"/>
  <c r="R414" i="2"/>
  <c r="S414" i="2" s="1"/>
  <c r="R413" i="2"/>
  <c r="S413" i="2" s="1"/>
  <c r="R501" i="2"/>
  <c r="S501" i="2" s="1"/>
  <c r="R723" i="2"/>
  <c r="S723" i="2" s="1"/>
  <c r="R44" i="2"/>
  <c r="S44" i="2" s="1"/>
  <c r="R45" i="2"/>
  <c r="S45" i="2" s="1"/>
  <c r="R379" i="2"/>
  <c r="S379" i="2" s="1"/>
  <c r="R378" i="2"/>
  <c r="S378" i="2" s="1"/>
  <c r="R579" i="2"/>
  <c r="S579" i="2" s="1"/>
  <c r="R578" i="2"/>
  <c r="S578" i="2" s="1"/>
  <c r="R406" i="2"/>
  <c r="S406" i="2" s="1"/>
  <c r="R449" i="2"/>
  <c r="S449" i="2" s="1"/>
  <c r="R450" i="2"/>
  <c r="S450" i="2" s="1"/>
  <c r="R583" i="2"/>
  <c r="S583" i="2" s="1"/>
  <c r="R144" i="2"/>
  <c r="S144" i="2" s="1"/>
  <c r="R143" i="2"/>
  <c r="S143" i="2" s="1"/>
  <c r="R286" i="2"/>
  <c r="S286" i="2" s="1"/>
  <c r="R285" i="2"/>
  <c r="S285" i="2" s="1"/>
  <c r="R23" i="2"/>
  <c r="S23" i="2" s="1"/>
  <c r="R356" i="2"/>
  <c r="S356" i="2" s="1"/>
  <c r="R740" i="2"/>
  <c r="S740" i="2" s="1"/>
  <c r="R174" i="2"/>
  <c r="S174" i="2" s="1"/>
  <c r="R175" i="2"/>
  <c r="S175" i="2" s="1"/>
  <c r="R772" i="2"/>
  <c r="S772" i="2" s="1"/>
  <c r="R771" i="2"/>
  <c r="S771" i="2" s="1"/>
  <c r="R766" i="2"/>
  <c r="S766" i="2" s="1"/>
  <c r="R250" i="2"/>
  <c r="S250" i="2" s="1"/>
  <c r="R703" i="2"/>
  <c r="S703" i="2" s="1"/>
  <c r="R735" i="2"/>
  <c r="S735" i="2" s="1"/>
  <c r="R94" i="2"/>
  <c r="S94" i="2" s="1"/>
  <c r="R713" i="2"/>
  <c r="S713" i="2" s="1"/>
  <c r="R547" i="2"/>
  <c r="S547" i="2" s="1"/>
  <c r="R197" i="2"/>
  <c r="S197" i="2" s="1"/>
  <c r="R410" i="2"/>
  <c r="S410" i="2" s="1"/>
  <c r="R103" i="2"/>
  <c r="S103" i="2" s="1"/>
  <c r="R722" i="2"/>
  <c r="S722" i="2" s="1"/>
  <c r="R619" i="2"/>
  <c r="S619" i="2" s="1"/>
  <c r="R567" i="2"/>
  <c r="S567" i="2" s="1"/>
  <c r="R439" i="2"/>
  <c r="S439" i="2" s="1"/>
  <c r="R343" i="2"/>
  <c r="S343" i="2" s="1"/>
  <c r="R709" i="2"/>
  <c r="S709" i="2" s="1"/>
  <c r="R760" i="2"/>
  <c r="S760" i="2" s="1"/>
  <c r="R335" i="2"/>
  <c r="S335" i="2" s="1"/>
  <c r="R125" i="2"/>
  <c r="S125" i="2" s="1"/>
  <c r="R248" i="2"/>
  <c r="S248" i="2" s="1"/>
  <c r="R397" i="2"/>
  <c r="S397" i="2" s="1"/>
  <c r="R422" i="2"/>
  <c r="S422" i="2" s="1"/>
  <c r="R117" i="2"/>
  <c r="S117" i="2" s="1"/>
  <c r="R280" i="2"/>
  <c r="S280" i="2" s="1"/>
  <c r="R355" i="2"/>
  <c r="S355" i="2" s="1"/>
  <c r="R224" i="2"/>
  <c r="S224" i="2" s="1"/>
  <c r="R443" i="2"/>
  <c r="S443" i="2" s="1"/>
  <c r="R130" i="2"/>
  <c r="S130" i="2" s="1"/>
  <c r="R530" i="2"/>
  <c r="S530" i="2" s="1"/>
  <c r="R727" i="2"/>
  <c r="S727" i="2" s="1"/>
  <c r="R364" i="2"/>
  <c r="S364" i="2" s="1"/>
  <c r="R341" i="2"/>
  <c r="S341" i="2" s="1"/>
  <c r="R546" i="2"/>
  <c r="S546" i="2" s="1"/>
  <c r="R720" i="2"/>
  <c r="S720" i="2" s="1"/>
  <c r="R506" i="2"/>
  <c r="S506" i="2" s="1"/>
  <c r="R344" i="2"/>
  <c r="S344" i="2" s="1"/>
  <c r="R282" i="2"/>
  <c r="S282" i="2" s="1"/>
  <c r="R792" i="2"/>
  <c r="S792" i="2" s="1"/>
  <c r="R346" i="2"/>
  <c r="S346" i="2" s="1"/>
  <c r="R110" i="2"/>
  <c r="S110" i="2" s="1"/>
  <c r="R34" i="2"/>
  <c r="S34" i="2" s="1"/>
  <c r="R15" i="2"/>
  <c r="S15" i="2" s="1"/>
  <c r="R161" i="2"/>
  <c r="S161" i="2" s="1"/>
  <c r="R445" i="2"/>
  <c r="S445" i="2" s="1"/>
  <c r="R649" i="2"/>
  <c r="S649" i="2" s="1"/>
  <c r="R239" i="2"/>
  <c r="S239" i="2" s="1"/>
  <c r="R472" i="2"/>
  <c r="S472" i="2" s="1"/>
  <c r="R603" i="2"/>
  <c r="S603" i="2" s="1"/>
  <c r="R640" i="2"/>
  <c r="S640" i="2" s="1"/>
  <c r="R453" i="2"/>
  <c r="S453" i="2" s="1"/>
  <c r="R278" i="2"/>
  <c r="S278" i="2" s="1"/>
  <c r="R725" i="2"/>
  <c r="S725" i="2" s="1"/>
  <c r="R136" i="2"/>
  <c r="S136" i="2" s="1"/>
  <c r="R677" i="2"/>
  <c r="S677" i="2" s="1"/>
  <c r="R630" i="2"/>
  <c r="S630" i="2" s="1"/>
  <c r="R372" i="2"/>
  <c r="S372" i="2" s="1"/>
  <c r="R435" i="2"/>
  <c r="S435" i="2" s="1"/>
  <c r="R316" i="2"/>
  <c r="S316" i="2" s="1"/>
  <c r="R169" i="2"/>
  <c r="S169" i="2" s="1"/>
  <c r="R661" i="2"/>
  <c r="S661" i="2" s="1"/>
  <c r="R682" i="2"/>
  <c r="S682" i="2" s="1"/>
  <c r="R779" i="2"/>
  <c r="S779" i="2" s="1"/>
  <c r="R213" i="2"/>
  <c r="S213" i="2" s="1"/>
  <c r="R190" i="2"/>
  <c r="S190" i="2" s="1"/>
  <c r="R191" i="2"/>
  <c r="S191" i="2" s="1"/>
  <c r="R738" i="2"/>
  <c r="S738" i="2" s="1"/>
  <c r="R556" i="2"/>
  <c r="S556" i="2" s="1"/>
  <c r="R354" i="2"/>
  <c r="S354" i="2" s="1"/>
  <c r="R353" i="2"/>
  <c r="S353" i="2" s="1"/>
  <c r="R680" i="2"/>
  <c r="S680" i="2" s="1"/>
  <c r="R9" i="2"/>
  <c r="S9" i="2" s="1"/>
  <c r="R10" i="2"/>
  <c r="S10" i="2" s="1"/>
  <c r="R679" i="2"/>
  <c r="S679" i="2" s="1"/>
  <c r="R28" i="2"/>
  <c r="S28" i="2" s="1"/>
  <c r="R29" i="2"/>
  <c r="S29" i="2" s="1"/>
  <c r="R653" i="2"/>
  <c r="S653" i="2" s="1"/>
  <c r="R326" i="2"/>
  <c r="S326" i="2" s="1"/>
  <c r="R327" i="2"/>
  <c r="S327" i="2" s="1"/>
  <c r="R447" i="2"/>
  <c r="S447" i="2" s="1"/>
  <c r="R448" i="2"/>
  <c r="S448" i="2" s="1"/>
  <c r="R782" i="2"/>
  <c r="S782" i="2" s="1"/>
  <c r="R156" i="2"/>
  <c r="S156" i="2" s="1"/>
  <c r="R155" i="2"/>
  <c r="S155" i="2" s="1"/>
  <c r="R597" i="2"/>
  <c r="S597" i="2" s="1"/>
  <c r="R598" i="2"/>
  <c r="S598" i="2" s="1"/>
  <c r="R152" i="2"/>
  <c r="S152" i="2" s="1"/>
  <c r="R151" i="2"/>
  <c r="S151" i="2" s="1"/>
  <c r="R668" i="2"/>
  <c r="S668" i="2" s="1"/>
  <c r="R405" i="2"/>
  <c r="S405" i="2" s="1"/>
  <c r="R687" i="2"/>
  <c r="S687" i="2" s="1"/>
  <c r="R222" i="2"/>
  <c r="S222" i="2" s="1"/>
  <c r="R221" i="2"/>
  <c r="S221" i="2" s="1"/>
  <c r="R148" i="2"/>
  <c r="S148" i="2" s="1"/>
  <c r="R46" i="2"/>
  <c r="S46" i="2" s="1"/>
  <c r="R115" i="2"/>
  <c r="S115" i="2" s="1"/>
  <c r="R116" i="2"/>
  <c r="S116" i="2" s="1"/>
  <c r="R500" i="2"/>
  <c r="S500" i="2" s="1"/>
  <c r="R171" i="2"/>
  <c r="S171" i="2" s="1"/>
  <c r="R170" i="2"/>
  <c r="S170" i="2" s="1"/>
  <c r="R384" i="2"/>
  <c r="S384" i="2" s="1"/>
  <c r="R385" i="2"/>
  <c r="S385" i="2" s="1"/>
  <c r="R217" i="2"/>
  <c r="S217" i="2" s="1"/>
  <c r="R83" i="2"/>
  <c r="S83" i="2" s="1"/>
  <c r="R275" i="2"/>
  <c r="S275" i="2" s="1"/>
  <c r="R274" i="2"/>
  <c r="S274" i="2" s="1"/>
  <c r="R707" i="2"/>
  <c r="S707" i="2" s="1"/>
  <c r="R675" i="2"/>
  <c r="S675" i="2" s="1"/>
  <c r="R674" i="2"/>
  <c r="S674" i="2" s="1"/>
  <c r="R317" i="2"/>
  <c r="S317" i="2" s="1"/>
  <c r="R468" i="2"/>
  <c r="S468" i="2" s="1"/>
  <c r="R671" i="2"/>
  <c r="S671" i="2" s="1"/>
  <c r="R672" i="2"/>
  <c r="S672" i="2" s="1"/>
  <c r="R461" i="2"/>
  <c r="S461" i="2" s="1"/>
  <c r="R460" i="2"/>
  <c r="S460" i="2" s="1"/>
  <c r="R496" i="2"/>
  <c r="S496" i="2" s="1"/>
  <c r="R755" i="2"/>
  <c r="S755" i="2" s="1"/>
  <c r="R753" i="2"/>
  <c r="S753" i="2" s="1"/>
  <c r="R71" i="2"/>
  <c r="S71" i="2" s="1"/>
  <c r="R72" i="2"/>
  <c r="S72" i="2" s="1"/>
  <c r="R253" i="2"/>
  <c r="S253" i="2" s="1"/>
  <c r="R254" i="2"/>
  <c r="S254" i="2" s="1"/>
  <c r="R515" i="2"/>
  <c r="S515" i="2" s="1"/>
  <c r="R362" i="2"/>
  <c r="S362" i="2" s="1"/>
  <c r="R594" i="2"/>
  <c r="S594" i="2" s="1"/>
  <c r="R465" i="2"/>
  <c r="S465" i="2" s="1"/>
  <c r="R227" i="2"/>
  <c r="S227" i="2" s="1"/>
  <c r="R163" i="2"/>
  <c r="S163" i="2" s="1"/>
  <c r="R700" i="2"/>
  <c r="S700" i="2" s="1"/>
  <c r="R730" i="2"/>
  <c r="S730" i="2" s="1"/>
  <c r="R610" i="2"/>
  <c r="S610" i="2" s="1"/>
  <c r="R288" i="2"/>
  <c r="S288" i="2" s="1"/>
  <c r="R419" i="2"/>
  <c r="S419" i="2" s="1"/>
  <c r="R388" i="2"/>
  <c r="S388" i="2" s="1"/>
  <c r="R241" i="2"/>
  <c r="S241" i="2" s="1"/>
  <c r="R245" i="2"/>
  <c r="S245" i="2" s="1"/>
  <c r="R527" i="2"/>
  <c r="S527" i="2" s="1"/>
  <c r="R456" i="2"/>
  <c r="S456" i="2" s="1"/>
  <c r="R147" i="2"/>
  <c r="S147" i="2" s="1"/>
  <c r="R438" i="2"/>
  <c r="S438" i="2" s="1"/>
  <c r="R592" i="3"/>
  <c r="S592" i="3" s="1"/>
  <c r="R313" i="3"/>
  <c r="S313" i="3" s="1"/>
  <c r="R729" i="3"/>
  <c r="S729" i="3" s="1"/>
  <c r="R199" i="3"/>
  <c r="S199" i="3" s="1"/>
  <c r="R516" i="2"/>
  <c r="S516" i="2" s="1"/>
  <c r="R588" i="2"/>
  <c r="S588" i="2" s="1"/>
  <c r="R623" i="2"/>
  <c r="S623" i="2" s="1"/>
  <c r="R83" i="3"/>
  <c r="S83" i="3" s="1"/>
  <c r="R100" i="3"/>
  <c r="S100" i="3" s="1"/>
  <c r="R461" i="3"/>
  <c r="S461" i="3" s="1"/>
  <c r="R457" i="2"/>
  <c r="S457" i="2" s="1"/>
  <c r="R249" i="3"/>
  <c r="S249" i="3" s="1"/>
  <c r="R793" i="3"/>
  <c r="S793" i="3" s="1"/>
  <c r="R731" i="3"/>
  <c r="S731" i="3" s="1"/>
  <c r="R82" i="3"/>
  <c r="S82" i="3" s="1"/>
  <c r="R422" i="3"/>
  <c r="S422" i="3" s="1"/>
  <c r="R314" i="3"/>
  <c r="S314" i="3" s="1"/>
  <c r="R374" i="3"/>
  <c r="S374" i="3" s="1"/>
  <c r="R309" i="3"/>
  <c r="S309" i="3" s="1"/>
  <c r="R444" i="3"/>
  <c r="S444" i="3" s="1"/>
  <c r="R267" i="3"/>
  <c r="S267" i="3" s="1"/>
  <c r="R544" i="3"/>
  <c r="S544" i="3" s="1"/>
  <c r="R350" i="3"/>
  <c r="S350" i="3" s="1"/>
  <c r="R767" i="3"/>
  <c r="S767" i="3" s="1"/>
  <c r="R329" i="3"/>
  <c r="S329" i="3" s="1"/>
  <c r="R274" i="3"/>
  <c r="S274" i="3" s="1"/>
  <c r="R209" i="3"/>
  <c r="S209" i="3" s="1"/>
  <c r="R790" i="3"/>
  <c r="S790" i="3" s="1"/>
  <c r="R529" i="3"/>
  <c r="S529" i="3" s="1"/>
  <c r="R125" i="3"/>
  <c r="S125" i="3" s="1"/>
  <c r="R307" i="3"/>
  <c r="S307" i="3" s="1"/>
  <c r="R62" i="3"/>
  <c r="S62" i="3" s="1"/>
  <c r="R281" i="3"/>
  <c r="S281" i="3" s="1"/>
  <c r="R556" i="3"/>
  <c r="S556" i="3" s="1"/>
  <c r="R555" i="3"/>
  <c r="S555" i="3" s="1"/>
  <c r="R612" i="3"/>
  <c r="S612" i="3" s="1"/>
  <c r="R70" i="3"/>
  <c r="S70" i="3" s="1"/>
  <c r="R460" i="3"/>
  <c r="S460" i="3" s="1"/>
  <c r="R31" i="3"/>
  <c r="S31" i="3" s="1"/>
  <c r="R378" i="3"/>
  <c r="S378" i="3" s="1"/>
  <c r="R760" i="3"/>
  <c r="S760" i="3" s="1"/>
  <c r="R590" i="3"/>
  <c r="S590" i="3" s="1"/>
  <c r="R569" i="3"/>
  <c r="S569" i="3" s="1"/>
  <c r="R499" i="3"/>
  <c r="S499" i="3" s="1"/>
  <c r="R163" i="3"/>
  <c r="S163" i="3" s="1"/>
  <c r="R136" i="3"/>
  <c r="S136" i="3" s="1"/>
  <c r="R205" i="3"/>
  <c r="S205" i="3" s="1"/>
  <c r="R49" i="3"/>
  <c r="S49" i="3" s="1"/>
  <c r="R293" i="3"/>
  <c r="S293" i="3" s="1"/>
  <c r="R51" i="3"/>
  <c r="S51" i="3" s="1"/>
  <c r="R753" i="3"/>
  <c r="S753" i="3" s="1"/>
  <c r="R335" i="3"/>
  <c r="S335" i="3" s="1"/>
  <c r="R119" i="3"/>
  <c r="S119" i="3" s="1"/>
  <c r="R774" i="3"/>
  <c r="S774" i="3" s="1"/>
  <c r="R17" i="3"/>
  <c r="S17" i="3" s="1"/>
  <c r="R118" i="3"/>
  <c r="S118" i="3" s="1"/>
  <c r="R294" i="3"/>
  <c r="S294" i="3" s="1"/>
  <c r="R16" i="3"/>
  <c r="S16" i="3" s="1"/>
  <c r="R761" i="3"/>
  <c r="S761" i="3" s="1"/>
  <c r="R300" i="3"/>
  <c r="S300" i="3" s="1"/>
  <c r="R341" i="3"/>
  <c r="S341" i="3" s="1"/>
  <c r="R72" i="3"/>
  <c r="S72" i="3" s="1"/>
  <c r="R449" i="3"/>
  <c r="S449" i="3" s="1"/>
  <c r="R478" i="3"/>
  <c r="S478" i="3" s="1"/>
  <c r="R515" i="3"/>
  <c r="S515" i="3" s="1"/>
  <c r="R186" i="3"/>
  <c r="S186" i="3" s="1"/>
  <c r="R615" i="3"/>
  <c r="S615" i="3" s="1"/>
  <c r="R498" i="3"/>
  <c r="S498" i="3" s="1"/>
  <c r="R319" i="3"/>
  <c r="S319" i="3" s="1"/>
  <c r="R587" i="3"/>
  <c r="S587" i="3" s="1"/>
  <c r="R496" i="3"/>
  <c r="S496" i="3" s="1"/>
  <c r="R352" i="3"/>
  <c r="S352" i="3" s="1"/>
  <c r="R32" i="3"/>
  <c r="S32" i="3" s="1"/>
  <c r="R387" i="3"/>
  <c r="S387" i="3" s="1"/>
  <c r="R721" i="3"/>
  <c r="S721" i="3" s="1"/>
  <c r="R396" i="3"/>
  <c r="S396" i="3" s="1"/>
  <c r="R479" i="3"/>
  <c r="S479" i="3" s="1"/>
  <c r="R693" i="3"/>
  <c r="S693" i="3" s="1"/>
  <c r="R527" i="3"/>
  <c r="S527" i="3" s="1"/>
  <c r="R198" i="3"/>
  <c r="S198" i="3" s="1"/>
  <c r="R792" i="3"/>
  <c r="S792" i="3" s="1"/>
  <c r="R214" i="3"/>
  <c r="S214" i="3" s="1"/>
  <c r="R244" i="3"/>
  <c r="S244" i="3" s="1"/>
  <c r="R8" i="3"/>
  <c r="S8" i="3" s="1"/>
  <c r="R308" i="3"/>
  <c r="S308" i="3" s="1"/>
  <c r="R227" i="3"/>
  <c r="S227" i="3" s="1"/>
  <c r="R63" i="3"/>
  <c r="S63" i="3" s="1"/>
  <c r="R266" i="3"/>
  <c r="S266" i="3" s="1"/>
  <c r="R701" i="3"/>
  <c r="S701" i="3" s="1"/>
  <c r="R230" i="3"/>
  <c r="S230" i="3" s="1"/>
  <c r="R465" i="3"/>
  <c r="S465" i="3" s="1"/>
  <c r="R268" i="3"/>
  <c r="S268" i="3" s="1"/>
  <c r="R576" i="3"/>
  <c r="S576" i="3" s="1"/>
  <c r="R623" i="3"/>
  <c r="S623" i="3" s="1"/>
  <c r="R11" i="3"/>
  <c r="S11" i="3" s="1"/>
  <c r="R247" i="3"/>
  <c r="S247" i="3" s="1"/>
  <c r="R10" i="3"/>
  <c r="S10" i="3" s="1"/>
  <c r="R425" i="3"/>
  <c r="S425" i="3" s="1"/>
  <c r="R656" i="3"/>
  <c r="S656" i="3" s="1"/>
  <c r="R137" i="3"/>
  <c r="S137" i="3" s="1"/>
  <c r="R385" i="3"/>
  <c r="S385" i="3" s="1"/>
  <c r="R384" i="3"/>
  <c r="S384" i="3" s="1"/>
  <c r="R264" i="3"/>
  <c r="S264" i="3" s="1"/>
  <c r="R597" i="3"/>
  <c r="S597" i="3" s="1"/>
  <c r="R75" i="3"/>
  <c r="S75" i="3" s="1"/>
  <c r="R164" i="3"/>
  <c r="S164" i="3" s="1"/>
  <c r="R594" i="3"/>
  <c r="S594" i="3" s="1"/>
  <c r="R624" i="3"/>
  <c r="S624" i="3" s="1"/>
  <c r="R452" i="3"/>
  <c r="S452" i="3" s="1"/>
  <c r="R445" i="3"/>
  <c r="S445" i="3" s="1"/>
  <c r="R433" i="3"/>
  <c r="S433" i="3" s="1"/>
  <c r="R343" i="3"/>
  <c r="S343" i="3" s="1"/>
  <c r="R102" i="3"/>
  <c r="S102" i="3" s="1"/>
  <c r="R22" i="3"/>
  <c r="S22" i="3" s="1"/>
  <c r="R488" i="3"/>
  <c r="S488" i="3" s="1"/>
  <c r="R181" i="3"/>
  <c r="S181" i="3" s="1"/>
  <c r="R726" i="3"/>
  <c r="S726" i="3" s="1"/>
  <c r="R768" i="3"/>
  <c r="S768" i="3" s="1"/>
  <c r="R603" i="3"/>
  <c r="S603" i="3" s="1"/>
  <c r="R208" i="3"/>
  <c r="S208" i="3" s="1"/>
  <c r="R548" i="3"/>
  <c r="S548" i="3" s="1"/>
  <c r="R423" i="3"/>
  <c r="S423" i="3" s="1"/>
  <c r="R269" i="3"/>
  <c r="S269" i="3" s="1"/>
  <c r="R312" i="3"/>
  <c r="S312" i="3" s="1"/>
  <c r="R617" i="3"/>
  <c r="S617" i="3" s="1"/>
  <c r="R151" i="3"/>
  <c r="S151" i="3" s="1"/>
  <c r="R114" i="3"/>
  <c r="S114" i="3" s="1"/>
  <c r="R502" i="3"/>
  <c r="S502" i="3" s="1"/>
  <c r="R185" i="3"/>
  <c r="S185" i="3" s="1"/>
  <c r="R213" i="3"/>
  <c r="S213" i="3" s="1"/>
  <c r="R279" i="3"/>
  <c r="S279" i="3" s="1"/>
  <c r="R627" i="3"/>
  <c r="S627" i="3" s="1"/>
  <c r="R565" i="3"/>
  <c r="S565" i="3" s="1"/>
  <c r="R786" i="3"/>
  <c r="S786" i="3" s="1"/>
  <c r="R253" i="3"/>
  <c r="S253" i="3" s="1"/>
  <c r="R318" i="3"/>
  <c r="S318" i="3" s="1"/>
  <c r="R231" i="3"/>
  <c r="S231" i="3" s="1"/>
  <c r="R734" i="3"/>
  <c r="S734" i="3" s="1"/>
  <c r="R604" i="3"/>
  <c r="S604" i="3" s="1"/>
  <c r="R86" i="3"/>
  <c r="S86" i="3" s="1"/>
  <c r="R367" i="3"/>
  <c r="S367" i="3" s="1"/>
  <c r="R74" i="3"/>
  <c r="S74" i="3" s="1"/>
  <c r="R126" i="3"/>
  <c r="S126" i="3" s="1"/>
  <c r="R381" i="3"/>
  <c r="S381" i="3" s="1"/>
  <c r="R715" i="3"/>
  <c r="S715" i="3" s="1"/>
  <c r="R278" i="3"/>
  <c r="S278" i="3" s="1"/>
  <c r="R625" i="3"/>
  <c r="S625" i="3" s="1"/>
  <c r="R99" i="3"/>
  <c r="S99" i="3" s="1"/>
  <c r="R440" i="3"/>
  <c r="S440" i="3" s="1"/>
  <c r="R322" i="3"/>
  <c r="S322" i="3" s="1"/>
  <c r="R407" i="3"/>
  <c r="S407" i="3" s="1"/>
  <c r="R81" i="3"/>
  <c r="S81" i="3" s="1"/>
  <c r="R631" i="3"/>
  <c r="S631" i="3" s="1"/>
  <c r="R303" i="3"/>
  <c r="S303" i="3" s="1"/>
  <c r="R777" i="3"/>
  <c r="S777" i="3" s="1"/>
  <c r="R468" i="3"/>
  <c r="S468" i="3" s="1"/>
  <c r="R697" i="3"/>
  <c r="S697" i="3" s="1"/>
  <c r="R462" i="3"/>
  <c r="S462" i="3" s="1"/>
  <c r="R189" i="3"/>
  <c r="S189" i="3" s="1"/>
  <c r="R763" i="3"/>
  <c r="S763" i="3" s="1"/>
  <c r="R712" i="3"/>
  <c r="S712" i="3" s="1"/>
  <c r="R28" i="3"/>
  <c r="S28" i="3" s="1"/>
  <c r="R630" i="3"/>
  <c r="S630" i="3" s="1"/>
  <c r="R694" i="3"/>
  <c r="S694" i="3" s="1"/>
  <c r="R169" i="3"/>
  <c r="S169" i="3" s="1"/>
  <c r="R453" i="3"/>
  <c r="S453" i="3" s="1"/>
  <c r="R90" i="3"/>
  <c r="S90" i="3" s="1"/>
  <c r="R659" i="3"/>
  <c r="S659" i="3" s="1"/>
  <c r="R642" i="3"/>
  <c r="S642" i="3" s="1"/>
  <c r="R509" i="3"/>
  <c r="S509" i="3" s="1"/>
  <c r="R203" i="3"/>
  <c r="S203" i="3" s="1"/>
  <c r="R117" i="3"/>
  <c r="S117" i="3" s="1"/>
  <c r="R232" i="3"/>
  <c r="S232" i="3" s="1"/>
  <c r="R524" i="3"/>
  <c r="S524" i="3" s="1"/>
  <c r="R143" i="3"/>
  <c r="S143" i="3" s="1"/>
  <c r="R363" i="3"/>
  <c r="S363" i="3" s="1"/>
  <c r="R651" i="3"/>
  <c r="S651" i="3" s="1"/>
  <c r="R408" i="3"/>
  <c r="S408" i="3" s="1"/>
  <c r="R747" i="3"/>
  <c r="S747" i="3" s="1"/>
  <c r="R25" i="3"/>
  <c r="S25" i="3" s="1"/>
  <c r="R224" i="3"/>
  <c r="S224" i="3" s="1"/>
  <c r="R89" i="3"/>
  <c r="S89" i="3" s="1"/>
  <c r="R663" i="3"/>
  <c r="S663" i="3" s="1"/>
  <c r="R337" i="3"/>
  <c r="S337" i="3" s="1"/>
  <c r="R662" i="3"/>
  <c r="S662" i="3" s="1"/>
  <c r="R295" i="3"/>
  <c r="S295" i="3" s="1"/>
  <c r="R180" i="3"/>
  <c r="S180" i="3" s="1"/>
  <c r="R554" i="3"/>
  <c r="S554" i="3" s="1"/>
  <c r="R494" i="3"/>
  <c r="S494" i="3" s="1"/>
  <c r="R38" i="3"/>
  <c r="S38" i="3" s="1"/>
  <c r="R780" i="3"/>
  <c r="S780" i="3" s="1"/>
  <c r="R725" i="3"/>
  <c r="S725" i="3" s="1"/>
  <c r="R277" i="3"/>
  <c r="S277" i="3" s="1"/>
  <c r="R123" i="3"/>
  <c r="S123" i="3" s="1"/>
  <c r="R626" i="3"/>
  <c r="S626" i="3" s="1"/>
  <c r="R718" i="3"/>
  <c r="S718" i="3" s="1"/>
  <c r="R557" i="3"/>
  <c r="S557" i="3" s="1"/>
  <c r="R80" i="3"/>
  <c r="S80" i="3" s="1"/>
  <c r="R270" i="3"/>
  <c r="S270" i="3" s="1"/>
  <c r="R632" i="3"/>
  <c r="S632" i="3" s="1"/>
  <c r="R18" i="3"/>
  <c r="S18" i="3" s="1"/>
  <c r="R207" i="3"/>
  <c r="S207" i="3" s="1"/>
  <c r="R23" i="3"/>
  <c r="S23" i="3" s="1"/>
  <c r="R360" i="3"/>
  <c r="S360" i="3" s="1"/>
  <c r="R492" i="3"/>
  <c r="S492" i="3" s="1"/>
  <c r="R297" i="3"/>
  <c r="S297" i="3" s="1"/>
  <c r="R781" i="3"/>
  <c r="S781" i="3" s="1"/>
  <c r="R596" i="3"/>
  <c r="S596" i="3" s="1"/>
  <c r="R415" i="3"/>
  <c r="S415" i="3" s="1"/>
  <c r="R645" i="3"/>
  <c r="S645" i="3" s="1"/>
  <c r="R131" i="3"/>
  <c r="S131" i="3" s="1"/>
  <c r="R57" i="3"/>
  <c r="S57" i="3" s="1"/>
  <c r="R285" i="3"/>
  <c r="S285" i="3" s="1"/>
  <c r="R377" i="3"/>
  <c r="S377" i="3" s="1"/>
  <c r="R45" i="3"/>
  <c r="S45" i="3" s="1"/>
  <c r="R259" i="3"/>
  <c r="S259" i="3" s="1"/>
  <c r="R583" i="3"/>
  <c r="S583" i="3" s="1"/>
  <c r="R87" i="3"/>
  <c r="S87" i="3" s="1"/>
  <c r="R454" i="3"/>
  <c r="S454" i="3" s="1"/>
  <c r="R577" i="3"/>
  <c r="S577" i="3" s="1"/>
  <c r="R202" i="3"/>
  <c r="S202" i="3" s="1"/>
  <c r="R733" i="3"/>
  <c r="S733" i="3" s="1"/>
  <c r="AC37" i="3"/>
  <c r="R338" i="3"/>
  <c r="S338" i="3" s="1"/>
  <c r="R172" i="3"/>
  <c r="S172" i="3" s="1"/>
  <c r="R321" i="3"/>
  <c r="S321" i="3" s="1"/>
  <c r="R243" i="3"/>
  <c r="S243" i="3" s="1"/>
  <c r="R518" i="3"/>
  <c r="S518" i="3" s="1"/>
  <c r="R588" i="3"/>
  <c r="S588" i="3" s="1"/>
  <c r="R176" i="3"/>
  <c r="S176" i="3" s="1"/>
  <c r="R368" i="3"/>
  <c r="S368" i="3" s="1"/>
  <c r="R484" i="3"/>
  <c r="S484" i="3" s="1"/>
  <c r="R732" i="3"/>
  <c r="S732" i="3" s="1"/>
  <c r="R52" i="3"/>
  <c r="S52" i="3" s="1"/>
  <c r="R661" i="3"/>
  <c r="S661" i="3" s="1"/>
  <c r="R769" i="3"/>
  <c r="S769" i="3" s="1"/>
  <c r="R284" i="3"/>
  <c r="S284" i="3" s="1"/>
  <c r="R737" i="3"/>
  <c r="S737" i="3" s="1"/>
  <c r="R677" i="3"/>
  <c r="S677" i="3" s="1"/>
  <c r="R553" i="3"/>
  <c r="S553" i="3" s="1"/>
  <c r="R593" i="3"/>
  <c r="S593" i="3" s="1"/>
  <c r="R696" i="3"/>
  <c r="S696" i="3" s="1"/>
  <c r="R170" i="3"/>
  <c r="S170" i="3" s="1"/>
  <c r="R200" i="3"/>
  <c r="S200" i="3" s="1"/>
  <c r="R15" i="3"/>
  <c r="S15" i="3" s="1"/>
  <c r="R741" i="3"/>
  <c r="S741" i="3" s="1"/>
  <c r="R128" i="3"/>
  <c r="S128" i="3" s="1"/>
  <c r="R724" i="3"/>
  <c r="S724" i="3" s="1"/>
  <c r="R745" i="3"/>
  <c r="S745" i="3" s="1"/>
  <c r="R56" i="3"/>
  <c r="S56" i="3" s="1"/>
  <c r="R602" i="3"/>
  <c r="S602" i="3" s="1"/>
  <c r="R304" i="3"/>
  <c r="S304" i="3" s="1"/>
  <c r="R107" i="3"/>
  <c r="S107" i="3" s="1"/>
  <c r="R369" i="3"/>
  <c r="S369" i="3" s="1"/>
  <c r="R256" i="3"/>
  <c r="S256" i="3" s="1"/>
  <c r="R59" i="3"/>
  <c r="S59" i="3" s="1"/>
  <c r="R41" i="3"/>
  <c r="S41" i="3" s="1"/>
  <c r="R416" i="3"/>
  <c r="S416" i="3" s="1"/>
  <c r="R483" i="3"/>
  <c r="S483" i="3" s="1"/>
  <c r="R228" i="3"/>
  <c r="S228" i="3" s="1"/>
  <c r="R528" i="3"/>
  <c r="S528" i="3" s="1"/>
  <c r="R464" i="3"/>
  <c r="S464" i="3" s="1"/>
  <c r="R91" i="3"/>
  <c r="S91" i="3" s="1"/>
  <c r="R30" i="3"/>
  <c r="S30" i="3" s="1"/>
  <c r="R237" i="3"/>
  <c r="S237" i="3" s="1"/>
  <c r="R480" i="3"/>
  <c r="S480" i="3" s="1"/>
  <c r="R238" i="3"/>
  <c r="S238" i="3" s="1"/>
  <c r="R379" i="3"/>
  <c r="S379" i="3" s="1"/>
  <c r="R54" i="3"/>
  <c r="S54" i="3" s="1"/>
  <c r="R212" i="3"/>
  <c r="S212" i="3" s="1"/>
  <c r="R174" i="3"/>
  <c r="S174" i="3" s="1"/>
  <c r="R154" i="3"/>
  <c r="S154" i="3" s="1"/>
  <c r="R482" i="3"/>
  <c r="S482" i="3" s="1"/>
  <c r="R437" i="3"/>
  <c r="S437" i="3" s="1"/>
  <c r="R132" i="3"/>
  <c r="S132" i="3" s="1"/>
  <c r="R344" i="3"/>
  <c r="S344" i="3" s="1"/>
  <c r="R537" i="3"/>
  <c r="S537" i="3" s="1"/>
  <c r="R438" i="3"/>
  <c r="S438" i="3" s="1"/>
  <c r="R471" i="3"/>
  <c r="S471" i="3" s="1"/>
  <c r="R173" i="3"/>
  <c r="S173" i="3" s="1"/>
  <c r="R258" i="3"/>
  <c r="S258" i="3" s="1"/>
  <c r="R85" i="3"/>
  <c r="S85" i="3" s="1"/>
  <c r="R305" i="3"/>
  <c r="S305" i="3" s="1"/>
  <c r="R558" i="3"/>
  <c r="S558" i="3" s="1"/>
  <c r="R339" i="3"/>
  <c r="S339" i="3" s="1"/>
  <c r="R84" i="3"/>
  <c r="S84" i="3" s="1"/>
  <c r="R616" i="3"/>
  <c r="S616" i="3" s="1"/>
  <c r="R359" i="3"/>
  <c r="S359" i="3" s="1"/>
  <c r="R347" i="3"/>
  <c r="S347" i="3" s="1"/>
  <c r="R474" i="3"/>
  <c r="S474" i="3" s="1"/>
  <c r="R7" i="3"/>
  <c r="S7" i="3" s="1"/>
  <c r="R704" i="3"/>
  <c r="S704" i="3" s="1"/>
  <c r="R365" i="3"/>
  <c r="S365" i="3" s="1"/>
  <c r="R491" i="3"/>
  <c r="S491" i="3" s="1"/>
  <c r="R257" i="3"/>
  <c r="S257" i="3" s="1"/>
  <c r="R559" i="3"/>
  <c r="S559" i="3" s="1"/>
  <c r="R543" i="3"/>
  <c r="S543" i="3" s="1"/>
  <c r="R392" i="3"/>
  <c r="S392" i="3" s="1"/>
  <c r="R14" i="3"/>
  <c r="S14" i="3" s="1"/>
  <c r="R785" i="3"/>
  <c r="S785" i="3" s="1"/>
  <c r="R711" i="3"/>
  <c r="S711" i="3" s="1"/>
  <c r="R568" i="3"/>
  <c r="S568" i="3" s="1"/>
  <c r="R36" i="3"/>
  <c r="S36" i="3" s="1"/>
  <c r="R699" i="3"/>
  <c r="S699" i="3" s="1"/>
  <c r="R78" i="3"/>
  <c r="S78" i="3" s="1"/>
  <c r="R93" i="3"/>
  <c r="S93" i="3" s="1"/>
  <c r="AC30" i="3"/>
  <c r="R410" i="3"/>
  <c r="S410" i="3" s="1"/>
  <c r="R409" i="3"/>
  <c r="S409" i="3" s="1"/>
  <c r="R477" i="3"/>
  <c r="S477" i="3" s="1"/>
  <c r="R476" i="3"/>
  <c r="S476" i="3" s="1"/>
  <c r="R685" i="3"/>
  <c r="S685" i="3" s="1"/>
  <c r="R684" i="3"/>
  <c r="S684" i="3" s="1"/>
  <c r="R188" i="3"/>
  <c r="S188" i="3" s="1"/>
  <c r="R187" i="3"/>
  <c r="S187" i="3" s="1"/>
  <c r="R501" i="3"/>
  <c r="S501" i="3" s="1"/>
  <c r="R311" i="3"/>
  <c r="S311" i="3" s="1"/>
  <c r="R310" i="3"/>
  <c r="S310" i="3" s="1"/>
  <c r="R393" i="3"/>
  <c r="S393" i="3" s="1"/>
  <c r="R394" i="3"/>
  <c r="S394" i="3" s="1"/>
  <c r="R736" i="3"/>
  <c r="S736" i="3" s="1"/>
  <c r="R735" i="3"/>
  <c r="S735" i="3" s="1"/>
  <c r="R669" i="3"/>
  <c r="S669" i="3" s="1"/>
  <c r="R668" i="3"/>
  <c r="S668" i="3" s="1"/>
  <c r="R707" i="3"/>
  <c r="S707" i="3" s="1"/>
  <c r="R708" i="3"/>
  <c r="S708" i="3" s="1"/>
  <c r="R43" i="3"/>
  <c r="S43" i="3" s="1"/>
  <c r="R44" i="3"/>
  <c r="S44" i="3" s="1"/>
  <c r="R262" i="3"/>
  <c r="S262" i="3" s="1"/>
  <c r="R190" i="3"/>
  <c r="S190" i="3" s="1"/>
  <c r="R255" i="3"/>
  <c r="S255" i="3" s="1"/>
  <c r="R254" i="3"/>
  <c r="S254" i="3" s="1"/>
  <c r="R469" i="3"/>
  <c r="S469" i="3" s="1"/>
  <c r="R470" i="3"/>
  <c r="S470" i="3" s="1"/>
  <c r="R331" i="3"/>
  <c r="S331" i="3" s="1"/>
  <c r="R330" i="3"/>
  <c r="S330" i="3" s="1"/>
  <c r="R551" i="3"/>
  <c r="S551" i="3" s="1"/>
  <c r="R723" i="3"/>
  <c r="S723" i="3" s="1"/>
  <c r="R629" i="3"/>
  <c r="S629" i="3" s="1"/>
  <c r="R142" i="3"/>
  <c r="S142" i="3" s="1"/>
  <c r="R162" i="3"/>
  <c r="S162" i="3" s="1"/>
  <c r="R301" i="3"/>
  <c r="S301" i="3" s="1"/>
  <c r="R302" i="3"/>
  <c r="S302" i="3" s="1"/>
  <c r="R192" i="3"/>
  <c r="S192" i="3" s="1"/>
  <c r="R191" i="3"/>
  <c r="S191" i="3" s="1"/>
  <c r="R585" i="3"/>
  <c r="S585" i="3" s="1"/>
  <c r="R584" i="3"/>
  <c r="S584" i="3" s="1"/>
  <c r="R510" i="3"/>
  <c r="S510" i="3" s="1"/>
  <c r="R511" i="3"/>
  <c r="S511" i="3" s="1"/>
  <c r="R147" i="3"/>
  <c r="S147" i="3" s="1"/>
  <c r="R146" i="3"/>
  <c r="S146" i="3" s="1"/>
  <c r="R766" i="3"/>
  <c r="S766" i="3" s="1"/>
  <c r="R451" i="3"/>
  <c r="S451" i="3" s="1"/>
  <c r="R135" i="3"/>
  <c r="S135" i="3" s="1"/>
  <c r="R13" i="3"/>
  <c r="S13" i="3" s="1"/>
  <c r="R94" i="3"/>
  <c r="S94" i="3" s="1"/>
  <c r="R226" i="3"/>
  <c r="S226" i="3" s="1"/>
  <c r="R225" i="3"/>
  <c r="S225" i="3" s="1"/>
  <c r="R160" i="3"/>
  <c r="S160" i="3" s="1"/>
  <c r="R773" i="3"/>
  <c r="S773" i="3" s="1"/>
  <c r="R578" i="3"/>
  <c r="S578" i="3" s="1"/>
  <c r="R326" i="3"/>
  <c r="S326" i="3" s="1"/>
  <c r="R323" i="3"/>
  <c r="S323" i="3" s="1"/>
  <c r="R750" i="3"/>
  <c r="S750" i="3" s="1"/>
  <c r="R48" i="3"/>
  <c r="S48" i="3" s="1"/>
  <c r="R197" i="3"/>
  <c r="S197" i="3" s="1"/>
  <c r="R95" i="3"/>
  <c r="S95" i="3" s="1"/>
  <c r="R397" i="3"/>
  <c r="S397" i="3" s="1"/>
  <c r="R357" i="3"/>
  <c r="S357" i="3" s="1"/>
  <c r="R184" i="3"/>
  <c r="S184" i="3" s="1"/>
  <c r="R261" i="3"/>
  <c r="S261" i="3" s="1"/>
  <c r="R463" i="3"/>
  <c r="S463" i="3" s="1"/>
  <c r="R500" i="3"/>
  <c r="S500" i="3" s="1"/>
  <c r="R9" i="3"/>
  <c r="S9" i="3" s="1"/>
  <c r="R316" i="3"/>
  <c r="S316" i="3" s="1"/>
  <c r="R522" i="3"/>
  <c r="S522" i="3" s="1"/>
  <c r="R497" i="3"/>
  <c r="S497" i="3" s="1"/>
  <c r="R671" i="3"/>
  <c r="S671" i="3" s="1"/>
  <c r="R234" i="3"/>
  <c r="S234" i="3" s="1"/>
  <c r="R481" i="3"/>
  <c r="S481" i="3" s="1"/>
  <c r="R566" i="3"/>
  <c r="S566" i="3" s="1"/>
  <c r="R240" i="3"/>
  <c r="S240" i="3" s="1"/>
  <c r="R508" i="3"/>
  <c r="S508" i="3" s="1"/>
  <c r="R436" i="3"/>
  <c r="S436" i="3" s="1"/>
  <c r="R412" i="3"/>
  <c r="S412" i="3" s="1"/>
  <c r="R526" i="3"/>
  <c r="S526" i="3" s="1"/>
  <c r="R634" i="3"/>
  <c r="S634" i="3" s="1"/>
  <c r="R655" i="3"/>
  <c r="S655" i="3" s="1"/>
  <c r="R40" i="3"/>
  <c r="S40" i="3" s="1"/>
  <c r="R776" i="3"/>
  <c r="S776" i="3" s="1"/>
  <c r="R514" i="3"/>
  <c r="S514" i="3" s="1"/>
  <c r="R542" i="3"/>
  <c r="S542" i="3" s="1"/>
  <c r="R413" i="3"/>
  <c r="S413" i="3" s="1"/>
  <c r="R366" i="3"/>
  <c r="S366" i="3" s="1"/>
  <c r="R155" i="3"/>
  <c r="S155" i="3" s="1"/>
  <c r="R210" i="3"/>
  <c r="S210" i="3" s="1"/>
  <c r="R458" i="3"/>
  <c r="S458" i="3" s="1"/>
  <c r="R21" i="3"/>
  <c r="S21" i="3" s="1"/>
  <c r="R236" i="3"/>
  <c r="S236" i="3" s="1"/>
  <c r="R738" i="3"/>
  <c r="S738" i="3" s="1"/>
  <c r="R175" i="3"/>
  <c r="S175" i="3" s="1"/>
  <c r="R448" i="3"/>
  <c r="S448" i="3" s="1"/>
  <c r="R686" i="3"/>
  <c r="S686" i="3" s="1"/>
  <c r="R127" i="3"/>
  <c r="S127" i="3" s="1"/>
  <c r="R401" i="3"/>
  <c r="S401" i="3" s="1"/>
  <c r="R402" i="3"/>
  <c r="S402" i="3" s="1"/>
  <c r="R675" i="3"/>
  <c r="S675" i="3" s="1"/>
  <c r="R674" i="3"/>
  <c r="S674" i="3" s="1"/>
  <c r="R507" i="3"/>
  <c r="S507" i="3" s="1"/>
  <c r="R487" i="3"/>
  <c r="S487" i="3" s="1"/>
  <c r="R759" i="3"/>
  <c r="S759" i="3" s="1"/>
  <c r="R211" i="3"/>
  <c r="S211" i="3" s="1"/>
  <c r="R121" i="3"/>
  <c r="S121" i="3" s="1"/>
  <c r="R122" i="3"/>
  <c r="S122" i="3" s="1"/>
  <c r="R606" i="3"/>
  <c r="S606" i="3" s="1"/>
  <c r="R605" i="3"/>
  <c r="S605" i="3" s="1"/>
  <c r="R291" i="3"/>
  <c r="S291" i="3" s="1"/>
  <c r="R292" i="3"/>
  <c r="S292" i="3" s="1"/>
  <c r="R613" i="3"/>
  <c r="S613" i="3" s="1"/>
  <c r="R614" i="3"/>
  <c r="S614" i="3" s="1"/>
  <c r="R150" i="3"/>
  <c r="S150" i="3" s="1"/>
  <c r="R149" i="3"/>
  <c r="S149" i="3" s="1"/>
  <c r="R716" i="3"/>
  <c r="S716" i="3" s="1"/>
  <c r="R717" i="3"/>
  <c r="S717" i="3" s="1"/>
  <c r="R353" i="3"/>
  <c r="S353" i="3" s="1"/>
  <c r="R354" i="3"/>
  <c r="S354" i="3" s="1"/>
  <c r="R570" i="3"/>
  <c r="S570" i="3" s="1"/>
  <c r="R571" i="3"/>
  <c r="S571" i="3" s="1"/>
  <c r="R546" i="3"/>
  <c r="S546" i="3" s="1"/>
  <c r="R664" i="3"/>
  <c r="S664" i="3" s="1"/>
  <c r="R665" i="3"/>
  <c r="S665" i="3" s="1"/>
  <c r="R64" i="3"/>
  <c r="S64" i="3" s="1"/>
  <c r="R65" i="3"/>
  <c r="S65" i="3" s="1"/>
  <c r="R446" i="3"/>
  <c r="S446" i="3" s="1"/>
  <c r="R447" i="3"/>
  <c r="S447" i="3" s="1"/>
  <c r="R96" i="3"/>
  <c r="S96" i="3" s="1"/>
  <c r="R97" i="3"/>
  <c r="S97" i="3" s="1"/>
  <c r="R573" i="3"/>
  <c r="S573" i="3" s="1"/>
  <c r="R574" i="3"/>
  <c r="S574" i="3" s="1"/>
  <c r="R112" i="3"/>
  <c r="S112" i="3" s="1"/>
  <c r="R111" i="3"/>
  <c r="S111" i="3" s="1"/>
  <c r="R427" i="3"/>
  <c r="S427" i="3" s="1"/>
  <c r="R428" i="3"/>
  <c r="S428" i="3" s="1"/>
  <c r="R633" i="3"/>
  <c r="S633" i="3" s="1"/>
  <c r="R650" i="3"/>
  <c r="S650" i="3" s="1"/>
  <c r="R654" i="3"/>
  <c r="S654" i="3" s="1"/>
  <c r="R653" i="3"/>
  <c r="S653" i="3" s="1"/>
  <c r="R582" i="3"/>
  <c r="S582" i="3" s="1"/>
  <c r="R272" i="3"/>
  <c r="S272" i="3" s="1"/>
  <c r="R622" i="3"/>
  <c r="S622" i="3" s="1"/>
  <c r="R206" i="3"/>
  <c r="S206" i="3" s="1"/>
  <c r="R459" i="3"/>
  <c r="S459" i="3" s="1"/>
  <c r="R457" i="3"/>
  <c r="S457" i="3" s="1"/>
  <c r="R443" i="3"/>
  <c r="S443" i="3" s="1"/>
  <c r="R235" i="3"/>
  <c r="S235" i="3" s="1"/>
  <c r="R380" i="3"/>
  <c r="S380" i="3" s="1"/>
  <c r="R549" i="3"/>
  <c r="S549" i="3" s="1"/>
  <c r="R435" i="3"/>
  <c r="S435" i="3" s="1"/>
  <c r="R680" i="3"/>
  <c r="S680" i="3" s="1"/>
  <c r="R88" i="3"/>
  <c r="S88" i="3" s="1"/>
  <c r="R641" i="3"/>
  <c r="S641" i="3" s="1"/>
  <c r="R739" i="3"/>
  <c r="S739" i="3" s="1"/>
  <c r="R383" i="3"/>
  <c r="S383" i="3" s="1"/>
  <c r="R411" i="3"/>
  <c r="S411" i="3" s="1"/>
  <c r="R153" i="3"/>
  <c r="S153" i="3" s="1"/>
  <c r="R201" i="3"/>
  <c r="S201" i="3" s="1"/>
  <c r="R687" i="3"/>
  <c r="S687" i="3" s="1"/>
  <c r="R545" i="3"/>
  <c r="S545" i="3" s="1"/>
  <c r="R342" i="3"/>
  <c r="S342" i="3" s="1"/>
  <c r="R635" i="3"/>
  <c r="S635" i="3" s="1"/>
  <c r="R364" i="3"/>
  <c r="S364" i="3" s="1"/>
  <c r="R404" i="3"/>
  <c r="S404" i="3" s="1"/>
  <c r="R608" i="3"/>
  <c r="S608" i="3" s="1"/>
  <c r="R609" i="3"/>
  <c r="S609" i="3" s="1"/>
  <c r="R68" i="3"/>
  <c r="S68" i="3" s="1"/>
  <c r="R69" i="3"/>
  <c r="S69" i="3" s="1"/>
  <c r="R689" i="3"/>
  <c r="S689" i="3" s="1"/>
  <c r="R791" i="3"/>
  <c r="S791" i="3" s="1"/>
  <c r="R455" i="3"/>
  <c r="S455" i="3" s="1"/>
  <c r="R595" i="3"/>
  <c r="S595" i="3" s="1"/>
  <c r="R424" i="3"/>
  <c r="S424" i="3" s="1"/>
  <c r="R601" i="3"/>
  <c r="S601" i="3" s="1"/>
  <c r="R420" i="3"/>
  <c r="S420" i="3" s="1"/>
  <c r="R419" i="3"/>
  <c r="S419" i="3" s="1"/>
  <c r="R120" i="3"/>
  <c r="S120" i="3" s="1"/>
  <c r="R418" i="3"/>
  <c r="S418" i="3" s="1"/>
  <c r="R417" i="3"/>
  <c r="S417" i="3" s="1"/>
  <c r="R33" i="3"/>
  <c r="S33" i="3" s="1"/>
  <c r="R283" i="3"/>
  <c r="S283" i="3" s="1"/>
  <c r="R289" i="3"/>
  <c r="S289" i="3" s="1"/>
  <c r="R618" i="3"/>
  <c r="S618" i="3" s="1"/>
  <c r="R12" i="3"/>
  <c r="S12" i="3" s="1"/>
  <c r="R156" i="3"/>
  <c r="S156" i="3" s="1"/>
  <c r="R177" i="3"/>
  <c r="S177" i="3" s="1"/>
  <c r="R98" i="3"/>
  <c r="S98" i="3" s="1"/>
  <c r="R391" i="3"/>
  <c r="S391" i="3" s="1"/>
  <c r="R432" i="3"/>
  <c r="S432" i="3" s="1"/>
  <c r="R276" i="3"/>
  <c r="S276" i="3" s="1"/>
  <c r="R439" i="3"/>
  <c r="S439" i="3" s="1"/>
  <c r="R334" i="3"/>
  <c r="S334" i="3" s="1"/>
  <c r="R779" i="3"/>
  <c r="S779" i="3" s="1"/>
  <c r="R306" i="3"/>
  <c r="S306" i="3" s="1"/>
  <c r="R165" i="3"/>
  <c r="S165" i="3" s="1"/>
  <c r="R29" i="3"/>
  <c r="S29" i="3" s="1"/>
  <c r="R775" i="3"/>
  <c r="S775" i="3" s="1"/>
  <c r="R581" i="3"/>
  <c r="S581" i="3" s="1"/>
  <c r="R473" i="3"/>
  <c r="S473" i="3" s="1"/>
  <c r="R649" i="3"/>
  <c r="S649" i="3" s="1"/>
  <c r="R71" i="3"/>
  <c r="S71" i="3" s="1"/>
  <c r="R273" i="3"/>
  <c r="S273" i="3" s="1"/>
  <c r="R157" i="3"/>
  <c r="S157" i="3" s="1"/>
  <c r="R220" i="3"/>
  <c r="S220" i="3" s="1"/>
  <c r="R20" i="3"/>
  <c r="S20" i="3" s="1"/>
  <c r="R562" i="3"/>
  <c r="S562" i="3" s="1"/>
  <c r="R523" i="3"/>
  <c r="S523" i="3" s="1"/>
  <c r="R755" i="3"/>
  <c r="S755" i="3" s="1"/>
  <c r="R600" i="3"/>
  <c r="S600" i="3" s="1"/>
  <c r="R351" i="3"/>
  <c r="S351" i="3" s="1"/>
  <c r="R348" i="3"/>
  <c r="S348" i="3" s="1"/>
  <c r="R370" i="3"/>
  <c r="S370" i="3" s="1"/>
  <c r="R77" i="3"/>
  <c r="S77" i="3" s="1"/>
  <c r="R296" i="3"/>
  <c r="S296" i="3" s="1"/>
  <c r="R133" i="3"/>
  <c r="S133" i="3" s="1"/>
  <c r="R233" i="3"/>
  <c r="S233" i="3" s="1"/>
  <c r="R105" i="3"/>
  <c r="S105" i="3" s="1"/>
  <c r="R219" i="3"/>
  <c r="S219" i="3" s="1"/>
  <c r="R229" i="3"/>
  <c r="S229" i="3" s="1"/>
  <c r="R672" i="3"/>
  <c r="S672" i="3" s="1"/>
  <c r="R166" i="3"/>
  <c r="S166" i="3" s="1"/>
  <c r="R55" i="3"/>
  <c r="S55" i="3" s="1"/>
  <c r="R298" i="3"/>
  <c r="S298" i="3" s="1"/>
  <c r="R375" i="3"/>
  <c r="S375" i="3" s="1"/>
  <c r="R770" i="3"/>
  <c r="S770" i="3" s="1"/>
  <c r="R495" i="3"/>
  <c r="S495" i="3" s="1"/>
  <c r="R493" i="3"/>
  <c r="S493" i="3" s="1"/>
  <c r="R37" i="3"/>
  <c r="S37" i="3" s="1"/>
  <c r="R681" i="3"/>
  <c r="S681" i="3" s="1"/>
  <c r="R472" i="3"/>
  <c r="S472" i="3" s="1"/>
  <c r="R414" i="3"/>
  <c r="S414" i="3" s="1"/>
  <c r="R252" i="3"/>
  <c r="S252" i="3" s="1"/>
  <c r="R92" i="3"/>
  <c r="S92" i="3" s="1"/>
  <c r="R648" i="3"/>
  <c r="S648" i="3" s="1"/>
  <c r="R386" i="3"/>
  <c r="S386" i="3" s="1"/>
  <c r="R722" i="3"/>
  <c r="S722" i="3" s="1"/>
  <c r="R171" i="3"/>
  <c r="S171" i="3" s="1"/>
  <c r="R513" i="3"/>
  <c r="S513" i="3" s="1"/>
  <c r="R532" i="3"/>
  <c r="S532" i="3" s="1"/>
  <c r="R282" i="3"/>
  <c r="S282" i="3" s="1"/>
  <c r="R525" i="3"/>
  <c r="S525" i="3" s="1"/>
  <c r="R638" i="3"/>
  <c r="S638" i="3" s="1"/>
  <c r="R589" i="3"/>
  <c r="S589" i="3" s="1"/>
  <c r="R271" i="3"/>
  <c r="S271" i="3" s="1"/>
  <c r="R778" i="3"/>
  <c r="S778" i="3" s="1"/>
  <c r="R113" i="3"/>
  <c r="S113" i="3" s="1"/>
  <c r="R248" i="3"/>
  <c r="S248" i="3" s="1"/>
  <c r="R646" i="3"/>
  <c r="S646" i="3" s="1"/>
  <c r="R782" i="3"/>
  <c r="S782" i="3" s="1"/>
  <c r="R138" i="3"/>
  <c r="S138" i="3" s="1"/>
  <c r="R541" i="3"/>
  <c r="S541" i="3" s="1"/>
  <c r="R506" i="3"/>
  <c r="S506" i="3" s="1"/>
  <c r="R239" i="3"/>
  <c r="S239" i="3" s="1"/>
  <c r="R611" i="3"/>
  <c r="S611" i="3" s="1"/>
  <c r="R39" i="3"/>
  <c r="S39" i="3" s="1"/>
  <c r="R299" i="3"/>
  <c r="S299" i="3" s="1"/>
  <c r="AS24" i="2" l="1"/>
  <c r="AC51" i="2"/>
  <c r="AC55" i="2" s="1"/>
  <c r="BB24" i="2"/>
  <c r="AC35" i="2"/>
  <c r="AT24" i="2" s="1"/>
  <c r="AC50" i="2"/>
  <c r="BC24" i="2" s="1"/>
  <c r="AC28" i="2"/>
  <c r="AR24" i="2" s="1"/>
  <c r="AC23" i="2"/>
  <c r="AK24" i="2" s="1"/>
  <c r="AC43" i="2"/>
  <c r="BA24" i="2" s="1"/>
  <c r="AC58" i="2"/>
  <c r="BH24" i="2" s="1"/>
  <c r="AC42" i="3"/>
  <c r="AC35" i="3"/>
  <c r="AC23" i="3"/>
  <c r="AC28" i="3"/>
  <c r="AC39" i="2" l="1"/>
  <c r="AC54" i="2"/>
  <c r="BE24" i="2" s="1"/>
  <c r="AC52" i="2"/>
  <c r="AC37" i="2"/>
  <c r="AA37" i="2" s="1"/>
  <c r="AV24" i="2" l="1"/>
  <c r="AC56" i="2"/>
  <c r="AA56" i="2" s="1"/>
  <c r="AA52" i="2"/>
  <c r="AC41" i="2"/>
  <c r="AA4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<sst xmlns="http://schemas.openxmlformats.org/spreadsheetml/2006/main" count="9043" uniqueCount="120">
  <si>
    <t>Switch</t>
  </si>
  <si>
    <t>Notes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</si>
  <si>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</si>
  <si>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</si>
  <si>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</si>
  <si>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</si>
  <si>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</si>
  <si>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</si>
  <si>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</si>
  <si>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</si>
  <si>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Mod Dis</t>
  </si>
  <si>
    <t>gf</t>
  </si>
  <si>
    <t>mm</t>
  </si>
  <si>
    <t>OK</t>
  </si>
  <si>
    <t>--</t>
  </si>
  <si>
    <t>Start Lin1</t>
  </si>
  <si>
    <t>End Lin 1</t>
  </si>
  <si>
    <t>Start Bp 1</t>
  </si>
  <si>
    <t>End Bp 1</t>
  </si>
  <si>
    <t>Start Bp 2</t>
  </si>
  <si>
    <t>End Bp 2</t>
  </si>
  <si>
    <t>Start Lin 2</t>
  </si>
  <si>
    <t>End Lin 2</t>
  </si>
  <si>
    <t>Full L Slope</t>
  </si>
  <si>
    <t>AUC</t>
  </si>
  <si>
    <t>AUL</t>
  </si>
  <si>
    <t>AUC-AUL</t>
  </si>
  <si>
    <t>+ = Bp1</t>
  </si>
  <si>
    <t>- = BP2</t>
  </si>
  <si>
    <t>'C-L'</t>
  </si>
  <si>
    <t>SUM C-L BP1</t>
  </si>
  <si>
    <t>SUM C-L BP2</t>
  </si>
  <si>
    <t>SUM C-L Lin1</t>
  </si>
  <si>
    <t>SUM C-L Lin2</t>
  </si>
  <si>
    <t>MAX BP1</t>
  </si>
  <si>
    <t>R</t>
  </si>
  <si>
    <t>C</t>
  </si>
  <si>
    <t>MIN BP2</t>
  </si>
  <si>
    <t>Row, EX</t>
  </si>
  <si>
    <t>Row, IND</t>
  </si>
  <si>
    <t>S</t>
  </si>
  <si>
    <t>C,O</t>
  </si>
  <si>
    <t>1, 13</t>
  </si>
  <si>
    <t>D</t>
  </si>
  <si>
    <t>Diff MAX BP1 and Lin</t>
  </si>
  <si>
    <t>Diff MIN BP2 and Lin</t>
  </si>
  <si>
    <t>Width BP1</t>
  </si>
  <si>
    <t>Width BP2</t>
  </si>
  <si>
    <t>Width Lin1</t>
  </si>
  <si>
    <t>Width Lin2</t>
  </si>
  <si>
    <t>Width % Lin 1</t>
  </si>
  <si>
    <t>Width % BP1</t>
  </si>
  <si>
    <t>Width % BP2</t>
  </si>
  <si>
    <t>Width % Lin2</t>
  </si>
  <si>
    <t>YOU MUST REMOVE DUPLICATE E DATA FIRST</t>
  </si>
  <si>
    <t>Slope of Hyp. Linear</t>
  </si>
  <si>
    <t>Linear1 % of Stroke</t>
  </si>
  <si>
    <t>Area Curve-Line BP 1</t>
  </si>
  <si>
    <t>Peak Tac Value BP1</t>
  </si>
  <si>
    <t>Diff Peak-Line BP1</t>
  </si>
  <si>
    <t>BP1 % of Stroke</t>
  </si>
  <si>
    <t>Area Curve-Line BP2</t>
  </si>
  <si>
    <t>Min Tac Value BP2</t>
  </si>
  <si>
    <t>Diff Line-Peak BP2</t>
  </si>
  <si>
    <t>BP2 % of Stroke</t>
  </si>
  <si>
    <t>Area Curve-Line Lin2</t>
  </si>
  <si>
    <t>Area Curve-Line Lin1</t>
  </si>
  <si>
    <t>Linear2 Width (mm)</t>
  </si>
  <si>
    <t>Linear2 % of Stroke</t>
  </si>
  <si>
    <t>BP2 Width (mm)</t>
  </si>
  <si>
    <t>BP1 Width (mm)</t>
  </si>
  <si>
    <t>Linear1 Width (mm)</t>
  </si>
  <si>
    <t>BP1 Width L of Max</t>
  </si>
  <si>
    <t>BP1 Area L of Max</t>
  </si>
  <si>
    <t>LMAX BP1 % Area C-L</t>
  </si>
  <si>
    <t>BP1 Width R of Max</t>
  </si>
  <si>
    <t>BP1 Area R of Max</t>
  </si>
  <si>
    <t>RMAX BP1 % Area C-L</t>
  </si>
  <si>
    <t>BP2 Width L of Min</t>
  </si>
  <si>
    <t>BP2 Area L of Min</t>
  </si>
  <si>
    <t>LMIN BP2 % Area C-L</t>
  </si>
  <si>
    <t>BP2 Width R of Min</t>
  </si>
  <si>
    <t>BP2 Area R of Min</t>
  </si>
  <si>
    <t>RMIN BP2 % Area C-L</t>
  </si>
  <si>
    <t>Diff Peak-Start BP1</t>
  </si>
  <si>
    <t>Linear1 Length (mm)</t>
  </si>
  <si>
    <t>BP1 Length (mm)</t>
  </si>
  <si>
    <t>BP1 Length L of Max</t>
  </si>
  <si>
    <t>LMAX BP1 % Length</t>
  </si>
  <si>
    <t>BP1 Length R of Max</t>
  </si>
  <si>
    <t>RMAX BP1 % Length</t>
  </si>
  <si>
    <t>BP2 Length (mm)</t>
  </si>
  <si>
    <t>BP2 Length L of Min</t>
  </si>
  <si>
    <t>BP2 Length R of Min</t>
  </si>
  <si>
    <t>RMIN BP2 % Length</t>
  </si>
  <si>
    <t>LMIN BP1 % Length</t>
  </si>
  <si>
    <t>Linear2 Length (mm)</t>
  </si>
  <si>
    <t xml:space="preserve"> - PRE-BUMP LINEAR REGION -</t>
  </si>
  <si>
    <t>- POSITIVE TACTILE BUMP REGION -</t>
  </si>
  <si>
    <t>- NEGATIVE TACTILE BUMP REGION -</t>
  </si>
  <si>
    <t xml:space="preserve"> - POST-BUMP LINEAR REGION -</t>
  </si>
  <si>
    <t>Units - mm</t>
  </si>
  <si>
    <t>Units - %</t>
  </si>
  <si>
    <t>Units - gf*mm</t>
  </si>
  <si>
    <t>Units - gf/mm</t>
  </si>
  <si>
    <t>R^2 Value</t>
  </si>
  <si>
    <t>Units - gf</t>
  </si>
  <si>
    <t>Length</t>
  </si>
  <si>
    <t>Amount of Stroke</t>
  </si>
  <si>
    <t>Area Under Curve</t>
  </si>
  <si>
    <t>Slope</t>
  </si>
  <si>
    <t>Linearity</t>
  </si>
  <si>
    <t>Peak Diff. - Line</t>
  </si>
  <si>
    <t>Peak Diff. - Start</t>
  </si>
  <si>
    <t>Len. Left of Max</t>
  </si>
  <si>
    <t>Area Left of Max</t>
  </si>
  <si>
    <t>Len. Right of Max</t>
  </si>
  <si>
    <t>Area Right of Max</t>
  </si>
  <si>
    <t>Area Above Curve</t>
  </si>
  <si>
    <t>Pos @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</si>
</sst>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quotePrefix="1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0" fontId="0" fillId="6" borderId="0" xfId="0" applyFill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7" xfId="0" quotePrefix="1" applyFont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/>
    </xf>
    <xf numFmtId="0" fontId="1" fillId="2" borderId="9" xfId="0" quotePrefix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25"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Zealio V2 AC (78g)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Tactility!$M$7:$M$5001</c:f>
              <c:numCache>
                <c:formatCode>0.000</c:formatCode>
                <c:ptCount val="4995"/>
              </c:numCache>
            </c:numRef>
          </c:xVal>
          <c:yVal>
            <c:numRef>
              <c:f>Tactility!$D$7:$D$5001</c:f>
              <c:numCache>
                <c:formatCode>0.0</c:formatCode>
                <c:ptCount val="499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6-497D-826D-BC917408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Hyp. Line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0.18906309591046144"/>
                        <c:y val="-0.16744480437316137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Tactility!$M$21:$M$1001</c15:sqref>
                        </c15:formulaRef>
                      </c:ext>
                    </c:extLst>
                    <c:numCache>
                      <c:formatCode>0.000</c:formatCode>
                      <c:ptCount val="98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Tactility!$P$21:$P$1001</c15:sqref>
                        </c15:formulaRef>
                      </c:ext>
                    </c:extLst>
                    <c:numCache>
                      <c:formatCode>0.000</c:formatCode>
                      <c:ptCount val="98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D36-497D-826D-BC9174087E0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Lin 1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0.14444914014729973"/>
                        <c:y val="-0.2920311013544262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Tactility!$M$21:$M$67</c15:sqref>
                        </c15:formulaRef>
                      </c:ext>
                    </c:extLst>
                    <c:numCache>
                      <c:formatCode>0.000</c:formatCode>
                      <c:ptCount val="47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Tactility!$D$21:$D$67</c15:sqref>
                        </c15:formulaRef>
                      </c:ext>
                    </c:extLst>
                    <c:numCache>
                      <c:formatCode>0.0</c:formatCode>
                      <c:ptCount val="47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D8-4682-BFB1-590C77BAD7A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Lin 2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7.626392109039197E-2"/>
                        <c:y val="-0.24165690906685508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Tactility!$M$582:$M$783</c15:sqref>
                        </c15:formulaRef>
                      </c:ext>
                    </c:extLst>
                    <c:numCache>
                      <c:formatCode>0.000</c:formatCode>
                      <c:ptCount val="20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Tactility!$D$582:$D$783</c15:sqref>
                        </c15:formulaRef>
                      </c:ext>
                    </c:extLst>
                    <c:numCache>
                      <c:formatCode>0.0</c:formatCode>
                      <c:ptCount val="20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D8-4682-BFB1-590C77BAD7AA}"/>
                  </c:ext>
                </c:extLst>
              </c15:ser>
            </c15:filteredScatterSeries>
          </c:ext>
        </c:extLst>
      </c:scatterChart>
      <c:valAx>
        <c:axId val="1118368287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Zealio V2 AC (78g)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TactilityF!$M$7:$M$5001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1.5000000000000003E-2</c:v>
                </c:pt>
                <c:pt idx="4">
                  <c:v>0.02</c:v>
                </c:pt>
                <c:pt idx="5">
                  <c:v>2.4999999999999998E-2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9.9999999999999992E-2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0.26499999999999996</c:v>
                </c:pt>
                <c:pt idx="53">
                  <c:v>0.26999999999999996</c:v>
                </c:pt>
                <c:pt idx="54">
                  <c:v>0.27499999999999997</c:v>
                </c:pt>
                <c:pt idx="55">
                  <c:v>0.27999999999999997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0.3</c:v>
                </c:pt>
                <c:pt idx="59">
                  <c:v>0.31</c:v>
                </c:pt>
                <c:pt idx="60">
                  <c:v>0.32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0.33499999999999996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0.38999999999999996</c:v>
                </c:pt>
                <c:pt idx="75">
                  <c:v>0.39499999999999996</c:v>
                </c:pt>
                <c:pt idx="76">
                  <c:v>0.39999999999999997</c:v>
                </c:pt>
                <c:pt idx="77">
                  <c:v>0.40499999999999997</c:v>
                </c:pt>
                <c:pt idx="78">
                  <c:v>0.41</c:v>
                </c:pt>
                <c:pt idx="79">
                  <c:v>0.41499999999999998</c:v>
                </c:pt>
                <c:pt idx="80">
                  <c:v>0.42</c:v>
                </c:pt>
                <c:pt idx="81">
                  <c:v>0.42499999999999999</c:v>
                </c:pt>
                <c:pt idx="82">
                  <c:v>0.43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0.44999999999999996</c:v>
                </c:pt>
                <c:pt idx="87">
                  <c:v>0.45499999999999996</c:v>
                </c:pt>
                <c:pt idx="88">
                  <c:v>0.45999999999999996</c:v>
                </c:pt>
                <c:pt idx="89">
                  <c:v>0.46499999999999997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0.56999999999999995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0.58499999999999996</c:v>
                </c:pt>
                <c:pt idx="114">
                  <c:v>0.59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0.67499999999999993</c:v>
                </c:pt>
                <c:pt idx="132">
                  <c:v>0.67999999999999994</c:v>
                </c:pt>
                <c:pt idx="133">
                  <c:v>0.68499999999999994</c:v>
                </c:pt>
                <c:pt idx="134">
                  <c:v>0.69</c:v>
                </c:pt>
                <c:pt idx="135">
                  <c:v>0.69499999999999995</c:v>
                </c:pt>
                <c:pt idx="136">
                  <c:v>0.7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</c:v>
                </c:pt>
                <c:pt idx="140">
                  <c:v>0.73</c:v>
                </c:pt>
                <c:pt idx="141">
                  <c:v>0.73499999999999999</c:v>
                </c:pt>
                <c:pt idx="142">
                  <c:v>0.74</c:v>
                </c:pt>
                <c:pt idx="143">
                  <c:v>0.745</c:v>
                </c:pt>
                <c:pt idx="144">
                  <c:v>0.75</c:v>
                </c:pt>
                <c:pt idx="145">
                  <c:v>0.755</c:v>
                </c:pt>
                <c:pt idx="146">
                  <c:v>0.76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0.77500000000000002</c:v>
                </c:pt>
                <c:pt idx="150">
                  <c:v>0.78</c:v>
                </c:pt>
                <c:pt idx="151">
                  <c:v>0.78500000000000003</c:v>
                </c:pt>
                <c:pt idx="152">
                  <c:v>0.79</c:v>
                </c:pt>
                <c:pt idx="153">
                  <c:v>0.79499999999999993</c:v>
                </c:pt>
                <c:pt idx="154">
                  <c:v>0.79999999999999993</c:v>
                </c:pt>
                <c:pt idx="155">
                  <c:v>0.80499999999999994</c:v>
                </c:pt>
                <c:pt idx="156">
                  <c:v>0.80999999999999994</c:v>
                </c:pt>
                <c:pt idx="157">
                  <c:v>0.81499999999999995</c:v>
                </c:pt>
                <c:pt idx="158">
                  <c:v>0.82</c:v>
                </c:pt>
                <c:pt idx="159">
                  <c:v>0.82499999999999996</c:v>
                </c:pt>
                <c:pt idx="160">
                  <c:v>0.83</c:v>
                </c:pt>
                <c:pt idx="161">
                  <c:v>0.83499999999999996</c:v>
                </c:pt>
                <c:pt idx="162">
                  <c:v>0.84</c:v>
                </c:pt>
                <c:pt idx="163">
                  <c:v>0.84499999999999997</c:v>
                </c:pt>
                <c:pt idx="164">
                  <c:v>0.85499999999999998</c:v>
                </c:pt>
                <c:pt idx="165">
                  <c:v>0.86</c:v>
                </c:pt>
                <c:pt idx="166">
                  <c:v>0.87</c:v>
                </c:pt>
                <c:pt idx="167">
                  <c:v>0.875</c:v>
                </c:pt>
                <c:pt idx="168">
                  <c:v>0.88</c:v>
                </c:pt>
                <c:pt idx="169">
                  <c:v>0.89</c:v>
                </c:pt>
                <c:pt idx="170">
                  <c:v>0.89500000000000002</c:v>
                </c:pt>
                <c:pt idx="171">
                  <c:v>0.90500000000000003</c:v>
                </c:pt>
                <c:pt idx="172">
                  <c:v>0.91</c:v>
                </c:pt>
                <c:pt idx="173">
                  <c:v>0.91500000000000004</c:v>
                </c:pt>
                <c:pt idx="174">
                  <c:v>0.91999999999999993</c:v>
                </c:pt>
                <c:pt idx="175">
                  <c:v>0.92499999999999993</c:v>
                </c:pt>
                <c:pt idx="176">
                  <c:v>0.92999999999999994</c:v>
                </c:pt>
                <c:pt idx="177">
                  <c:v>0.93499999999999994</c:v>
                </c:pt>
                <c:pt idx="178">
                  <c:v>0.94</c:v>
                </c:pt>
                <c:pt idx="179">
                  <c:v>0.94499999999999995</c:v>
                </c:pt>
                <c:pt idx="180">
                  <c:v>0.95</c:v>
                </c:pt>
                <c:pt idx="181">
                  <c:v>0.95499999999999996</c:v>
                </c:pt>
                <c:pt idx="182">
                  <c:v>0.96</c:v>
                </c:pt>
                <c:pt idx="183">
                  <c:v>0.96499999999999997</c:v>
                </c:pt>
                <c:pt idx="184">
                  <c:v>0.97</c:v>
                </c:pt>
                <c:pt idx="185">
                  <c:v>0.97499999999999998</c:v>
                </c:pt>
                <c:pt idx="186">
                  <c:v>0.98</c:v>
                </c:pt>
                <c:pt idx="187">
                  <c:v>0.98499999999999988</c:v>
                </c:pt>
                <c:pt idx="188">
                  <c:v>0.99</c:v>
                </c:pt>
                <c:pt idx="189">
                  <c:v>1</c:v>
                </c:pt>
                <c:pt idx="190">
                  <c:v>1.0049999999999999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1.03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1.0649999999999999</c:v>
                </c:pt>
                <c:pt idx="201">
                  <c:v>1.07</c:v>
                </c:pt>
                <c:pt idx="202">
                  <c:v>1.075</c:v>
                </c:pt>
                <c:pt idx="203">
                  <c:v>1.08</c:v>
                </c:pt>
                <c:pt idx="204">
                  <c:v>1.085</c:v>
                </c:pt>
                <c:pt idx="205">
                  <c:v>1.0900000000000001</c:v>
                </c:pt>
                <c:pt idx="206">
                  <c:v>1.095</c:v>
                </c:pt>
                <c:pt idx="207">
                  <c:v>1.105</c:v>
                </c:pt>
                <c:pt idx="208">
                  <c:v>1.1099999999999999</c:v>
                </c:pt>
                <c:pt idx="209">
                  <c:v>1.115</c:v>
                </c:pt>
                <c:pt idx="210">
                  <c:v>1.1199999999999999</c:v>
                </c:pt>
                <c:pt idx="211">
                  <c:v>1.125</c:v>
                </c:pt>
                <c:pt idx="212">
                  <c:v>1.1299999999999999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1.165</c:v>
                </c:pt>
                <c:pt idx="220">
                  <c:v>1.17</c:v>
                </c:pt>
                <c:pt idx="221">
                  <c:v>1.175</c:v>
                </c:pt>
                <c:pt idx="222">
                  <c:v>1.18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1.2250000000000001</c:v>
                </c:pt>
                <c:pt idx="231">
                  <c:v>1.23</c:v>
                </c:pt>
                <c:pt idx="232">
                  <c:v>1.2349999999999999</c:v>
                </c:pt>
                <c:pt idx="233">
                  <c:v>1.24</c:v>
                </c:pt>
                <c:pt idx="234">
                  <c:v>1.2449999999999999</c:v>
                </c:pt>
                <c:pt idx="235">
                  <c:v>1.25</c:v>
                </c:pt>
                <c:pt idx="236">
                  <c:v>1.26</c:v>
                </c:pt>
                <c:pt idx="237">
                  <c:v>1.2649999999999999</c:v>
                </c:pt>
                <c:pt idx="238">
                  <c:v>1.27</c:v>
                </c:pt>
                <c:pt idx="239">
                  <c:v>1.28</c:v>
                </c:pt>
                <c:pt idx="240">
                  <c:v>1.29</c:v>
                </c:pt>
                <c:pt idx="241">
                  <c:v>1.2949999999999999</c:v>
                </c:pt>
                <c:pt idx="242">
                  <c:v>1.3</c:v>
                </c:pt>
                <c:pt idx="243">
                  <c:v>1.3049999999999999</c:v>
                </c:pt>
                <c:pt idx="244">
                  <c:v>1.3149999999999999</c:v>
                </c:pt>
                <c:pt idx="245">
                  <c:v>1.32</c:v>
                </c:pt>
                <c:pt idx="246">
                  <c:v>1.325</c:v>
                </c:pt>
                <c:pt idx="247">
                  <c:v>1.33</c:v>
                </c:pt>
                <c:pt idx="248">
                  <c:v>1.335</c:v>
                </c:pt>
                <c:pt idx="249">
                  <c:v>1.34</c:v>
                </c:pt>
                <c:pt idx="250">
                  <c:v>1.345</c:v>
                </c:pt>
                <c:pt idx="251">
                  <c:v>1.35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1.405</c:v>
                </c:pt>
                <c:pt idx="263">
                  <c:v>1.41</c:v>
                </c:pt>
                <c:pt idx="264">
                  <c:v>1.415</c:v>
                </c:pt>
                <c:pt idx="265">
                  <c:v>1.42</c:v>
                </c:pt>
                <c:pt idx="266">
                  <c:v>1.425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1.4550000000000001</c:v>
                </c:pt>
                <c:pt idx="271">
                  <c:v>1.46</c:v>
                </c:pt>
                <c:pt idx="272">
                  <c:v>1.4650000000000001</c:v>
                </c:pt>
                <c:pt idx="273">
                  <c:v>1.47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1.5149999999999999</c:v>
                </c:pt>
                <c:pt idx="283">
                  <c:v>1.52</c:v>
                </c:pt>
                <c:pt idx="284">
                  <c:v>1.5249999999999999</c:v>
                </c:pt>
                <c:pt idx="285">
                  <c:v>1.53</c:v>
                </c:pt>
                <c:pt idx="286">
                  <c:v>1.5349999999999999</c:v>
                </c:pt>
                <c:pt idx="287">
                  <c:v>1.54</c:v>
                </c:pt>
                <c:pt idx="288">
                  <c:v>1.5449999999999999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1.6099999999999999</c:v>
                </c:pt>
                <c:pt idx="302">
                  <c:v>1.615</c:v>
                </c:pt>
                <c:pt idx="303">
                  <c:v>1.6199999999999999</c:v>
                </c:pt>
                <c:pt idx="304">
                  <c:v>1.625</c:v>
                </c:pt>
                <c:pt idx="305">
                  <c:v>1.63</c:v>
                </c:pt>
                <c:pt idx="306">
                  <c:v>1.635</c:v>
                </c:pt>
                <c:pt idx="307">
                  <c:v>1.64</c:v>
                </c:pt>
                <c:pt idx="308">
                  <c:v>1.645</c:v>
                </c:pt>
                <c:pt idx="309">
                  <c:v>1.65</c:v>
                </c:pt>
                <c:pt idx="310">
                  <c:v>1.655</c:v>
                </c:pt>
                <c:pt idx="311">
                  <c:v>1.66</c:v>
                </c:pt>
                <c:pt idx="312">
                  <c:v>1.665</c:v>
                </c:pt>
                <c:pt idx="313">
                  <c:v>1.67</c:v>
                </c:pt>
                <c:pt idx="314">
                  <c:v>1.675</c:v>
                </c:pt>
                <c:pt idx="315">
                  <c:v>1.68</c:v>
                </c:pt>
                <c:pt idx="316">
                  <c:v>1.6850000000000001</c:v>
                </c:pt>
                <c:pt idx="317">
                  <c:v>1.69</c:v>
                </c:pt>
                <c:pt idx="318">
                  <c:v>1.6950000000000001</c:v>
                </c:pt>
                <c:pt idx="319">
                  <c:v>1.7</c:v>
                </c:pt>
                <c:pt idx="320">
                  <c:v>1.7050000000000001</c:v>
                </c:pt>
                <c:pt idx="321">
                  <c:v>1.71</c:v>
                </c:pt>
                <c:pt idx="322">
                  <c:v>1.7150000000000001</c:v>
                </c:pt>
                <c:pt idx="323">
                  <c:v>1.72</c:v>
                </c:pt>
                <c:pt idx="324">
                  <c:v>1.7250000000000001</c:v>
                </c:pt>
                <c:pt idx="325">
                  <c:v>1.73</c:v>
                </c:pt>
                <c:pt idx="326">
                  <c:v>1.7349999999999999</c:v>
                </c:pt>
                <c:pt idx="327">
                  <c:v>1.74</c:v>
                </c:pt>
                <c:pt idx="328">
                  <c:v>1.7449999999999999</c:v>
                </c:pt>
                <c:pt idx="329">
                  <c:v>1.75</c:v>
                </c:pt>
                <c:pt idx="330">
                  <c:v>1.7549999999999999</c:v>
                </c:pt>
                <c:pt idx="331">
                  <c:v>1.76</c:v>
                </c:pt>
                <c:pt idx="332">
                  <c:v>1.7649999999999999</c:v>
                </c:pt>
                <c:pt idx="333">
                  <c:v>1.77</c:v>
                </c:pt>
                <c:pt idx="334">
                  <c:v>1.7749999999999999</c:v>
                </c:pt>
                <c:pt idx="335">
                  <c:v>1.78</c:v>
                </c:pt>
                <c:pt idx="336">
                  <c:v>1.7849999999999999</c:v>
                </c:pt>
                <c:pt idx="337">
                  <c:v>1.79</c:v>
                </c:pt>
                <c:pt idx="338">
                  <c:v>1.7949999999999999</c:v>
                </c:pt>
                <c:pt idx="339">
                  <c:v>1.8</c:v>
                </c:pt>
                <c:pt idx="340">
                  <c:v>1.8049999999999999</c:v>
                </c:pt>
                <c:pt idx="341">
                  <c:v>1.81</c:v>
                </c:pt>
                <c:pt idx="342">
                  <c:v>1.8149999999999999</c:v>
                </c:pt>
                <c:pt idx="343">
                  <c:v>1.82</c:v>
                </c:pt>
                <c:pt idx="344">
                  <c:v>1.825</c:v>
                </c:pt>
                <c:pt idx="345">
                  <c:v>1.83</c:v>
                </c:pt>
                <c:pt idx="346">
                  <c:v>1.835</c:v>
                </c:pt>
                <c:pt idx="347">
                  <c:v>1.84</c:v>
                </c:pt>
                <c:pt idx="348">
                  <c:v>1.845</c:v>
                </c:pt>
                <c:pt idx="349">
                  <c:v>1.85</c:v>
                </c:pt>
                <c:pt idx="350">
                  <c:v>1.855</c:v>
                </c:pt>
                <c:pt idx="351">
                  <c:v>1.8599999999999999</c:v>
                </c:pt>
                <c:pt idx="352">
                  <c:v>1.865</c:v>
                </c:pt>
                <c:pt idx="353">
                  <c:v>1.8699999999999999</c:v>
                </c:pt>
                <c:pt idx="354">
                  <c:v>1.88</c:v>
                </c:pt>
                <c:pt idx="355">
                  <c:v>1.885</c:v>
                </c:pt>
                <c:pt idx="356">
                  <c:v>1.89</c:v>
                </c:pt>
                <c:pt idx="357">
                  <c:v>1.895</c:v>
                </c:pt>
                <c:pt idx="358">
                  <c:v>1.9</c:v>
                </c:pt>
                <c:pt idx="359">
                  <c:v>1.905</c:v>
                </c:pt>
                <c:pt idx="360">
                  <c:v>1.91</c:v>
                </c:pt>
                <c:pt idx="361">
                  <c:v>1.915</c:v>
                </c:pt>
                <c:pt idx="362">
                  <c:v>1.92</c:v>
                </c:pt>
                <c:pt idx="363">
                  <c:v>1.925</c:v>
                </c:pt>
                <c:pt idx="364">
                  <c:v>1.93</c:v>
                </c:pt>
                <c:pt idx="365">
                  <c:v>1.9350000000000001</c:v>
                </c:pt>
                <c:pt idx="366">
                  <c:v>1.94</c:v>
                </c:pt>
                <c:pt idx="367">
                  <c:v>1.9450000000000001</c:v>
                </c:pt>
                <c:pt idx="368">
                  <c:v>1.95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1.9650000000000001</c:v>
                </c:pt>
                <c:pt idx="372">
                  <c:v>1.97</c:v>
                </c:pt>
                <c:pt idx="373">
                  <c:v>1.9750000000000001</c:v>
                </c:pt>
                <c:pt idx="374">
                  <c:v>1.98</c:v>
                </c:pt>
                <c:pt idx="375">
                  <c:v>1.9849999999999999</c:v>
                </c:pt>
                <c:pt idx="376">
                  <c:v>1.9899999999999998</c:v>
                </c:pt>
                <c:pt idx="377">
                  <c:v>1.9950000000000001</c:v>
                </c:pt>
                <c:pt idx="378">
                  <c:v>2</c:v>
                </c:pt>
                <c:pt idx="379">
                  <c:v>2.0049999999999999</c:v>
                </c:pt>
                <c:pt idx="380">
                  <c:v>2.0099999999999998</c:v>
                </c:pt>
                <c:pt idx="381">
                  <c:v>2.0150000000000001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2.0299999999999998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2.0499999999999998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2.0699999999999998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2.13</c:v>
                </c:pt>
                <c:pt idx="405">
                  <c:v>2.1349999999999998</c:v>
                </c:pt>
                <c:pt idx="406">
                  <c:v>2.14</c:v>
                </c:pt>
                <c:pt idx="407">
                  <c:v>2.145</c:v>
                </c:pt>
                <c:pt idx="408">
                  <c:v>2.15</c:v>
                </c:pt>
                <c:pt idx="409">
                  <c:v>2.1549999999999998</c:v>
                </c:pt>
                <c:pt idx="410">
                  <c:v>2.16</c:v>
                </c:pt>
                <c:pt idx="411">
                  <c:v>2.165</c:v>
                </c:pt>
                <c:pt idx="412">
                  <c:v>2.17</c:v>
                </c:pt>
                <c:pt idx="413">
                  <c:v>2.1749999999999998</c:v>
                </c:pt>
                <c:pt idx="414">
                  <c:v>2.1800000000000002</c:v>
                </c:pt>
                <c:pt idx="415">
                  <c:v>2.1850000000000001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2.2399999999999998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2.2549999999999999</c:v>
                </c:pt>
                <c:pt idx="430">
                  <c:v>2.2599999999999998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2.2799999999999998</c:v>
                </c:pt>
                <c:pt idx="435">
                  <c:v>2.2850000000000001</c:v>
                </c:pt>
                <c:pt idx="436">
                  <c:v>2.29</c:v>
                </c:pt>
                <c:pt idx="437">
                  <c:v>2.2949999999999999</c:v>
                </c:pt>
                <c:pt idx="438">
                  <c:v>2.2999999999999998</c:v>
                </c:pt>
                <c:pt idx="439">
                  <c:v>2.3050000000000002</c:v>
                </c:pt>
                <c:pt idx="440">
                  <c:v>2.31</c:v>
                </c:pt>
                <c:pt idx="441">
                  <c:v>2.3149999999999999</c:v>
                </c:pt>
                <c:pt idx="442">
                  <c:v>2.3199999999999998</c:v>
                </c:pt>
                <c:pt idx="443">
                  <c:v>2.3250000000000002</c:v>
                </c:pt>
                <c:pt idx="444">
                  <c:v>2.33</c:v>
                </c:pt>
                <c:pt idx="445">
                  <c:v>2.335</c:v>
                </c:pt>
                <c:pt idx="446">
                  <c:v>2.34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</c:v>
                </c:pt>
                <c:pt idx="451">
                  <c:v>2.3649999999999998</c:v>
                </c:pt>
                <c:pt idx="452">
                  <c:v>2.375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</c:v>
                </c:pt>
                <c:pt idx="460">
                  <c:v>2.415</c:v>
                </c:pt>
                <c:pt idx="461">
                  <c:v>2.42</c:v>
                </c:pt>
                <c:pt idx="462">
                  <c:v>2.4249999999999998</c:v>
                </c:pt>
                <c:pt idx="463">
                  <c:v>2.4300000000000002</c:v>
                </c:pt>
                <c:pt idx="464">
                  <c:v>2.4350000000000001</c:v>
                </c:pt>
                <c:pt idx="465">
                  <c:v>2.44</c:v>
                </c:pt>
                <c:pt idx="466">
                  <c:v>2.4449999999999998</c:v>
                </c:pt>
                <c:pt idx="467">
                  <c:v>2.4500000000000002</c:v>
                </c:pt>
                <c:pt idx="468">
                  <c:v>2.4550000000000001</c:v>
                </c:pt>
                <c:pt idx="469">
                  <c:v>2.46</c:v>
                </c:pt>
                <c:pt idx="470">
                  <c:v>2.4649999999999999</c:v>
                </c:pt>
                <c:pt idx="471">
                  <c:v>2.4700000000000002</c:v>
                </c:pt>
                <c:pt idx="472">
                  <c:v>2.4750000000000001</c:v>
                </c:pt>
                <c:pt idx="473">
                  <c:v>2.48</c:v>
                </c:pt>
                <c:pt idx="474">
                  <c:v>2.4849999999999999</c:v>
                </c:pt>
                <c:pt idx="475">
                  <c:v>2.4899999999999998</c:v>
                </c:pt>
                <c:pt idx="476">
                  <c:v>2.4950000000000001</c:v>
                </c:pt>
                <c:pt idx="477">
                  <c:v>2.5</c:v>
                </c:pt>
                <c:pt idx="478">
                  <c:v>2.5049999999999999</c:v>
                </c:pt>
                <c:pt idx="479">
                  <c:v>2.5099999999999998</c:v>
                </c:pt>
                <c:pt idx="480">
                  <c:v>2.5150000000000001</c:v>
                </c:pt>
                <c:pt idx="481">
                  <c:v>2.52</c:v>
                </c:pt>
                <c:pt idx="482">
                  <c:v>2.5249999999999999</c:v>
                </c:pt>
                <c:pt idx="483">
                  <c:v>2.5299999999999998</c:v>
                </c:pt>
                <c:pt idx="484">
                  <c:v>2.5350000000000001</c:v>
                </c:pt>
                <c:pt idx="485">
                  <c:v>2.54</c:v>
                </c:pt>
                <c:pt idx="486">
                  <c:v>2.5449999999999999</c:v>
                </c:pt>
                <c:pt idx="487">
                  <c:v>2.5499999999999998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2.57</c:v>
                </c:pt>
                <c:pt idx="492">
                  <c:v>2.5750000000000002</c:v>
                </c:pt>
                <c:pt idx="493">
                  <c:v>2.58</c:v>
                </c:pt>
                <c:pt idx="494">
                  <c:v>2.585</c:v>
                </c:pt>
                <c:pt idx="495">
                  <c:v>2.59</c:v>
                </c:pt>
                <c:pt idx="496">
                  <c:v>2.5950000000000002</c:v>
                </c:pt>
                <c:pt idx="497">
                  <c:v>2.6</c:v>
                </c:pt>
                <c:pt idx="498">
                  <c:v>2.605</c:v>
                </c:pt>
                <c:pt idx="499">
                  <c:v>2.61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2.65</c:v>
                </c:pt>
                <c:pt idx="508">
                  <c:v>2.6549999999999998</c:v>
                </c:pt>
                <c:pt idx="509">
                  <c:v>2.66</c:v>
                </c:pt>
                <c:pt idx="510">
                  <c:v>2.665</c:v>
                </c:pt>
                <c:pt idx="511">
                  <c:v>2.67</c:v>
                </c:pt>
                <c:pt idx="512">
                  <c:v>2.6749999999999998</c:v>
                </c:pt>
                <c:pt idx="513">
                  <c:v>2.68</c:v>
                </c:pt>
                <c:pt idx="514">
                  <c:v>2.6850000000000001</c:v>
                </c:pt>
                <c:pt idx="515">
                  <c:v>2.69</c:v>
                </c:pt>
                <c:pt idx="516">
                  <c:v>2.6949999999999998</c:v>
                </c:pt>
                <c:pt idx="517">
                  <c:v>2.7</c:v>
                </c:pt>
                <c:pt idx="518">
                  <c:v>2.7050000000000001</c:v>
                </c:pt>
                <c:pt idx="519">
                  <c:v>2.71</c:v>
                </c:pt>
                <c:pt idx="520">
                  <c:v>2.7149999999999999</c:v>
                </c:pt>
                <c:pt idx="521">
                  <c:v>2.72</c:v>
                </c:pt>
                <c:pt idx="522">
                  <c:v>2.7250000000000001</c:v>
                </c:pt>
                <c:pt idx="523">
                  <c:v>2.73</c:v>
                </c:pt>
                <c:pt idx="524">
                  <c:v>2.7349999999999999</c:v>
                </c:pt>
                <c:pt idx="525">
                  <c:v>2.7450000000000001</c:v>
                </c:pt>
                <c:pt idx="526">
                  <c:v>2.75</c:v>
                </c:pt>
                <c:pt idx="527">
                  <c:v>2.76</c:v>
                </c:pt>
                <c:pt idx="528">
                  <c:v>2.7650000000000001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</c:v>
                </c:pt>
                <c:pt idx="532">
                  <c:v>2.7850000000000001</c:v>
                </c:pt>
                <c:pt idx="533">
                  <c:v>2.79</c:v>
                </c:pt>
                <c:pt idx="534">
                  <c:v>2.7949999999999999</c:v>
                </c:pt>
                <c:pt idx="535">
                  <c:v>2.8</c:v>
                </c:pt>
                <c:pt idx="536">
                  <c:v>2.8050000000000002</c:v>
                </c:pt>
                <c:pt idx="537">
                  <c:v>2.8149999999999999</c:v>
                </c:pt>
                <c:pt idx="538">
                  <c:v>2.82</c:v>
                </c:pt>
                <c:pt idx="539">
                  <c:v>2.83</c:v>
                </c:pt>
                <c:pt idx="540">
                  <c:v>2.835</c:v>
                </c:pt>
                <c:pt idx="541">
                  <c:v>2.84</c:v>
                </c:pt>
                <c:pt idx="542">
                  <c:v>2.8450000000000002</c:v>
                </c:pt>
                <c:pt idx="543">
                  <c:v>2.855</c:v>
                </c:pt>
                <c:pt idx="544">
                  <c:v>2.86</c:v>
                </c:pt>
                <c:pt idx="545">
                  <c:v>2.8649999999999998</c:v>
                </c:pt>
                <c:pt idx="546">
                  <c:v>2.87</c:v>
                </c:pt>
                <c:pt idx="547">
                  <c:v>2.875</c:v>
                </c:pt>
                <c:pt idx="548">
                  <c:v>2.88</c:v>
                </c:pt>
                <c:pt idx="549">
                  <c:v>2.8849999999999998</c:v>
                </c:pt>
                <c:pt idx="550">
                  <c:v>2.89</c:v>
                </c:pt>
                <c:pt idx="551">
                  <c:v>2.895</c:v>
                </c:pt>
                <c:pt idx="552">
                  <c:v>2.9049999999999998</c:v>
                </c:pt>
                <c:pt idx="553">
                  <c:v>2.91</c:v>
                </c:pt>
                <c:pt idx="554">
                  <c:v>2.92</c:v>
                </c:pt>
                <c:pt idx="555">
                  <c:v>2.9249999999999998</c:v>
                </c:pt>
                <c:pt idx="556">
                  <c:v>2.93</c:v>
                </c:pt>
                <c:pt idx="557">
                  <c:v>2.9350000000000001</c:v>
                </c:pt>
                <c:pt idx="558">
                  <c:v>2.9449999999999998</c:v>
                </c:pt>
                <c:pt idx="559">
                  <c:v>2.9550000000000001</c:v>
                </c:pt>
                <c:pt idx="560">
                  <c:v>2.9649999999999999</c:v>
                </c:pt>
                <c:pt idx="561">
                  <c:v>2.9750000000000001</c:v>
                </c:pt>
                <c:pt idx="562">
                  <c:v>2.9849999999999999</c:v>
                </c:pt>
                <c:pt idx="563">
                  <c:v>2.9899999999999998</c:v>
                </c:pt>
                <c:pt idx="564">
                  <c:v>3</c:v>
                </c:pt>
                <c:pt idx="565">
                  <c:v>3.0049999999999999</c:v>
                </c:pt>
                <c:pt idx="566">
                  <c:v>3.0150000000000001</c:v>
                </c:pt>
                <c:pt idx="567">
                  <c:v>3.02</c:v>
                </c:pt>
                <c:pt idx="568">
                  <c:v>3.0249999999999999</c:v>
                </c:pt>
                <c:pt idx="569">
                  <c:v>3.0350000000000001</c:v>
                </c:pt>
                <c:pt idx="570">
                  <c:v>3.04</c:v>
                </c:pt>
                <c:pt idx="571">
                  <c:v>3.0449999999999999</c:v>
                </c:pt>
                <c:pt idx="572">
                  <c:v>3.05</c:v>
                </c:pt>
                <c:pt idx="573">
                  <c:v>3.0550000000000002</c:v>
                </c:pt>
                <c:pt idx="574">
                  <c:v>3.06</c:v>
                </c:pt>
                <c:pt idx="575">
                  <c:v>3.0649999999999999</c:v>
                </c:pt>
                <c:pt idx="576">
                  <c:v>3.07</c:v>
                </c:pt>
                <c:pt idx="577">
                  <c:v>3.0750000000000002</c:v>
                </c:pt>
                <c:pt idx="578">
                  <c:v>3.08</c:v>
                </c:pt>
                <c:pt idx="579">
                  <c:v>3.085</c:v>
                </c:pt>
                <c:pt idx="580">
                  <c:v>3.09</c:v>
                </c:pt>
                <c:pt idx="581">
                  <c:v>3.0950000000000002</c:v>
                </c:pt>
                <c:pt idx="582">
                  <c:v>3.1</c:v>
                </c:pt>
                <c:pt idx="583">
                  <c:v>3.105</c:v>
                </c:pt>
                <c:pt idx="584">
                  <c:v>3.11</c:v>
                </c:pt>
                <c:pt idx="585">
                  <c:v>3.1149999999999998</c:v>
                </c:pt>
                <c:pt idx="586">
                  <c:v>3.12</c:v>
                </c:pt>
                <c:pt idx="587">
                  <c:v>3.125</c:v>
                </c:pt>
                <c:pt idx="588">
                  <c:v>3.13</c:v>
                </c:pt>
                <c:pt idx="589">
                  <c:v>3.1349999999999998</c:v>
                </c:pt>
                <c:pt idx="590">
                  <c:v>3.14</c:v>
                </c:pt>
                <c:pt idx="591">
                  <c:v>3.145</c:v>
                </c:pt>
                <c:pt idx="592">
                  <c:v>3.15</c:v>
                </c:pt>
                <c:pt idx="593">
                  <c:v>3.1549999999999998</c:v>
                </c:pt>
                <c:pt idx="594">
                  <c:v>3.16</c:v>
                </c:pt>
                <c:pt idx="595">
                  <c:v>3.165</c:v>
                </c:pt>
                <c:pt idx="596">
                  <c:v>3.17</c:v>
                </c:pt>
                <c:pt idx="597">
                  <c:v>3.1749999999999998</c:v>
                </c:pt>
                <c:pt idx="598">
                  <c:v>3.18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3.1949999999999998</c:v>
                </c:pt>
                <c:pt idx="602">
                  <c:v>3.2</c:v>
                </c:pt>
                <c:pt idx="603">
                  <c:v>3.2050000000000001</c:v>
                </c:pt>
                <c:pt idx="604">
                  <c:v>3.21</c:v>
                </c:pt>
                <c:pt idx="605">
                  <c:v>3.2149999999999999</c:v>
                </c:pt>
                <c:pt idx="606">
                  <c:v>3.22</c:v>
                </c:pt>
                <c:pt idx="607">
                  <c:v>3.2250000000000001</c:v>
                </c:pt>
                <c:pt idx="608">
                  <c:v>3.23</c:v>
                </c:pt>
                <c:pt idx="609">
                  <c:v>3.2349999999999999</c:v>
                </c:pt>
                <c:pt idx="610">
                  <c:v>3.2399999999999998</c:v>
                </c:pt>
                <c:pt idx="611">
                  <c:v>3.2450000000000001</c:v>
                </c:pt>
                <c:pt idx="612">
                  <c:v>3.25</c:v>
                </c:pt>
                <c:pt idx="613">
                  <c:v>3.2549999999999999</c:v>
                </c:pt>
                <c:pt idx="614">
                  <c:v>3.26</c:v>
                </c:pt>
                <c:pt idx="615">
                  <c:v>3.2650000000000001</c:v>
                </c:pt>
                <c:pt idx="616">
                  <c:v>3.27</c:v>
                </c:pt>
                <c:pt idx="617">
                  <c:v>3.2749999999999999</c:v>
                </c:pt>
                <c:pt idx="618">
                  <c:v>3.28</c:v>
                </c:pt>
                <c:pt idx="619">
                  <c:v>3.2850000000000001</c:v>
                </c:pt>
                <c:pt idx="620">
                  <c:v>3.29</c:v>
                </c:pt>
                <c:pt idx="621">
                  <c:v>3.2949999999999999</c:v>
                </c:pt>
                <c:pt idx="622">
                  <c:v>3.3</c:v>
                </c:pt>
                <c:pt idx="623">
                  <c:v>3.3050000000000002</c:v>
                </c:pt>
                <c:pt idx="624">
                  <c:v>3.31</c:v>
                </c:pt>
                <c:pt idx="625">
                  <c:v>3.3149999999999999</c:v>
                </c:pt>
                <c:pt idx="626">
                  <c:v>3.32</c:v>
                </c:pt>
                <c:pt idx="627">
                  <c:v>3.3250000000000002</c:v>
                </c:pt>
                <c:pt idx="628">
                  <c:v>3.33</c:v>
                </c:pt>
                <c:pt idx="629">
                  <c:v>3.335</c:v>
                </c:pt>
                <c:pt idx="630">
                  <c:v>3.34</c:v>
                </c:pt>
                <c:pt idx="631">
                  <c:v>3.3450000000000002</c:v>
                </c:pt>
                <c:pt idx="632">
                  <c:v>3.35</c:v>
                </c:pt>
                <c:pt idx="633">
                  <c:v>3.355</c:v>
                </c:pt>
                <c:pt idx="634">
                  <c:v>3.36</c:v>
                </c:pt>
                <c:pt idx="635">
                  <c:v>3.3649999999999998</c:v>
                </c:pt>
                <c:pt idx="636">
                  <c:v>3.37</c:v>
                </c:pt>
                <c:pt idx="637">
                  <c:v>3.375</c:v>
                </c:pt>
                <c:pt idx="638">
                  <c:v>3.38</c:v>
                </c:pt>
                <c:pt idx="639">
                  <c:v>3.3849999999999998</c:v>
                </c:pt>
                <c:pt idx="640">
                  <c:v>3.39</c:v>
                </c:pt>
                <c:pt idx="641">
                  <c:v>3.395</c:v>
                </c:pt>
                <c:pt idx="642">
                  <c:v>3.4</c:v>
                </c:pt>
                <c:pt idx="643">
                  <c:v>3.4049999999999998</c:v>
                </c:pt>
                <c:pt idx="644">
                  <c:v>3.41</c:v>
                </c:pt>
                <c:pt idx="645">
                  <c:v>3.415</c:v>
                </c:pt>
                <c:pt idx="646">
                  <c:v>3.42</c:v>
                </c:pt>
                <c:pt idx="647">
                  <c:v>3.4249999999999998</c:v>
                </c:pt>
                <c:pt idx="648">
                  <c:v>3.43</c:v>
                </c:pt>
                <c:pt idx="649">
                  <c:v>3.4350000000000001</c:v>
                </c:pt>
                <c:pt idx="650">
                  <c:v>3.44</c:v>
                </c:pt>
                <c:pt idx="651">
                  <c:v>3.4449999999999998</c:v>
                </c:pt>
                <c:pt idx="652">
                  <c:v>3.4550000000000001</c:v>
                </c:pt>
                <c:pt idx="653">
                  <c:v>3.46</c:v>
                </c:pt>
                <c:pt idx="654">
                  <c:v>3.4649999999999999</c:v>
                </c:pt>
                <c:pt idx="655">
                  <c:v>3.47</c:v>
                </c:pt>
                <c:pt idx="656">
                  <c:v>3.4750000000000001</c:v>
                </c:pt>
                <c:pt idx="657">
                  <c:v>3.48</c:v>
                </c:pt>
                <c:pt idx="658">
                  <c:v>3.4849999999999999</c:v>
                </c:pt>
                <c:pt idx="659">
                  <c:v>3.4899999999999998</c:v>
                </c:pt>
                <c:pt idx="660">
                  <c:v>3.4950000000000001</c:v>
                </c:pt>
                <c:pt idx="661">
                  <c:v>3.5</c:v>
                </c:pt>
                <c:pt idx="662">
                  <c:v>3.5049999999999999</c:v>
                </c:pt>
                <c:pt idx="663">
                  <c:v>3.51</c:v>
                </c:pt>
                <c:pt idx="664">
                  <c:v>3.5150000000000001</c:v>
                </c:pt>
                <c:pt idx="665">
                  <c:v>3.52</c:v>
                </c:pt>
                <c:pt idx="666">
                  <c:v>3.5249999999999999</c:v>
                </c:pt>
                <c:pt idx="667">
                  <c:v>3.53</c:v>
                </c:pt>
                <c:pt idx="668">
                  <c:v>3.5350000000000001</c:v>
                </c:pt>
                <c:pt idx="669">
                  <c:v>3.54</c:v>
                </c:pt>
                <c:pt idx="670">
                  <c:v>3.5449999999999999</c:v>
                </c:pt>
                <c:pt idx="671">
                  <c:v>3.55</c:v>
                </c:pt>
                <c:pt idx="672">
                  <c:v>3.5550000000000002</c:v>
                </c:pt>
                <c:pt idx="673">
                  <c:v>3.56</c:v>
                </c:pt>
                <c:pt idx="674">
                  <c:v>3.5649999999999999</c:v>
                </c:pt>
                <c:pt idx="675">
                  <c:v>3.57</c:v>
                </c:pt>
                <c:pt idx="676">
                  <c:v>3.5750000000000002</c:v>
                </c:pt>
                <c:pt idx="677">
                  <c:v>3.58</c:v>
                </c:pt>
                <c:pt idx="678">
                  <c:v>3.585</c:v>
                </c:pt>
                <c:pt idx="679">
                  <c:v>3.59</c:v>
                </c:pt>
                <c:pt idx="680">
                  <c:v>3.5950000000000002</c:v>
                </c:pt>
                <c:pt idx="681">
                  <c:v>3.6</c:v>
                </c:pt>
                <c:pt idx="682">
                  <c:v>3.605</c:v>
                </c:pt>
                <c:pt idx="683">
                  <c:v>3.61</c:v>
                </c:pt>
                <c:pt idx="684">
                  <c:v>3.6149999999999998</c:v>
                </c:pt>
                <c:pt idx="685">
                  <c:v>3.62</c:v>
                </c:pt>
                <c:pt idx="686">
                  <c:v>3.625</c:v>
                </c:pt>
                <c:pt idx="687">
                  <c:v>3.63</c:v>
                </c:pt>
                <c:pt idx="688">
                  <c:v>3.6349999999999998</c:v>
                </c:pt>
                <c:pt idx="689">
                  <c:v>3.64</c:v>
                </c:pt>
                <c:pt idx="690">
                  <c:v>3.645</c:v>
                </c:pt>
                <c:pt idx="691">
                  <c:v>3.65</c:v>
                </c:pt>
                <c:pt idx="692">
                  <c:v>3.6549999999999998</c:v>
                </c:pt>
                <c:pt idx="693">
                  <c:v>3.66</c:v>
                </c:pt>
                <c:pt idx="694">
                  <c:v>3.665</c:v>
                </c:pt>
                <c:pt idx="695">
                  <c:v>3.67</c:v>
                </c:pt>
                <c:pt idx="696">
                  <c:v>3.6749999999999998</c:v>
                </c:pt>
                <c:pt idx="697">
                  <c:v>3.68</c:v>
                </c:pt>
                <c:pt idx="698">
                  <c:v>3.6850000000000001</c:v>
                </c:pt>
                <c:pt idx="699">
                  <c:v>3.69</c:v>
                </c:pt>
                <c:pt idx="700">
                  <c:v>3.6949999999999998</c:v>
                </c:pt>
                <c:pt idx="701">
                  <c:v>3.7</c:v>
                </c:pt>
                <c:pt idx="702">
                  <c:v>3.7050000000000001</c:v>
                </c:pt>
                <c:pt idx="703">
                  <c:v>3.71</c:v>
                </c:pt>
                <c:pt idx="704">
                  <c:v>3.7149999999999999</c:v>
                </c:pt>
                <c:pt idx="705">
                  <c:v>3.72</c:v>
                </c:pt>
                <c:pt idx="706">
                  <c:v>3.7250000000000001</c:v>
                </c:pt>
                <c:pt idx="707">
                  <c:v>3.73</c:v>
                </c:pt>
                <c:pt idx="708">
                  <c:v>3.7349999999999999</c:v>
                </c:pt>
                <c:pt idx="709">
                  <c:v>3.7450000000000001</c:v>
                </c:pt>
                <c:pt idx="710">
                  <c:v>3.75</c:v>
                </c:pt>
                <c:pt idx="711">
                  <c:v>3.76</c:v>
                </c:pt>
                <c:pt idx="712">
                  <c:v>3.7650000000000001</c:v>
                </c:pt>
                <c:pt idx="713">
                  <c:v>3.77</c:v>
                </c:pt>
                <c:pt idx="714">
                  <c:v>3.7749999999999999</c:v>
                </c:pt>
                <c:pt idx="715">
                  <c:v>3.7850000000000001</c:v>
                </c:pt>
                <c:pt idx="716">
                  <c:v>3.79</c:v>
                </c:pt>
                <c:pt idx="717">
                  <c:v>3.8</c:v>
                </c:pt>
                <c:pt idx="718">
                  <c:v>3.8050000000000002</c:v>
                </c:pt>
                <c:pt idx="719">
                  <c:v>3.81</c:v>
                </c:pt>
                <c:pt idx="720">
                  <c:v>3.8149999999999999</c:v>
                </c:pt>
                <c:pt idx="721">
                  <c:v>3.82</c:v>
                </c:pt>
                <c:pt idx="722">
                  <c:v>3.8250000000000002</c:v>
                </c:pt>
                <c:pt idx="723">
                  <c:v>3.83</c:v>
                </c:pt>
                <c:pt idx="724">
                  <c:v>3.835</c:v>
                </c:pt>
                <c:pt idx="725">
                  <c:v>3.84</c:v>
                </c:pt>
                <c:pt idx="726">
                  <c:v>3.8450000000000002</c:v>
                </c:pt>
                <c:pt idx="727">
                  <c:v>3.85</c:v>
                </c:pt>
                <c:pt idx="728">
                  <c:v>3.855</c:v>
                </c:pt>
                <c:pt idx="729">
                  <c:v>3.86</c:v>
                </c:pt>
                <c:pt idx="730">
                  <c:v>3.8649999999999998</c:v>
                </c:pt>
                <c:pt idx="731">
                  <c:v>3.87</c:v>
                </c:pt>
                <c:pt idx="732">
                  <c:v>3.875</c:v>
                </c:pt>
                <c:pt idx="733">
                  <c:v>3.88</c:v>
                </c:pt>
                <c:pt idx="734">
                  <c:v>3.8849999999999998</c:v>
                </c:pt>
                <c:pt idx="735">
                  <c:v>3.89</c:v>
                </c:pt>
                <c:pt idx="736">
                  <c:v>3.895</c:v>
                </c:pt>
                <c:pt idx="737">
                  <c:v>3.9</c:v>
                </c:pt>
                <c:pt idx="738">
                  <c:v>3.9049999999999998</c:v>
                </c:pt>
                <c:pt idx="739">
                  <c:v>3.91</c:v>
                </c:pt>
                <c:pt idx="740">
                  <c:v>3.915</c:v>
                </c:pt>
                <c:pt idx="741">
                  <c:v>3.92</c:v>
                </c:pt>
                <c:pt idx="742">
                  <c:v>3.9249999999999998</c:v>
                </c:pt>
                <c:pt idx="743">
                  <c:v>3.93</c:v>
                </c:pt>
                <c:pt idx="744">
                  <c:v>3.9350000000000001</c:v>
                </c:pt>
                <c:pt idx="745">
                  <c:v>3.94</c:v>
                </c:pt>
                <c:pt idx="746">
                  <c:v>3.9449999999999998</c:v>
                </c:pt>
                <c:pt idx="747">
                  <c:v>3.95</c:v>
                </c:pt>
                <c:pt idx="748">
                  <c:v>3.9550000000000001</c:v>
                </c:pt>
                <c:pt idx="749">
                  <c:v>3.96</c:v>
                </c:pt>
                <c:pt idx="750">
                  <c:v>3.9649999999999999</c:v>
                </c:pt>
                <c:pt idx="751">
                  <c:v>3.97</c:v>
                </c:pt>
                <c:pt idx="752">
                  <c:v>3.9750000000000001</c:v>
                </c:pt>
                <c:pt idx="753">
                  <c:v>3.98</c:v>
                </c:pt>
                <c:pt idx="754">
                  <c:v>3.9849999999999999</c:v>
                </c:pt>
                <c:pt idx="755">
                  <c:v>3.9899999999999998</c:v>
                </c:pt>
                <c:pt idx="756">
                  <c:v>3.9949999999999997</c:v>
                </c:pt>
                <c:pt idx="757">
                  <c:v>3.9999999999999996</c:v>
                </c:pt>
                <c:pt idx="758">
                  <c:v>4.0050000000000008</c:v>
                </c:pt>
                <c:pt idx="759">
                  <c:v>4.0100000000000007</c:v>
                </c:pt>
                <c:pt idx="760">
                  <c:v>4.0150000000000006</c:v>
                </c:pt>
                <c:pt idx="761">
                  <c:v>4.0200000000000005</c:v>
                </c:pt>
                <c:pt idx="762">
                  <c:v>4.0250000000000004</c:v>
                </c:pt>
                <c:pt idx="763">
                  <c:v>4.03</c:v>
                </c:pt>
                <c:pt idx="764">
                  <c:v>4.0350000000000001</c:v>
                </c:pt>
                <c:pt idx="765">
                  <c:v>4.04</c:v>
                </c:pt>
                <c:pt idx="766">
                  <c:v>4.0450000000000008</c:v>
                </c:pt>
                <c:pt idx="767">
                  <c:v>4.0500000000000007</c:v>
                </c:pt>
                <c:pt idx="768">
                  <c:v>4.0550000000000006</c:v>
                </c:pt>
                <c:pt idx="769">
                  <c:v>4.0600000000000005</c:v>
                </c:pt>
                <c:pt idx="770">
                  <c:v>4.0650000000000004</c:v>
                </c:pt>
                <c:pt idx="771">
                  <c:v>4.07</c:v>
                </c:pt>
                <c:pt idx="772">
                  <c:v>4.0750000000000002</c:v>
                </c:pt>
                <c:pt idx="773">
                  <c:v>4.08</c:v>
                </c:pt>
                <c:pt idx="774">
                  <c:v>4.0850000000000009</c:v>
                </c:pt>
                <c:pt idx="775">
                  <c:v>4.0900000000000007</c:v>
                </c:pt>
                <c:pt idx="776">
                  <c:v>4.0950000000000006</c:v>
                </c:pt>
                <c:pt idx="777">
                  <c:v>4.1000000000000005</c:v>
                </c:pt>
                <c:pt idx="778">
                  <c:v>4.1050000000000004</c:v>
                </c:pt>
                <c:pt idx="779">
                  <c:v>4.1100000000000003</c:v>
                </c:pt>
                <c:pt idx="780">
                  <c:v>4.1150000000000002</c:v>
                </c:pt>
                <c:pt idx="781">
                  <c:v>4.12</c:v>
                </c:pt>
                <c:pt idx="782">
                  <c:v>4.125</c:v>
                </c:pt>
                <c:pt idx="783">
                  <c:v>4.1300000000000008</c:v>
                </c:pt>
                <c:pt idx="784">
                  <c:v>4.1350000000000007</c:v>
                </c:pt>
                <c:pt idx="785">
                  <c:v>4.1400000000000006</c:v>
                </c:pt>
                <c:pt idx="786">
                  <c:v>4.1450000000000005</c:v>
                </c:pt>
                <c:pt idx="787">
                  <c:v>4.1500000000000004</c:v>
                </c:pt>
              </c:numCache>
            </c:numRef>
          </c:xVal>
          <c:yVal>
            <c:numRef>
              <c:f>TactilityF!$D$7:$D$5001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5.5</c:v>
                </c:pt>
                <c:pt idx="3">
                  <c:v>11</c:v>
                </c:pt>
                <c:pt idx="4">
                  <c:v>15.2</c:v>
                </c:pt>
                <c:pt idx="5">
                  <c:v>19.399999999999999</c:v>
                </c:pt>
                <c:pt idx="6">
                  <c:v>22.9</c:v>
                </c:pt>
                <c:pt idx="7">
                  <c:v>27.2</c:v>
                </c:pt>
                <c:pt idx="8">
                  <c:v>31.2</c:v>
                </c:pt>
                <c:pt idx="9">
                  <c:v>34.700000000000003</c:v>
                </c:pt>
                <c:pt idx="10">
                  <c:v>38</c:v>
                </c:pt>
                <c:pt idx="11">
                  <c:v>38.700000000000003</c:v>
                </c:pt>
                <c:pt idx="12">
                  <c:v>40.700000000000003</c:v>
                </c:pt>
                <c:pt idx="13">
                  <c:v>42.7</c:v>
                </c:pt>
                <c:pt idx="14">
                  <c:v>43.4</c:v>
                </c:pt>
                <c:pt idx="15">
                  <c:v>44.9</c:v>
                </c:pt>
                <c:pt idx="16">
                  <c:v>44.4</c:v>
                </c:pt>
                <c:pt idx="17">
                  <c:v>44.4</c:v>
                </c:pt>
                <c:pt idx="18">
                  <c:v>44.5</c:v>
                </c:pt>
                <c:pt idx="19">
                  <c:v>44.4</c:v>
                </c:pt>
                <c:pt idx="20">
                  <c:v>44.3</c:v>
                </c:pt>
                <c:pt idx="21">
                  <c:v>44.3</c:v>
                </c:pt>
                <c:pt idx="22">
                  <c:v>44.5</c:v>
                </c:pt>
                <c:pt idx="23">
                  <c:v>44.6</c:v>
                </c:pt>
                <c:pt idx="24">
                  <c:v>44.4</c:v>
                </c:pt>
                <c:pt idx="25">
                  <c:v>44.4</c:v>
                </c:pt>
                <c:pt idx="26">
                  <c:v>44.1</c:v>
                </c:pt>
                <c:pt idx="27">
                  <c:v>44</c:v>
                </c:pt>
                <c:pt idx="28">
                  <c:v>44</c:v>
                </c:pt>
                <c:pt idx="29">
                  <c:v>43.9</c:v>
                </c:pt>
                <c:pt idx="30">
                  <c:v>43.6</c:v>
                </c:pt>
                <c:pt idx="31">
                  <c:v>43.5</c:v>
                </c:pt>
                <c:pt idx="32">
                  <c:v>43.3</c:v>
                </c:pt>
                <c:pt idx="33">
                  <c:v>43.2</c:v>
                </c:pt>
                <c:pt idx="34">
                  <c:v>43.4</c:v>
                </c:pt>
                <c:pt idx="35">
                  <c:v>43.5</c:v>
                </c:pt>
                <c:pt idx="36">
                  <c:v>43.5</c:v>
                </c:pt>
                <c:pt idx="37">
                  <c:v>43.4</c:v>
                </c:pt>
                <c:pt idx="38">
                  <c:v>43.5</c:v>
                </c:pt>
                <c:pt idx="39">
                  <c:v>43.3</c:v>
                </c:pt>
                <c:pt idx="40">
                  <c:v>43.3</c:v>
                </c:pt>
                <c:pt idx="41">
                  <c:v>43.2</c:v>
                </c:pt>
                <c:pt idx="42">
                  <c:v>43.3</c:v>
                </c:pt>
                <c:pt idx="43">
                  <c:v>43.5</c:v>
                </c:pt>
                <c:pt idx="44">
                  <c:v>43.6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43.7</c:v>
                </c:pt>
                <c:pt idx="49">
                  <c:v>43.7</c:v>
                </c:pt>
                <c:pt idx="50">
                  <c:v>43.9</c:v>
                </c:pt>
                <c:pt idx="51">
                  <c:v>44</c:v>
                </c:pt>
                <c:pt idx="52">
                  <c:v>44.2</c:v>
                </c:pt>
                <c:pt idx="53">
                  <c:v>44.5</c:v>
                </c:pt>
                <c:pt idx="54">
                  <c:v>44.6</c:v>
                </c:pt>
                <c:pt idx="55">
                  <c:v>44.7</c:v>
                </c:pt>
                <c:pt idx="56">
                  <c:v>44.7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45.1</c:v>
                </c:pt>
                <c:pt idx="61">
                  <c:v>45.3</c:v>
                </c:pt>
                <c:pt idx="62">
                  <c:v>45.5</c:v>
                </c:pt>
                <c:pt idx="63">
                  <c:v>45.9</c:v>
                </c:pt>
                <c:pt idx="64">
                  <c:v>46.1</c:v>
                </c:pt>
                <c:pt idx="65">
                  <c:v>46.5</c:v>
                </c:pt>
                <c:pt idx="66">
                  <c:v>46.9</c:v>
                </c:pt>
                <c:pt idx="67">
                  <c:v>47.7</c:v>
                </c:pt>
                <c:pt idx="68">
                  <c:v>49.7</c:v>
                </c:pt>
                <c:pt idx="69">
                  <c:v>50.6</c:v>
                </c:pt>
                <c:pt idx="70">
                  <c:v>51.5</c:v>
                </c:pt>
                <c:pt idx="71">
                  <c:v>52.2</c:v>
                </c:pt>
                <c:pt idx="72">
                  <c:v>53.5</c:v>
                </c:pt>
                <c:pt idx="73">
                  <c:v>54.2</c:v>
                </c:pt>
                <c:pt idx="74">
                  <c:v>55.4</c:v>
                </c:pt>
                <c:pt idx="75">
                  <c:v>55.7</c:v>
                </c:pt>
                <c:pt idx="76">
                  <c:v>56</c:v>
                </c:pt>
                <c:pt idx="77">
                  <c:v>56.6</c:v>
                </c:pt>
                <c:pt idx="78">
                  <c:v>57.3</c:v>
                </c:pt>
                <c:pt idx="79">
                  <c:v>56.5</c:v>
                </c:pt>
                <c:pt idx="80">
                  <c:v>57.3</c:v>
                </c:pt>
                <c:pt idx="81">
                  <c:v>58</c:v>
                </c:pt>
                <c:pt idx="82">
                  <c:v>58.6</c:v>
                </c:pt>
                <c:pt idx="83">
                  <c:v>59.8</c:v>
                </c:pt>
                <c:pt idx="84">
                  <c:v>60.4</c:v>
                </c:pt>
                <c:pt idx="85">
                  <c:v>60.9</c:v>
                </c:pt>
                <c:pt idx="86">
                  <c:v>61.9</c:v>
                </c:pt>
                <c:pt idx="87">
                  <c:v>62.3</c:v>
                </c:pt>
                <c:pt idx="88">
                  <c:v>64.099999999999994</c:v>
                </c:pt>
                <c:pt idx="89">
                  <c:v>64.8</c:v>
                </c:pt>
                <c:pt idx="90">
                  <c:v>65.3</c:v>
                </c:pt>
                <c:pt idx="91">
                  <c:v>66.2</c:v>
                </c:pt>
                <c:pt idx="92">
                  <c:v>67</c:v>
                </c:pt>
                <c:pt idx="93">
                  <c:v>67.900000000000006</c:v>
                </c:pt>
                <c:pt idx="94">
                  <c:v>68.2</c:v>
                </c:pt>
                <c:pt idx="95">
                  <c:v>68.099999999999994</c:v>
                </c:pt>
                <c:pt idx="96">
                  <c:v>69.2</c:v>
                </c:pt>
                <c:pt idx="97">
                  <c:v>69.7</c:v>
                </c:pt>
                <c:pt idx="98">
                  <c:v>69.099999999999994</c:v>
                </c:pt>
                <c:pt idx="99">
                  <c:v>68.900000000000006</c:v>
                </c:pt>
                <c:pt idx="100">
                  <c:v>69.2</c:v>
                </c:pt>
                <c:pt idx="101">
                  <c:v>70</c:v>
                </c:pt>
                <c:pt idx="102">
                  <c:v>70.099999999999994</c:v>
                </c:pt>
                <c:pt idx="103">
                  <c:v>71.099999999999994</c:v>
                </c:pt>
                <c:pt idx="104">
                  <c:v>71.599999999999994</c:v>
                </c:pt>
                <c:pt idx="105">
                  <c:v>71.900000000000006</c:v>
                </c:pt>
                <c:pt idx="106">
                  <c:v>69.7</c:v>
                </c:pt>
                <c:pt idx="107">
                  <c:v>69</c:v>
                </c:pt>
                <c:pt idx="108">
                  <c:v>70</c:v>
                </c:pt>
                <c:pt idx="109">
                  <c:v>70.7</c:v>
                </c:pt>
                <c:pt idx="110">
                  <c:v>71.2</c:v>
                </c:pt>
                <c:pt idx="111">
                  <c:v>71.400000000000006</c:v>
                </c:pt>
                <c:pt idx="112">
                  <c:v>72.7</c:v>
                </c:pt>
                <c:pt idx="113">
                  <c:v>73.400000000000006</c:v>
                </c:pt>
                <c:pt idx="114">
                  <c:v>74</c:v>
                </c:pt>
                <c:pt idx="115">
                  <c:v>74</c:v>
                </c:pt>
                <c:pt idx="116">
                  <c:v>74.099999999999994</c:v>
                </c:pt>
                <c:pt idx="117">
                  <c:v>74.400000000000006</c:v>
                </c:pt>
                <c:pt idx="118">
                  <c:v>75.2</c:v>
                </c:pt>
                <c:pt idx="119">
                  <c:v>75.400000000000006</c:v>
                </c:pt>
                <c:pt idx="120">
                  <c:v>75.8</c:v>
                </c:pt>
                <c:pt idx="121">
                  <c:v>76</c:v>
                </c:pt>
                <c:pt idx="122">
                  <c:v>76.099999999999994</c:v>
                </c:pt>
                <c:pt idx="123">
                  <c:v>76.599999999999994</c:v>
                </c:pt>
                <c:pt idx="124">
                  <c:v>77</c:v>
                </c:pt>
                <c:pt idx="125">
                  <c:v>77.5</c:v>
                </c:pt>
                <c:pt idx="126">
                  <c:v>77.7</c:v>
                </c:pt>
                <c:pt idx="127">
                  <c:v>77.900000000000006</c:v>
                </c:pt>
                <c:pt idx="128">
                  <c:v>78.400000000000006</c:v>
                </c:pt>
                <c:pt idx="129">
                  <c:v>78.400000000000006</c:v>
                </c:pt>
                <c:pt idx="130">
                  <c:v>78.8</c:v>
                </c:pt>
                <c:pt idx="131">
                  <c:v>79</c:v>
                </c:pt>
                <c:pt idx="132">
                  <c:v>78.900000000000006</c:v>
                </c:pt>
                <c:pt idx="133">
                  <c:v>78.900000000000006</c:v>
                </c:pt>
                <c:pt idx="134">
                  <c:v>78.900000000000006</c:v>
                </c:pt>
                <c:pt idx="135">
                  <c:v>78.900000000000006</c:v>
                </c:pt>
                <c:pt idx="136">
                  <c:v>79.099999999999994</c:v>
                </c:pt>
                <c:pt idx="137">
                  <c:v>79.400000000000006</c:v>
                </c:pt>
                <c:pt idx="138">
                  <c:v>79.099999999999994</c:v>
                </c:pt>
                <c:pt idx="139">
                  <c:v>79.2</c:v>
                </c:pt>
                <c:pt idx="140">
                  <c:v>79.2</c:v>
                </c:pt>
                <c:pt idx="141">
                  <c:v>79.099999999999994</c:v>
                </c:pt>
                <c:pt idx="142">
                  <c:v>79.3</c:v>
                </c:pt>
                <c:pt idx="143">
                  <c:v>79.5</c:v>
                </c:pt>
                <c:pt idx="144">
                  <c:v>79.5</c:v>
                </c:pt>
                <c:pt idx="145">
                  <c:v>79.5</c:v>
                </c:pt>
                <c:pt idx="146">
                  <c:v>79.5</c:v>
                </c:pt>
                <c:pt idx="147">
                  <c:v>79.5</c:v>
                </c:pt>
                <c:pt idx="148">
                  <c:v>79.599999999999994</c:v>
                </c:pt>
                <c:pt idx="149">
                  <c:v>79.7</c:v>
                </c:pt>
                <c:pt idx="150">
                  <c:v>79.7</c:v>
                </c:pt>
                <c:pt idx="151">
                  <c:v>79.7</c:v>
                </c:pt>
                <c:pt idx="152">
                  <c:v>79.599999999999994</c:v>
                </c:pt>
                <c:pt idx="153">
                  <c:v>79.599999999999994</c:v>
                </c:pt>
                <c:pt idx="154">
                  <c:v>79.8</c:v>
                </c:pt>
                <c:pt idx="155">
                  <c:v>79.900000000000006</c:v>
                </c:pt>
                <c:pt idx="156">
                  <c:v>79.900000000000006</c:v>
                </c:pt>
                <c:pt idx="157">
                  <c:v>79.900000000000006</c:v>
                </c:pt>
                <c:pt idx="158">
                  <c:v>79.8</c:v>
                </c:pt>
                <c:pt idx="159">
                  <c:v>80</c:v>
                </c:pt>
                <c:pt idx="160">
                  <c:v>80.099999999999994</c:v>
                </c:pt>
                <c:pt idx="161">
                  <c:v>79.900000000000006</c:v>
                </c:pt>
                <c:pt idx="162">
                  <c:v>80.099999999999994</c:v>
                </c:pt>
                <c:pt idx="163">
                  <c:v>80.599999999999994</c:v>
                </c:pt>
                <c:pt idx="164">
                  <c:v>80.3</c:v>
                </c:pt>
                <c:pt idx="165">
                  <c:v>80.2</c:v>
                </c:pt>
                <c:pt idx="166">
                  <c:v>80.099999999999994</c:v>
                </c:pt>
                <c:pt idx="167">
                  <c:v>80.2</c:v>
                </c:pt>
                <c:pt idx="168">
                  <c:v>80.5</c:v>
                </c:pt>
                <c:pt idx="169">
                  <c:v>80.599999999999994</c:v>
                </c:pt>
                <c:pt idx="170">
                  <c:v>80.5</c:v>
                </c:pt>
                <c:pt idx="171">
                  <c:v>80.599999999999994</c:v>
                </c:pt>
                <c:pt idx="172">
                  <c:v>80.8</c:v>
                </c:pt>
                <c:pt idx="173">
                  <c:v>80.599999999999994</c:v>
                </c:pt>
                <c:pt idx="174">
                  <c:v>80.2</c:v>
                </c:pt>
                <c:pt idx="175">
                  <c:v>80.3</c:v>
                </c:pt>
                <c:pt idx="176">
                  <c:v>80.099999999999994</c:v>
                </c:pt>
                <c:pt idx="177">
                  <c:v>80.099999999999994</c:v>
                </c:pt>
                <c:pt idx="178">
                  <c:v>80.099999999999994</c:v>
                </c:pt>
                <c:pt idx="179">
                  <c:v>80.099999999999994</c:v>
                </c:pt>
                <c:pt idx="180">
                  <c:v>79.900000000000006</c:v>
                </c:pt>
                <c:pt idx="181">
                  <c:v>80</c:v>
                </c:pt>
                <c:pt idx="182">
                  <c:v>79.900000000000006</c:v>
                </c:pt>
                <c:pt idx="183">
                  <c:v>79.900000000000006</c:v>
                </c:pt>
                <c:pt idx="184">
                  <c:v>79.5</c:v>
                </c:pt>
                <c:pt idx="185">
                  <c:v>79.8</c:v>
                </c:pt>
                <c:pt idx="186">
                  <c:v>80.099999999999994</c:v>
                </c:pt>
                <c:pt idx="187">
                  <c:v>79.400000000000006</c:v>
                </c:pt>
                <c:pt idx="188">
                  <c:v>79.5</c:v>
                </c:pt>
                <c:pt idx="189">
                  <c:v>79.3</c:v>
                </c:pt>
                <c:pt idx="190">
                  <c:v>78.900000000000006</c:v>
                </c:pt>
                <c:pt idx="191">
                  <c:v>78.7</c:v>
                </c:pt>
                <c:pt idx="192">
                  <c:v>78.400000000000006</c:v>
                </c:pt>
                <c:pt idx="193">
                  <c:v>78.400000000000006</c:v>
                </c:pt>
                <c:pt idx="194">
                  <c:v>78.400000000000006</c:v>
                </c:pt>
                <c:pt idx="195">
                  <c:v>78.5</c:v>
                </c:pt>
                <c:pt idx="196">
                  <c:v>78.900000000000006</c:v>
                </c:pt>
                <c:pt idx="197">
                  <c:v>78.8</c:v>
                </c:pt>
                <c:pt idx="198">
                  <c:v>79</c:v>
                </c:pt>
                <c:pt idx="199">
                  <c:v>78.8</c:v>
                </c:pt>
                <c:pt idx="200">
                  <c:v>78.8</c:v>
                </c:pt>
                <c:pt idx="201">
                  <c:v>78.599999999999994</c:v>
                </c:pt>
                <c:pt idx="202">
                  <c:v>78.5</c:v>
                </c:pt>
                <c:pt idx="203">
                  <c:v>78.599999999999994</c:v>
                </c:pt>
                <c:pt idx="204">
                  <c:v>78.5</c:v>
                </c:pt>
                <c:pt idx="205">
                  <c:v>78.5</c:v>
                </c:pt>
                <c:pt idx="206">
                  <c:v>78.8</c:v>
                </c:pt>
                <c:pt idx="207">
                  <c:v>78.8</c:v>
                </c:pt>
                <c:pt idx="208">
                  <c:v>78.7</c:v>
                </c:pt>
                <c:pt idx="209">
                  <c:v>78.599999999999994</c:v>
                </c:pt>
                <c:pt idx="210">
                  <c:v>78.8</c:v>
                </c:pt>
                <c:pt idx="211">
                  <c:v>78.8</c:v>
                </c:pt>
                <c:pt idx="212">
                  <c:v>78.599999999999994</c:v>
                </c:pt>
                <c:pt idx="213">
                  <c:v>78.8</c:v>
                </c:pt>
                <c:pt idx="214">
                  <c:v>78.900000000000006</c:v>
                </c:pt>
                <c:pt idx="215">
                  <c:v>78.8</c:v>
                </c:pt>
                <c:pt idx="216">
                  <c:v>78.599999999999994</c:v>
                </c:pt>
                <c:pt idx="217">
                  <c:v>78.599999999999994</c:v>
                </c:pt>
                <c:pt idx="218">
                  <c:v>78.400000000000006</c:v>
                </c:pt>
                <c:pt idx="219">
                  <c:v>78.2</c:v>
                </c:pt>
                <c:pt idx="220">
                  <c:v>78</c:v>
                </c:pt>
                <c:pt idx="221">
                  <c:v>77.7</c:v>
                </c:pt>
                <c:pt idx="222">
                  <c:v>78</c:v>
                </c:pt>
                <c:pt idx="223">
                  <c:v>77.7</c:v>
                </c:pt>
                <c:pt idx="224">
                  <c:v>77.5</c:v>
                </c:pt>
                <c:pt idx="225">
                  <c:v>77.2</c:v>
                </c:pt>
                <c:pt idx="226">
                  <c:v>77.2</c:v>
                </c:pt>
                <c:pt idx="227">
                  <c:v>77.099999999999994</c:v>
                </c:pt>
                <c:pt idx="228">
                  <c:v>77.2</c:v>
                </c:pt>
                <c:pt idx="229">
                  <c:v>77.2</c:v>
                </c:pt>
                <c:pt idx="230">
                  <c:v>77.2</c:v>
                </c:pt>
                <c:pt idx="231">
                  <c:v>77.2</c:v>
                </c:pt>
                <c:pt idx="232">
                  <c:v>77.099999999999994</c:v>
                </c:pt>
                <c:pt idx="233">
                  <c:v>77.2</c:v>
                </c:pt>
                <c:pt idx="234">
                  <c:v>77.2</c:v>
                </c:pt>
                <c:pt idx="235">
                  <c:v>76.599999999999994</c:v>
                </c:pt>
                <c:pt idx="236">
                  <c:v>76.3</c:v>
                </c:pt>
                <c:pt idx="237">
                  <c:v>76.3</c:v>
                </c:pt>
                <c:pt idx="238">
                  <c:v>76.099999999999994</c:v>
                </c:pt>
                <c:pt idx="239">
                  <c:v>75.8</c:v>
                </c:pt>
                <c:pt idx="240">
                  <c:v>75.8</c:v>
                </c:pt>
                <c:pt idx="241">
                  <c:v>76</c:v>
                </c:pt>
                <c:pt idx="242">
                  <c:v>75.8</c:v>
                </c:pt>
                <c:pt idx="243">
                  <c:v>75.7</c:v>
                </c:pt>
                <c:pt idx="244">
                  <c:v>75.400000000000006</c:v>
                </c:pt>
                <c:pt idx="245">
                  <c:v>74.8</c:v>
                </c:pt>
                <c:pt idx="246">
                  <c:v>74.7</c:v>
                </c:pt>
                <c:pt idx="247">
                  <c:v>74.599999999999994</c:v>
                </c:pt>
                <c:pt idx="248">
                  <c:v>74.3</c:v>
                </c:pt>
                <c:pt idx="249">
                  <c:v>74.2</c:v>
                </c:pt>
                <c:pt idx="250">
                  <c:v>74.099999999999994</c:v>
                </c:pt>
                <c:pt idx="251">
                  <c:v>73.900000000000006</c:v>
                </c:pt>
                <c:pt idx="252">
                  <c:v>73.900000000000006</c:v>
                </c:pt>
                <c:pt idx="253">
                  <c:v>73.599999999999994</c:v>
                </c:pt>
                <c:pt idx="254">
                  <c:v>73.3</c:v>
                </c:pt>
                <c:pt idx="255">
                  <c:v>73</c:v>
                </c:pt>
                <c:pt idx="256">
                  <c:v>72.7</c:v>
                </c:pt>
                <c:pt idx="257">
                  <c:v>72.7</c:v>
                </c:pt>
                <c:pt idx="258">
                  <c:v>72.5</c:v>
                </c:pt>
                <c:pt idx="259">
                  <c:v>72.099999999999994</c:v>
                </c:pt>
                <c:pt idx="260">
                  <c:v>71.8</c:v>
                </c:pt>
                <c:pt idx="261">
                  <c:v>71.8</c:v>
                </c:pt>
                <c:pt idx="262">
                  <c:v>71.8</c:v>
                </c:pt>
                <c:pt idx="263">
                  <c:v>72</c:v>
                </c:pt>
                <c:pt idx="264">
                  <c:v>72.099999999999994</c:v>
                </c:pt>
                <c:pt idx="265">
                  <c:v>72.2</c:v>
                </c:pt>
                <c:pt idx="266">
                  <c:v>72.2</c:v>
                </c:pt>
                <c:pt idx="267">
                  <c:v>72.099999999999994</c:v>
                </c:pt>
                <c:pt idx="268">
                  <c:v>71.7</c:v>
                </c:pt>
                <c:pt idx="269">
                  <c:v>71.3</c:v>
                </c:pt>
                <c:pt idx="270">
                  <c:v>70.599999999999994</c:v>
                </c:pt>
                <c:pt idx="271">
                  <c:v>70.2</c:v>
                </c:pt>
                <c:pt idx="272">
                  <c:v>70</c:v>
                </c:pt>
                <c:pt idx="273">
                  <c:v>69.7</c:v>
                </c:pt>
                <c:pt idx="274">
                  <c:v>69.7</c:v>
                </c:pt>
                <c:pt idx="275">
                  <c:v>69.599999999999994</c:v>
                </c:pt>
                <c:pt idx="276">
                  <c:v>69.7</c:v>
                </c:pt>
                <c:pt idx="277">
                  <c:v>69.7</c:v>
                </c:pt>
                <c:pt idx="278">
                  <c:v>69.7</c:v>
                </c:pt>
                <c:pt idx="279">
                  <c:v>69.7</c:v>
                </c:pt>
                <c:pt idx="280">
                  <c:v>69.5</c:v>
                </c:pt>
                <c:pt idx="281">
                  <c:v>69.5</c:v>
                </c:pt>
                <c:pt idx="282">
                  <c:v>69.400000000000006</c:v>
                </c:pt>
                <c:pt idx="283">
                  <c:v>69.2</c:v>
                </c:pt>
                <c:pt idx="284">
                  <c:v>69.2</c:v>
                </c:pt>
                <c:pt idx="285">
                  <c:v>69</c:v>
                </c:pt>
                <c:pt idx="286">
                  <c:v>68.8</c:v>
                </c:pt>
                <c:pt idx="287">
                  <c:v>68.400000000000006</c:v>
                </c:pt>
                <c:pt idx="288">
                  <c:v>68</c:v>
                </c:pt>
                <c:pt idx="289">
                  <c:v>67.900000000000006</c:v>
                </c:pt>
                <c:pt idx="290">
                  <c:v>67.8</c:v>
                </c:pt>
                <c:pt idx="291">
                  <c:v>67.8</c:v>
                </c:pt>
                <c:pt idx="292">
                  <c:v>67.599999999999994</c:v>
                </c:pt>
                <c:pt idx="293">
                  <c:v>67.5</c:v>
                </c:pt>
                <c:pt idx="294">
                  <c:v>67.5</c:v>
                </c:pt>
                <c:pt idx="295">
                  <c:v>67.3</c:v>
                </c:pt>
                <c:pt idx="296">
                  <c:v>67.2</c:v>
                </c:pt>
                <c:pt idx="297">
                  <c:v>67.2</c:v>
                </c:pt>
                <c:pt idx="298">
                  <c:v>66.8</c:v>
                </c:pt>
                <c:pt idx="299">
                  <c:v>66.599999999999994</c:v>
                </c:pt>
                <c:pt idx="300">
                  <c:v>66.599999999999994</c:v>
                </c:pt>
                <c:pt idx="301">
                  <c:v>66.5</c:v>
                </c:pt>
                <c:pt idx="302">
                  <c:v>66.400000000000006</c:v>
                </c:pt>
                <c:pt idx="303">
                  <c:v>66.3</c:v>
                </c:pt>
                <c:pt idx="304">
                  <c:v>66.3</c:v>
                </c:pt>
                <c:pt idx="305">
                  <c:v>66.2</c:v>
                </c:pt>
                <c:pt idx="306">
                  <c:v>66.099999999999994</c:v>
                </c:pt>
                <c:pt idx="307">
                  <c:v>66.3</c:v>
                </c:pt>
                <c:pt idx="308">
                  <c:v>66.400000000000006</c:v>
                </c:pt>
                <c:pt idx="309">
                  <c:v>66.3</c:v>
                </c:pt>
                <c:pt idx="310">
                  <c:v>66.8</c:v>
                </c:pt>
                <c:pt idx="311">
                  <c:v>66.3</c:v>
                </c:pt>
                <c:pt idx="312">
                  <c:v>66.3</c:v>
                </c:pt>
                <c:pt idx="313">
                  <c:v>66</c:v>
                </c:pt>
                <c:pt idx="314">
                  <c:v>65.7</c:v>
                </c:pt>
                <c:pt idx="315">
                  <c:v>65.400000000000006</c:v>
                </c:pt>
                <c:pt idx="316">
                  <c:v>65.2</c:v>
                </c:pt>
                <c:pt idx="317">
                  <c:v>64.8</c:v>
                </c:pt>
                <c:pt idx="318">
                  <c:v>64.5</c:v>
                </c:pt>
                <c:pt idx="319">
                  <c:v>64.400000000000006</c:v>
                </c:pt>
                <c:pt idx="320">
                  <c:v>64.3</c:v>
                </c:pt>
                <c:pt idx="321">
                  <c:v>64.099999999999994</c:v>
                </c:pt>
                <c:pt idx="322">
                  <c:v>64.099999999999994</c:v>
                </c:pt>
                <c:pt idx="323">
                  <c:v>64.099999999999994</c:v>
                </c:pt>
                <c:pt idx="324">
                  <c:v>64</c:v>
                </c:pt>
                <c:pt idx="325">
                  <c:v>64</c:v>
                </c:pt>
                <c:pt idx="326">
                  <c:v>64.099999999999994</c:v>
                </c:pt>
                <c:pt idx="327">
                  <c:v>64.099999999999994</c:v>
                </c:pt>
                <c:pt idx="328">
                  <c:v>63.9</c:v>
                </c:pt>
                <c:pt idx="329">
                  <c:v>63.9</c:v>
                </c:pt>
                <c:pt idx="330">
                  <c:v>63.7</c:v>
                </c:pt>
                <c:pt idx="331">
                  <c:v>63.5</c:v>
                </c:pt>
                <c:pt idx="332">
                  <c:v>63.4</c:v>
                </c:pt>
                <c:pt idx="333">
                  <c:v>63.2</c:v>
                </c:pt>
                <c:pt idx="334">
                  <c:v>63.2</c:v>
                </c:pt>
                <c:pt idx="335">
                  <c:v>63</c:v>
                </c:pt>
                <c:pt idx="336">
                  <c:v>63</c:v>
                </c:pt>
                <c:pt idx="337">
                  <c:v>62.9</c:v>
                </c:pt>
                <c:pt idx="338">
                  <c:v>62.8</c:v>
                </c:pt>
                <c:pt idx="339">
                  <c:v>62.4</c:v>
                </c:pt>
                <c:pt idx="340">
                  <c:v>62</c:v>
                </c:pt>
                <c:pt idx="341">
                  <c:v>62.2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61.9</c:v>
                </c:pt>
                <c:pt idx="346">
                  <c:v>61.4</c:v>
                </c:pt>
                <c:pt idx="347">
                  <c:v>55.4</c:v>
                </c:pt>
                <c:pt idx="348">
                  <c:v>58.5</c:v>
                </c:pt>
                <c:pt idx="349">
                  <c:v>58.5</c:v>
                </c:pt>
                <c:pt idx="350">
                  <c:v>57.3</c:v>
                </c:pt>
                <c:pt idx="351">
                  <c:v>57.7</c:v>
                </c:pt>
                <c:pt idx="352">
                  <c:v>57.8</c:v>
                </c:pt>
                <c:pt idx="353">
                  <c:v>57.5</c:v>
                </c:pt>
                <c:pt idx="354">
                  <c:v>57.5</c:v>
                </c:pt>
                <c:pt idx="355">
                  <c:v>57.4</c:v>
                </c:pt>
                <c:pt idx="356">
                  <c:v>57.4</c:v>
                </c:pt>
                <c:pt idx="357">
                  <c:v>57.5</c:v>
                </c:pt>
                <c:pt idx="358">
                  <c:v>57.5</c:v>
                </c:pt>
                <c:pt idx="359">
                  <c:v>57.5</c:v>
                </c:pt>
                <c:pt idx="360">
                  <c:v>57.3</c:v>
                </c:pt>
                <c:pt idx="361">
                  <c:v>57.1</c:v>
                </c:pt>
                <c:pt idx="362">
                  <c:v>56.9</c:v>
                </c:pt>
                <c:pt idx="363">
                  <c:v>56.8</c:v>
                </c:pt>
                <c:pt idx="364">
                  <c:v>56.7</c:v>
                </c:pt>
                <c:pt idx="365">
                  <c:v>56.6</c:v>
                </c:pt>
                <c:pt idx="366">
                  <c:v>56.4</c:v>
                </c:pt>
                <c:pt idx="367">
                  <c:v>56.3</c:v>
                </c:pt>
                <c:pt idx="368">
                  <c:v>56.1</c:v>
                </c:pt>
                <c:pt idx="369">
                  <c:v>56</c:v>
                </c:pt>
                <c:pt idx="370">
                  <c:v>55.7</c:v>
                </c:pt>
                <c:pt idx="371">
                  <c:v>55.7</c:v>
                </c:pt>
                <c:pt idx="372">
                  <c:v>55.5</c:v>
                </c:pt>
                <c:pt idx="373">
                  <c:v>55.5</c:v>
                </c:pt>
                <c:pt idx="374">
                  <c:v>55.4</c:v>
                </c:pt>
                <c:pt idx="375">
                  <c:v>55.3</c:v>
                </c:pt>
                <c:pt idx="376">
                  <c:v>55.2</c:v>
                </c:pt>
                <c:pt idx="377">
                  <c:v>55.1</c:v>
                </c:pt>
                <c:pt idx="378">
                  <c:v>55.1</c:v>
                </c:pt>
                <c:pt idx="379">
                  <c:v>55</c:v>
                </c:pt>
                <c:pt idx="380">
                  <c:v>54.9</c:v>
                </c:pt>
                <c:pt idx="381">
                  <c:v>54.9</c:v>
                </c:pt>
                <c:pt idx="382">
                  <c:v>54.8</c:v>
                </c:pt>
                <c:pt idx="383">
                  <c:v>54.8</c:v>
                </c:pt>
                <c:pt idx="384">
                  <c:v>54.8</c:v>
                </c:pt>
                <c:pt idx="385">
                  <c:v>54.8</c:v>
                </c:pt>
                <c:pt idx="386">
                  <c:v>54.7</c:v>
                </c:pt>
                <c:pt idx="387">
                  <c:v>54.8</c:v>
                </c:pt>
                <c:pt idx="388">
                  <c:v>54.7</c:v>
                </c:pt>
                <c:pt idx="389">
                  <c:v>54.5</c:v>
                </c:pt>
                <c:pt idx="390">
                  <c:v>54.3</c:v>
                </c:pt>
                <c:pt idx="391">
                  <c:v>54.4</c:v>
                </c:pt>
                <c:pt idx="392">
                  <c:v>54.3</c:v>
                </c:pt>
                <c:pt idx="393">
                  <c:v>54</c:v>
                </c:pt>
                <c:pt idx="394">
                  <c:v>54.1</c:v>
                </c:pt>
                <c:pt idx="395">
                  <c:v>53.9</c:v>
                </c:pt>
                <c:pt idx="396">
                  <c:v>54.2</c:v>
                </c:pt>
                <c:pt idx="397">
                  <c:v>53.9</c:v>
                </c:pt>
                <c:pt idx="398">
                  <c:v>54</c:v>
                </c:pt>
                <c:pt idx="399">
                  <c:v>53.9</c:v>
                </c:pt>
                <c:pt idx="400">
                  <c:v>54</c:v>
                </c:pt>
                <c:pt idx="401">
                  <c:v>54.1</c:v>
                </c:pt>
                <c:pt idx="402">
                  <c:v>54.3</c:v>
                </c:pt>
                <c:pt idx="403">
                  <c:v>54.4</c:v>
                </c:pt>
                <c:pt idx="404">
                  <c:v>54.5</c:v>
                </c:pt>
                <c:pt idx="405">
                  <c:v>54.5</c:v>
                </c:pt>
                <c:pt idx="406">
                  <c:v>54.3</c:v>
                </c:pt>
                <c:pt idx="407">
                  <c:v>54.3</c:v>
                </c:pt>
                <c:pt idx="408">
                  <c:v>54.2</c:v>
                </c:pt>
                <c:pt idx="409">
                  <c:v>54.3</c:v>
                </c:pt>
                <c:pt idx="410">
                  <c:v>54.3</c:v>
                </c:pt>
                <c:pt idx="411">
                  <c:v>54.3</c:v>
                </c:pt>
                <c:pt idx="412">
                  <c:v>54.4</c:v>
                </c:pt>
                <c:pt idx="413">
                  <c:v>54.5</c:v>
                </c:pt>
                <c:pt idx="414">
                  <c:v>54.7</c:v>
                </c:pt>
                <c:pt idx="415">
                  <c:v>54.8</c:v>
                </c:pt>
                <c:pt idx="416">
                  <c:v>54.7</c:v>
                </c:pt>
                <c:pt idx="417">
                  <c:v>54.7</c:v>
                </c:pt>
                <c:pt idx="418">
                  <c:v>54.6</c:v>
                </c:pt>
                <c:pt idx="419">
                  <c:v>54.5</c:v>
                </c:pt>
                <c:pt idx="420">
                  <c:v>54.6</c:v>
                </c:pt>
                <c:pt idx="421">
                  <c:v>54.4</c:v>
                </c:pt>
                <c:pt idx="422">
                  <c:v>54.4</c:v>
                </c:pt>
                <c:pt idx="423">
                  <c:v>54.2</c:v>
                </c:pt>
                <c:pt idx="424">
                  <c:v>54.5</c:v>
                </c:pt>
                <c:pt idx="425">
                  <c:v>54.7</c:v>
                </c:pt>
                <c:pt idx="426">
                  <c:v>54.8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54.9</c:v>
                </c:pt>
                <c:pt idx="434">
                  <c:v>55</c:v>
                </c:pt>
                <c:pt idx="435">
                  <c:v>54.9</c:v>
                </c:pt>
                <c:pt idx="436">
                  <c:v>54.8</c:v>
                </c:pt>
                <c:pt idx="437">
                  <c:v>54.8</c:v>
                </c:pt>
                <c:pt idx="438">
                  <c:v>54.8</c:v>
                </c:pt>
                <c:pt idx="439">
                  <c:v>54.8</c:v>
                </c:pt>
                <c:pt idx="440">
                  <c:v>54.6</c:v>
                </c:pt>
                <c:pt idx="441">
                  <c:v>54.5</c:v>
                </c:pt>
                <c:pt idx="442">
                  <c:v>54.5</c:v>
                </c:pt>
                <c:pt idx="443">
                  <c:v>54.6</c:v>
                </c:pt>
                <c:pt idx="444">
                  <c:v>54.5</c:v>
                </c:pt>
                <c:pt idx="445">
                  <c:v>54.3</c:v>
                </c:pt>
                <c:pt idx="446">
                  <c:v>54.3</c:v>
                </c:pt>
                <c:pt idx="447">
                  <c:v>54.5</c:v>
                </c:pt>
                <c:pt idx="448">
                  <c:v>54.3</c:v>
                </c:pt>
                <c:pt idx="449">
                  <c:v>54.2</c:v>
                </c:pt>
                <c:pt idx="450">
                  <c:v>54.2</c:v>
                </c:pt>
                <c:pt idx="451">
                  <c:v>53.8</c:v>
                </c:pt>
                <c:pt idx="452">
                  <c:v>53.9</c:v>
                </c:pt>
                <c:pt idx="453">
                  <c:v>53.9</c:v>
                </c:pt>
                <c:pt idx="454">
                  <c:v>54.1</c:v>
                </c:pt>
                <c:pt idx="455">
                  <c:v>54</c:v>
                </c:pt>
                <c:pt idx="456">
                  <c:v>53.9</c:v>
                </c:pt>
                <c:pt idx="457">
                  <c:v>54</c:v>
                </c:pt>
                <c:pt idx="458">
                  <c:v>54</c:v>
                </c:pt>
                <c:pt idx="459">
                  <c:v>53.9</c:v>
                </c:pt>
                <c:pt idx="460">
                  <c:v>53.9</c:v>
                </c:pt>
                <c:pt idx="461">
                  <c:v>53.9</c:v>
                </c:pt>
                <c:pt idx="462">
                  <c:v>54</c:v>
                </c:pt>
                <c:pt idx="463">
                  <c:v>53.8</c:v>
                </c:pt>
                <c:pt idx="464">
                  <c:v>54</c:v>
                </c:pt>
                <c:pt idx="465">
                  <c:v>53.8</c:v>
                </c:pt>
                <c:pt idx="466">
                  <c:v>53.7</c:v>
                </c:pt>
                <c:pt idx="467">
                  <c:v>53.7</c:v>
                </c:pt>
                <c:pt idx="468">
                  <c:v>53.7</c:v>
                </c:pt>
                <c:pt idx="469">
                  <c:v>53.9</c:v>
                </c:pt>
                <c:pt idx="470">
                  <c:v>53.9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54.1</c:v>
                </c:pt>
                <c:pt idx="475">
                  <c:v>54.1</c:v>
                </c:pt>
                <c:pt idx="476">
                  <c:v>54.1</c:v>
                </c:pt>
                <c:pt idx="477">
                  <c:v>54.1</c:v>
                </c:pt>
                <c:pt idx="478">
                  <c:v>54.1</c:v>
                </c:pt>
                <c:pt idx="479">
                  <c:v>54.2</c:v>
                </c:pt>
                <c:pt idx="480">
                  <c:v>54.1</c:v>
                </c:pt>
                <c:pt idx="481">
                  <c:v>54.1</c:v>
                </c:pt>
                <c:pt idx="482">
                  <c:v>54.1</c:v>
                </c:pt>
                <c:pt idx="483">
                  <c:v>54.1</c:v>
                </c:pt>
                <c:pt idx="484">
                  <c:v>53.9</c:v>
                </c:pt>
                <c:pt idx="485">
                  <c:v>54</c:v>
                </c:pt>
                <c:pt idx="486">
                  <c:v>54.1</c:v>
                </c:pt>
                <c:pt idx="487">
                  <c:v>54.1</c:v>
                </c:pt>
                <c:pt idx="488">
                  <c:v>54.3</c:v>
                </c:pt>
                <c:pt idx="489">
                  <c:v>54.3</c:v>
                </c:pt>
                <c:pt idx="490">
                  <c:v>54.3</c:v>
                </c:pt>
                <c:pt idx="491">
                  <c:v>54.4</c:v>
                </c:pt>
                <c:pt idx="492">
                  <c:v>54.5</c:v>
                </c:pt>
                <c:pt idx="493">
                  <c:v>54.4</c:v>
                </c:pt>
                <c:pt idx="494">
                  <c:v>54.5</c:v>
                </c:pt>
                <c:pt idx="495">
                  <c:v>54.6</c:v>
                </c:pt>
                <c:pt idx="496">
                  <c:v>54.6</c:v>
                </c:pt>
                <c:pt idx="497">
                  <c:v>54.6</c:v>
                </c:pt>
                <c:pt idx="498">
                  <c:v>54.7</c:v>
                </c:pt>
                <c:pt idx="499">
                  <c:v>54.8</c:v>
                </c:pt>
                <c:pt idx="500">
                  <c:v>54.9</c:v>
                </c:pt>
                <c:pt idx="501">
                  <c:v>54.9</c:v>
                </c:pt>
                <c:pt idx="502">
                  <c:v>54.9</c:v>
                </c:pt>
                <c:pt idx="503">
                  <c:v>55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55</c:v>
                </c:pt>
                <c:pt idx="509">
                  <c:v>54.9</c:v>
                </c:pt>
                <c:pt idx="510">
                  <c:v>55</c:v>
                </c:pt>
                <c:pt idx="511">
                  <c:v>54.9</c:v>
                </c:pt>
                <c:pt idx="512">
                  <c:v>55.1</c:v>
                </c:pt>
                <c:pt idx="513">
                  <c:v>55.1</c:v>
                </c:pt>
                <c:pt idx="514">
                  <c:v>55.1</c:v>
                </c:pt>
                <c:pt idx="515">
                  <c:v>55.1</c:v>
                </c:pt>
                <c:pt idx="516">
                  <c:v>55.1</c:v>
                </c:pt>
                <c:pt idx="517">
                  <c:v>55.3</c:v>
                </c:pt>
                <c:pt idx="518">
                  <c:v>55.3</c:v>
                </c:pt>
                <c:pt idx="519">
                  <c:v>55.4</c:v>
                </c:pt>
                <c:pt idx="520">
                  <c:v>55.2</c:v>
                </c:pt>
                <c:pt idx="521">
                  <c:v>55.3</c:v>
                </c:pt>
                <c:pt idx="522">
                  <c:v>55.2</c:v>
                </c:pt>
                <c:pt idx="523">
                  <c:v>55.3</c:v>
                </c:pt>
                <c:pt idx="524">
                  <c:v>55.5</c:v>
                </c:pt>
                <c:pt idx="525">
                  <c:v>55.5</c:v>
                </c:pt>
                <c:pt idx="526">
                  <c:v>55.4</c:v>
                </c:pt>
                <c:pt idx="527">
                  <c:v>55.5</c:v>
                </c:pt>
                <c:pt idx="528">
                  <c:v>55.4</c:v>
                </c:pt>
                <c:pt idx="529">
                  <c:v>55.6</c:v>
                </c:pt>
                <c:pt idx="530">
                  <c:v>55.6</c:v>
                </c:pt>
                <c:pt idx="531">
                  <c:v>55.6</c:v>
                </c:pt>
                <c:pt idx="532">
                  <c:v>55.6</c:v>
                </c:pt>
                <c:pt idx="533">
                  <c:v>55.6</c:v>
                </c:pt>
                <c:pt idx="534">
                  <c:v>55.7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56.1</c:v>
                </c:pt>
                <c:pt idx="539">
                  <c:v>56.2</c:v>
                </c:pt>
                <c:pt idx="540">
                  <c:v>56.4</c:v>
                </c:pt>
                <c:pt idx="541">
                  <c:v>56.9</c:v>
                </c:pt>
                <c:pt idx="542">
                  <c:v>57.2</c:v>
                </c:pt>
                <c:pt idx="543">
                  <c:v>57.5</c:v>
                </c:pt>
                <c:pt idx="544">
                  <c:v>58.1</c:v>
                </c:pt>
                <c:pt idx="545">
                  <c:v>58.4</c:v>
                </c:pt>
                <c:pt idx="546">
                  <c:v>58.7</c:v>
                </c:pt>
                <c:pt idx="547">
                  <c:v>59</c:v>
                </c:pt>
                <c:pt idx="548">
                  <c:v>59.3</c:v>
                </c:pt>
                <c:pt idx="549">
                  <c:v>59.5</c:v>
                </c:pt>
                <c:pt idx="550">
                  <c:v>59.9</c:v>
                </c:pt>
                <c:pt idx="551">
                  <c:v>60.3</c:v>
                </c:pt>
                <c:pt idx="552">
                  <c:v>60.8</c:v>
                </c:pt>
                <c:pt idx="553">
                  <c:v>61.1</c:v>
                </c:pt>
                <c:pt idx="554">
                  <c:v>61.5</c:v>
                </c:pt>
                <c:pt idx="555">
                  <c:v>61.9</c:v>
                </c:pt>
                <c:pt idx="556">
                  <c:v>62.2</c:v>
                </c:pt>
                <c:pt idx="557">
                  <c:v>62.7</c:v>
                </c:pt>
                <c:pt idx="558">
                  <c:v>63.1</c:v>
                </c:pt>
                <c:pt idx="559">
                  <c:v>63.6</c:v>
                </c:pt>
                <c:pt idx="560">
                  <c:v>64.3</c:v>
                </c:pt>
                <c:pt idx="561">
                  <c:v>64.900000000000006</c:v>
                </c:pt>
                <c:pt idx="562">
                  <c:v>65.400000000000006</c:v>
                </c:pt>
                <c:pt idx="563">
                  <c:v>65.900000000000006</c:v>
                </c:pt>
                <c:pt idx="564">
                  <c:v>66.400000000000006</c:v>
                </c:pt>
                <c:pt idx="565">
                  <c:v>66.900000000000006</c:v>
                </c:pt>
                <c:pt idx="566">
                  <c:v>67.400000000000006</c:v>
                </c:pt>
                <c:pt idx="567">
                  <c:v>67.7</c:v>
                </c:pt>
                <c:pt idx="568">
                  <c:v>68</c:v>
                </c:pt>
                <c:pt idx="569">
                  <c:v>68.3</c:v>
                </c:pt>
                <c:pt idx="570">
                  <c:v>68.7</c:v>
                </c:pt>
                <c:pt idx="571">
                  <c:v>69</c:v>
                </c:pt>
                <c:pt idx="572">
                  <c:v>69.2</c:v>
                </c:pt>
                <c:pt idx="573">
                  <c:v>69.7</c:v>
                </c:pt>
                <c:pt idx="574">
                  <c:v>69.900000000000006</c:v>
                </c:pt>
                <c:pt idx="575">
                  <c:v>70.099999999999994</c:v>
                </c:pt>
                <c:pt idx="576">
                  <c:v>70.400000000000006</c:v>
                </c:pt>
                <c:pt idx="577">
                  <c:v>70.599999999999994</c:v>
                </c:pt>
                <c:pt idx="578">
                  <c:v>70.7</c:v>
                </c:pt>
                <c:pt idx="579">
                  <c:v>71</c:v>
                </c:pt>
                <c:pt idx="580">
                  <c:v>71</c:v>
                </c:pt>
                <c:pt idx="581">
                  <c:v>71</c:v>
                </c:pt>
                <c:pt idx="582">
                  <c:v>71.099999999999994</c:v>
                </c:pt>
                <c:pt idx="583">
                  <c:v>71.2</c:v>
                </c:pt>
                <c:pt idx="584">
                  <c:v>71.2</c:v>
                </c:pt>
                <c:pt idx="585">
                  <c:v>71.400000000000006</c:v>
                </c:pt>
                <c:pt idx="586">
                  <c:v>71.5</c:v>
                </c:pt>
                <c:pt idx="587">
                  <c:v>71.400000000000006</c:v>
                </c:pt>
                <c:pt idx="588">
                  <c:v>71.5</c:v>
                </c:pt>
                <c:pt idx="589">
                  <c:v>71.5</c:v>
                </c:pt>
                <c:pt idx="590">
                  <c:v>71.599999999999994</c:v>
                </c:pt>
                <c:pt idx="591">
                  <c:v>71.7</c:v>
                </c:pt>
                <c:pt idx="592">
                  <c:v>71.7</c:v>
                </c:pt>
                <c:pt idx="593">
                  <c:v>71.900000000000006</c:v>
                </c:pt>
                <c:pt idx="594">
                  <c:v>71.900000000000006</c:v>
                </c:pt>
                <c:pt idx="595">
                  <c:v>72</c:v>
                </c:pt>
                <c:pt idx="596">
                  <c:v>72.099999999999994</c:v>
                </c:pt>
                <c:pt idx="597">
                  <c:v>72.2</c:v>
                </c:pt>
                <c:pt idx="598">
                  <c:v>72.3</c:v>
                </c:pt>
                <c:pt idx="599">
                  <c:v>72.400000000000006</c:v>
                </c:pt>
                <c:pt idx="600">
                  <c:v>72.5</c:v>
                </c:pt>
                <c:pt idx="601">
                  <c:v>72.5</c:v>
                </c:pt>
                <c:pt idx="602">
                  <c:v>72.599999999999994</c:v>
                </c:pt>
                <c:pt idx="603">
                  <c:v>72.599999999999994</c:v>
                </c:pt>
                <c:pt idx="604">
                  <c:v>72.7</c:v>
                </c:pt>
                <c:pt idx="605">
                  <c:v>72.8</c:v>
                </c:pt>
                <c:pt idx="606">
                  <c:v>72.900000000000006</c:v>
                </c:pt>
                <c:pt idx="607">
                  <c:v>72.900000000000006</c:v>
                </c:pt>
                <c:pt idx="608">
                  <c:v>72.900000000000006</c:v>
                </c:pt>
                <c:pt idx="609">
                  <c:v>72.900000000000006</c:v>
                </c:pt>
                <c:pt idx="610">
                  <c:v>72.900000000000006</c:v>
                </c:pt>
                <c:pt idx="611">
                  <c:v>73</c:v>
                </c:pt>
                <c:pt idx="612">
                  <c:v>73</c:v>
                </c:pt>
                <c:pt idx="613">
                  <c:v>73</c:v>
                </c:pt>
                <c:pt idx="614">
                  <c:v>73.099999999999994</c:v>
                </c:pt>
                <c:pt idx="615">
                  <c:v>73.099999999999994</c:v>
                </c:pt>
                <c:pt idx="616">
                  <c:v>73.2</c:v>
                </c:pt>
                <c:pt idx="617">
                  <c:v>73.2</c:v>
                </c:pt>
                <c:pt idx="618">
                  <c:v>73.2</c:v>
                </c:pt>
                <c:pt idx="619">
                  <c:v>73.3</c:v>
                </c:pt>
                <c:pt idx="620">
                  <c:v>73.400000000000006</c:v>
                </c:pt>
                <c:pt idx="621">
                  <c:v>73.400000000000006</c:v>
                </c:pt>
                <c:pt idx="622">
                  <c:v>73.400000000000006</c:v>
                </c:pt>
                <c:pt idx="623">
                  <c:v>73.400000000000006</c:v>
                </c:pt>
                <c:pt idx="624">
                  <c:v>73.5</c:v>
                </c:pt>
                <c:pt idx="625">
                  <c:v>73.5</c:v>
                </c:pt>
                <c:pt idx="626">
                  <c:v>73.599999999999994</c:v>
                </c:pt>
                <c:pt idx="627">
                  <c:v>73.599999999999994</c:v>
                </c:pt>
                <c:pt idx="628">
                  <c:v>73.599999999999994</c:v>
                </c:pt>
                <c:pt idx="629">
                  <c:v>73.7</c:v>
                </c:pt>
                <c:pt idx="630">
                  <c:v>73.8</c:v>
                </c:pt>
                <c:pt idx="631">
                  <c:v>73.8</c:v>
                </c:pt>
                <c:pt idx="632">
                  <c:v>73.900000000000006</c:v>
                </c:pt>
                <c:pt idx="633">
                  <c:v>73.900000000000006</c:v>
                </c:pt>
                <c:pt idx="634">
                  <c:v>73.900000000000006</c:v>
                </c:pt>
                <c:pt idx="635">
                  <c:v>74</c:v>
                </c:pt>
                <c:pt idx="636">
                  <c:v>74.099999999999994</c:v>
                </c:pt>
                <c:pt idx="637">
                  <c:v>74.099999999999994</c:v>
                </c:pt>
                <c:pt idx="638">
                  <c:v>74.2</c:v>
                </c:pt>
                <c:pt idx="639">
                  <c:v>74.2</c:v>
                </c:pt>
                <c:pt idx="640">
                  <c:v>74.2</c:v>
                </c:pt>
                <c:pt idx="641">
                  <c:v>74.3</c:v>
                </c:pt>
                <c:pt idx="642">
                  <c:v>74.3</c:v>
                </c:pt>
                <c:pt idx="643">
                  <c:v>74.400000000000006</c:v>
                </c:pt>
                <c:pt idx="644">
                  <c:v>74.400000000000006</c:v>
                </c:pt>
                <c:pt idx="645">
                  <c:v>74.400000000000006</c:v>
                </c:pt>
                <c:pt idx="646">
                  <c:v>74.400000000000006</c:v>
                </c:pt>
                <c:pt idx="647">
                  <c:v>74.5</c:v>
                </c:pt>
                <c:pt idx="648">
                  <c:v>74.599999999999994</c:v>
                </c:pt>
                <c:pt idx="649">
                  <c:v>74.7</c:v>
                </c:pt>
                <c:pt idx="650">
                  <c:v>74.599999999999994</c:v>
                </c:pt>
                <c:pt idx="651">
                  <c:v>74.7</c:v>
                </c:pt>
                <c:pt idx="652">
                  <c:v>74.7</c:v>
                </c:pt>
                <c:pt idx="653">
                  <c:v>74.8</c:v>
                </c:pt>
                <c:pt idx="654">
                  <c:v>74.8</c:v>
                </c:pt>
                <c:pt idx="655">
                  <c:v>74.900000000000006</c:v>
                </c:pt>
                <c:pt idx="656">
                  <c:v>74.900000000000006</c:v>
                </c:pt>
                <c:pt idx="657">
                  <c:v>74.900000000000006</c:v>
                </c:pt>
                <c:pt idx="658">
                  <c:v>75</c:v>
                </c:pt>
                <c:pt idx="659">
                  <c:v>75</c:v>
                </c:pt>
                <c:pt idx="660">
                  <c:v>75.099999999999994</c:v>
                </c:pt>
                <c:pt idx="661">
                  <c:v>75.2</c:v>
                </c:pt>
                <c:pt idx="662">
                  <c:v>75.2</c:v>
                </c:pt>
                <c:pt idx="663">
                  <c:v>75.2</c:v>
                </c:pt>
                <c:pt idx="664">
                  <c:v>75.2</c:v>
                </c:pt>
                <c:pt idx="665">
                  <c:v>75.3</c:v>
                </c:pt>
                <c:pt idx="666">
                  <c:v>75.3</c:v>
                </c:pt>
                <c:pt idx="667">
                  <c:v>75.400000000000006</c:v>
                </c:pt>
                <c:pt idx="668">
                  <c:v>75.400000000000006</c:v>
                </c:pt>
                <c:pt idx="669">
                  <c:v>75.5</c:v>
                </c:pt>
                <c:pt idx="670">
                  <c:v>75.5</c:v>
                </c:pt>
                <c:pt idx="671">
                  <c:v>75.599999999999994</c:v>
                </c:pt>
                <c:pt idx="672">
                  <c:v>75.599999999999994</c:v>
                </c:pt>
                <c:pt idx="673">
                  <c:v>75.599999999999994</c:v>
                </c:pt>
                <c:pt idx="674">
                  <c:v>75.7</c:v>
                </c:pt>
                <c:pt idx="675">
                  <c:v>75.7</c:v>
                </c:pt>
                <c:pt idx="676">
                  <c:v>75.8</c:v>
                </c:pt>
                <c:pt idx="677">
                  <c:v>75.900000000000006</c:v>
                </c:pt>
                <c:pt idx="678">
                  <c:v>75.900000000000006</c:v>
                </c:pt>
                <c:pt idx="679">
                  <c:v>75.900000000000006</c:v>
                </c:pt>
                <c:pt idx="680">
                  <c:v>76</c:v>
                </c:pt>
                <c:pt idx="681">
                  <c:v>76</c:v>
                </c:pt>
                <c:pt idx="682">
                  <c:v>76</c:v>
                </c:pt>
                <c:pt idx="683">
                  <c:v>76.099999999999994</c:v>
                </c:pt>
                <c:pt idx="684">
                  <c:v>76.099999999999994</c:v>
                </c:pt>
                <c:pt idx="685">
                  <c:v>76.2</c:v>
                </c:pt>
                <c:pt idx="686">
                  <c:v>76.3</c:v>
                </c:pt>
                <c:pt idx="687">
                  <c:v>76.3</c:v>
                </c:pt>
                <c:pt idx="688">
                  <c:v>76.400000000000006</c:v>
                </c:pt>
                <c:pt idx="689">
                  <c:v>76.400000000000006</c:v>
                </c:pt>
                <c:pt idx="690">
                  <c:v>76.400000000000006</c:v>
                </c:pt>
                <c:pt idx="691">
                  <c:v>76.400000000000006</c:v>
                </c:pt>
                <c:pt idx="692">
                  <c:v>76.5</c:v>
                </c:pt>
                <c:pt idx="693">
                  <c:v>76.599999999999994</c:v>
                </c:pt>
                <c:pt idx="694">
                  <c:v>76.599999999999994</c:v>
                </c:pt>
                <c:pt idx="695">
                  <c:v>76.599999999999994</c:v>
                </c:pt>
                <c:pt idx="696">
                  <c:v>76.599999999999994</c:v>
                </c:pt>
                <c:pt idx="697">
                  <c:v>76.599999999999994</c:v>
                </c:pt>
                <c:pt idx="698">
                  <c:v>76.599999999999994</c:v>
                </c:pt>
                <c:pt idx="699">
                  <c:v>76.7</c:v>
                </c:pt>
                <c:pt idx="700">
                  <c:v>76.8</c:v>
                </c:pt>
                <c:pt idx="701">
                  <c:v>76.8</c:v>
                </c:pt>
                <c:pt idx="702">
                  <c:v>76.900000000000006</c:v>
                </c:pt>
                <c:pt idx="703">
                  <c:v>76.900000000000006</c:v>
                </c:pt>
                <c:pt idx="704">
                  <c:v>76.900000000000006</c:v>
                </c:pt>
                <c:pt idx="705">
                  <c:v>77</c:v>
                </c:pt>
                <c:pt idx="706">
                  <c:v>77.099999999999994</c:v>
                </c:pt>
                <c:pt idx="707">
                  <c:v>77.099999999999994</c:v>
                </c:pt>
                <c:pt idx="708">
                  <c:v>77.2</c:v>
                </c:pt>
                <c:pt idx="709">
                  <c:v>77.2</c:v>
                </c:pt>
                <c:pt idx="710">
                  <c:v>77.3</c:v>
                </c:pt>
                <c:pt idx="711">
                  <c:v>77.3</c:v>
                </c:pt>
                <c:pt idx="712">
                  <c:v>77.400000000000006</c:v>
                </c:pt>
                <c:pt idx="713">
                  <c:v>77.5</c:v>
                </c:pt>
                <c:pt idx="714">
                  <c:v>77.5</c:v>
                </c:pt>
                <c:pt idx="715">
                  <c:v>77.599999999999994</c:v>
                </c:pt>
                <c:pt idx="716">
                  <c:v>77.7</c:v>
                </c:pt>
                <c:pt idx="717">
                  <c:v>77.8</c:v>
                </c:pt>
                <c:pt idx="718">
                  <c:v>77.8</c:v>
                </c:pt>
                <c:pt idx="719">
                  <c:v>77.900000000000006</c:v>
                </c:pt>
                <c:pt idx="720">
                  <c:v>77.900000000000006</c:v>
                </c:pt>
                <c:pt idx="721">
                  <c:v>78</c:v>
                </c:pt>
                <c:pt idx="722">
                  <c:v>78</c:v>
                </c:pt>
                <c:pt idx="723">
                  <c:v>78</c:v>
                </c:pt>
                <c:pt idx="724">
                  <c:v>78.099999999999994</c:v>
                </c:pt>
                <c:pt idx="725">
                  <c:v>78.099999999999994</c:v>
                </c:pt>
                <c:pt idx="726">
                  <c:v>78.099999999999994</c:v>
                </c:pt>
                <c:pt idx="727">
                  <c:v>78.2</c:v>
                </c:pt>
                <c:pt idx="728">
                  <c:v>78.3</c:v>
                </c:pt>
                <c:pt idx="729">
                  <c:v>78.3</c:v>
                </c:pt>
                <c:pt idx="730">
                  <c:v>78.400000000000006</c:v>
                </c:pt>
                <c:pt idx="731">
                  <c:v>78.400000000000006</c:v>
                </c:pt>
                <c:pt idx="732">
                  <c:v>78.5</c:v>
                </c:pt>
                <c:pt idx="733">
                  <c:v>78.5</c:v>
                </c:pt>
                <c:pt idx="734">
                  <c:v>78.599999999999994</c:v>
                </c:pt>
                <c:pt idx="735">
                  <c:v>78.599999999999994</c:v>
                </c:pt>
                <c:pt idx="736">
                  <c:v>78.599999999999994</c:v>
                </c:pt>
                <c:pt idx="737">
                  <c:v>78.599999999999994</c:v>
                </c:pt>
                <c:pt idx="738">
                  <c:v>78.7</c:v>
                </c:pt>
                <c:pt idx="739">
                  <c:v>78.8</c:v>
                </c:pt>
                <c:pt idx="740">
                  <c:v>78.8</c:v>
                </c:pt>
                <c:pt idx="741">
                  <c:v>78.8</c:v>
                </c:pt>
                <c:pt idx="742">
                  <c:v>78.900000000000006</c:v>
                </c:pt>
                <c:pt idx="743">
                  <c:v>78.900000000000006</c:v>
                </c:pt>
                <c:pt idx="744">
                  <c:v>78.900000000000006</c:v>
                </c:pt>
                <c:pt idx="745">
                  <c:v>78.900000000000006</c:v>
                </c:pt>
                <c:pt idx="746">
                  <c:v>79</c:v>
                </c:pt>
                <c:pt idx="747">
                  <c:v>79</c:v>
                </c:pt>
                <c:pt idx="748">
                  <c:v>79.099999999999994</c:v>
                </c:pt>
                <c:pt idx="749">
                  <c:v>79.099999999999994</c:v>
                </c:pt>
                <c:pt idx="750">
                  <c:v>79.3</c:v>
                </c:pt>
                <c:pt idx="751">
                  <c:v>79.3</c:v>
                </c:pt>
                <c:pt idx="752">
                  <c:v>79.3</c:v>
                </c:pt>
                <c:pt idx="753">
                  <c:v>79.400000000000006</c:v>
                </c:pt>
                <c:pt idx="754">
                  <c:v>79.3</c:v>
                </c:pt>
                <c:pt idx="755">
                  <c:v>79.400000000000006</c:v>
                </c:pt>
                <c:pt idx="756">
                  <c:v>79.400000000000006</c:v>
                </c:pt>
                <c:pt idx="757">
                  <c:v>79.5</c:v>
                </c:pt>
                <c:pt idx="758">
                  <c:v>79.5</c:v>
                </c:pt>
                <c:pt idx="759">
                  <c:v>79.599999999999994</c:v>
                </c:pt>
                <c:pt idx="760">
                  <c:v>79.599999999999994</c:v>
                </c:pt>
                <c:pt idx="761">
                  <c:v>79.7</c:v>
                </c:pt>
                <c:pt idx="762">
                  <c:v>79.8</c:v>
                </c:pt>
                <c:pt idx="763">
                  <c:v>79.8</c:v>
                </c:pt>
                <c:pt idx="764">
                  <c:v>79.8</c:v>
                </c:pt>
                <c:pt idx="765">
                  <c:v>79.900000000000006</c:v>
                </c:pt>
                <c:pt idx="766">
                  <c:v>79.900000000000006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80.099999999999994</c:v>
                </c:pt>
                <c:pt idx="771">
                  <c:v>80.099999999999994</c:v>
                </c:pt>
                <c:pt idx="772">
                  <c:v>80.099999999999994</c:v>
                </c:pt>
                <c:pt idx="773">
                  <c:v>80.2</c:v>
                </c:pt>
                <c:pt idx="774">
                  <c:v>80.2</c:v>
                </c:pt>
                <c:pt idx="775">
                  <c:v>80.2</c:v>
                </c:pt>
                <c:pt idx="776">
                  <c:v>80.2</c:v>
                </c:pt>
                <c:pt idx="777">
                  <c:v>81.599999999999994</c:v>
                </c:pt>
                <c:pt idx="778">
                  <c:v>85.2</c:v>
                </c:pt>
                <c:pt idx="779">
                  <c:v>88.5</c:v>
                </c:pt>
                <c:pt idx="780">
                  <c:v>91.6</c:v>
                </c:pt>
                <c:pt idx="781">
                  <c:v>94.3</c:v>
                </c:pt>
                <c:pt idx="782">
                  <c:v>97.2</c:v>
                </c:pt>
                <c:pt idx="783">
                  <c:v>102.3</c:v>
                </c:pt>
                <c:pt idx="784">
                  <c:v>106.7</c:v>
                </c:pt>
                <c:pt idx="785">
                  <c:v>109</c:v>
                </c:pt>
                <c:pt idx="786">
                  <c:v>113.2</c:v>
                </c:pt>
                <c:pt idx="787">
                  <c:v>119.5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13-4F4F-B7E3-12ACD8390F09}"/>
            </c:ext>
          </c:extLst>
        </c:ser>
        <c:ser>
          <c:idx val="1"/>
          <c:order val="1"/>
          <c:tx>
            <c:v>Hyp.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906309591046144"/>
                  <c:y val="-0.167444804373161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TactilityF!$M$21:$M$1001</c:f>
              <c:numCache>
                <c:formatCode>0.000</c:formatCode>
                <c:ptCount val="981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0.12499999999999999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0.26499999999999996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0.3</c:v>
                </c:pt>
                <c:pt idx="45">
                  <c:v>0.31</c:v>
                </c:pt>
                <c:pt idx="46">
                  <c:v>0.32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0.38999999999999996</c:v>
                </c:pt>
                <c:pt idx="61">
                  <c:v>0.39499999999999996</c:v>
                </c:pt>
                <c:pt idx="62">
                  <c:v>0.39999999999999997</c:v>
                </c:pt>
                <c:pt idx="63">
                  <c:v>0.40499999999999997</c:v>
                </c:pt>
                <c:pt idx="64">
                  <c:v>0.41</c:v>
                </c:pt>
                <c:pt idx="65">
                  <c:v>0.41499999999999998</c:v>
                </c:pt>
                <c:pt idx="66">
                  <c:v>0.42</c:v>
                </c:pt>
                <c:pt idx="67">
                  <c:v>0.42499999999999999</c:v>
                </c:pt>
                <c:pt idx="68">
                  <c:v>0.43</c:v>
                </c:pt>
                <c:pt idx="69">
                  <c:v>0.435</c:v>
                </c:pt>
                <c:pt idx="70">
                  <c:v>0.44</c:v>
                </c:pt>
                <c:pt idx="71">
                  <c:v>0.44500000000000001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0.54499999999999993</c:v>
                </c:pt>
                <c:pt idx="92">
                  <c:v>0.54999999999999993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0.78500000000000003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0.80999999999999994</c:v>
                </c:pt>
                <c:pt idx="143">
                  <c:v>0.81499999999999995</c:v>
                </c:pt>
                <c:pt idx="144">
                  <c:v>0.82</c:v>
                </c:pt>
                <c:pt idx="145">
                  <c:v>0.82499999999999996</c:v>
                </c:pt>
                <c:pt idx="146">
                  <c:v>0.83</c:v>
                </c:pt>
                <c:pt idx="147">
                  <c:v>0.83499999999999996</c:v>
                </c:pt>
                <c:pt idx="148">
                  <c:v>0.84</c:v>
                </c:pt>
                <c:pt idx="149">
                  <c:v>0.84499999999999997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0.90500000000000003</c:v>
                </c:pt>
                <c:pt idx="158">
                  <c:v>0.91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0.92499999999999993</c:v>
                </c:pt>
                <c:pt idx="162">
                  <c:v>0.92999999999999994</c:v>
                </c:pt>
                <c:pt idx="163">
                  <c:v>0.93499999999999994</c:v>
                </c:pt>
                <c:pt idx="164">
                  <c:v>0.94</c:v>
                </c:pt>
                <c:pt idx="165">
                  <c:v>0.94499999999999995</c:v>
                </c:pt>
                <c:pt idx="166">
                  <c:v>0.95</c:v>
                </c:pt>
                <c:pt idx="167">
                  <c:v>0.95499999999999996</c:v>
                </c:pt>
                <c:pt idx="168">
                  <c:v>0.96</c:v>
                </c:pt>
                <c:pt idx="169">
                  <c:v>0.96499999999999997</c:v>
                </c:pt>
                <c:pt idx="170">
                  <c:v>0.97</c:v>
                </c:pt>
                <c:pt idx="171">
                  <c:v>0.97499999999999998</c:v>
                </c:pt>
                <c:pt idx="172">
                  <c:v>0.98</c:v>
                </c:pt>
                <c:pt idx="173">
                  <c:v>0.98499999999999988</c:v>
                </c:pt>
                <c:pt idx="174">
                  <c:v>0.99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1.26</c:v>
                </c:pt>
                <c:pt idx="223">
                  <c:v>1.2649999999999999</c:v>
                </c:pt>
                <c:pt idx="224">
                  <c:v>1.27</c:v>
                </c:pt>
                <c:pt idx="225">
                  <c:v>1.28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1.3049999999999999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1.33</c:v>
                </c:pt>
                <c:pt idx="234">
                  <c:v>1.335</c:v>
                </c:pt>
                <c:pt idx="235">
                  <c:v>1.34</c:v>
                </c:pt>
                <c:pt idx="236">
                  <c:v>1.345</c:v>
                </c:pt>
                <c:pt idx="237">
                  <c:v>1.35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1.4450000000000001</c:v>
                </c:pt>
                <c:pt idx="256">
                  <c:v>1.4550000000000001</c:v>
                </c:pt>
                <c:pt idx="257">
                  <c:v>1.46</c:v>
                </c:pt>
                <c:pt idx="258">
                  <c:v>1.4650000000000001</c:v>
                </c:pt>
                <c:pt idx="259">
                  <c:v>1.47</c:v>
                </c:pt>
                <c:pt idx="260">
                  <c:v>1.4750000000000001</c:v>
                </c:pt>
                <c:pt idx="261">
                  <c:v>1.48</c:v>
                </c:pt>
                <c:pt idx="262">
                  <c:v>1.4849999999999999</c:v>
                </c:pt>
                <c:pt idx="263">
                  <c:v>1.49</c:v>
                </c:pt>
                <c:pt idx="264">
                  <c:v>1.4949999999999999</c:v>
                </c:pt>
                <c:pt idx="265">
                  <c:v>1.5</c:v>
                </c:pt>
                <c:pt idx="266">
                  <c:v>1.5049999999999999</c:v>
                </c:pt>
                <c:pt idx="267">
                  <c:v>1.51</c:v>
                </c:pt>
                <c:pt idx="268">
                  <c:v>1.5149999999999999</c:v>
                </c:pt>
                <c:pt idx="269">
                  <c:v>1.52</c:v>
                </c:pt>
                <c:pt idx="270">
                  <c:v>1.5249999999999999</c:v>
                </c:pt>
                <c:pt idx="271">
                  <c:v>1.53</c:v>
                </c:pt>
                <c:pt idx="272">
                  <c:v>1.5349999999999999</c:v>
                </c:pt>
                <c:pt idx="273">
                  <c:v>1.54</c:v>
                </c:pt>
                <c:pt idx="274">
                  <c:v>1.5449999999999999</c:v>
                </c:pt>
                <c:pt idx="275">
                  <c:v>1.55</c:v>
                </c:pt>
                <c:pt idx="276">
                  <c:v>1.5549999999999999</c:v>
                </c:pt>
                <c:pt idx="277">
                  <c:v>1.56</c:v>
                </c:pt>
                <c:pt idx="278">
                  <c:v>1.5649999999999999</c:v>
                </c:pt>
                <c:pt idx="279">
                  <c:v>1.57</c:v>
                </c:pt>
                <c:pt idx="280">
                  <c:v>1.575</c:v>
                </c:pt>
                <c:pt idx="281">
                  <c:v>1.58</c:v>
                </c:pt>
                <c:pt idx="282">
                  <c:v>1.585</c:v>
                </c:pt>
                <c:pt idx="283">
                  <c:v>1.59</c:v>
                </c:pt>
                <c:pt idx="284">
                  <c:v>1.595</c:v>
                </c:pt>
                <c:pt idx="285">
                  <c:v>1.6</c:v>
                </c:pt>
                <c:pt idx="286">
                  <c:v>1.605</c:v>
                </c:pt>
                <c:pt idx="287">
                  <c:v>1.6099999999999999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1.625</c:v>
                </c:pt>
                <c:pt idx="291">
                  <c:v>1.63</c:v>
                </c:pt>
                <c:pt idx="292">
                  <c:v>1.635</c:v>
                </c:pt>
                <c:pt idx="293">
                  <c:v>1.64</c:v>
                </c:pt>
                <c:pt idx="294">
                  <c:v>1.645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1.665</c:v>
                </c:pt>
                <c:pt idx="299">
                  <c:v>1.67</c:v>
                </c:pt>
                <c:pt idx="300">
                  <c:v>1.675</c:v>
                </c:pt>
                <c:pt idx="301">
                  <c:v>1.68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1.7050000000000001</c:v>
                </c:pt>
                <c:pt idx="307">
                  <c:v>1.71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1.7250000000000001</c:v>
                </c:pt>
                <c:pt idx="311">
                  <c:v>1.73</c:v>
                </c:pt>
                <c:pt idx="312">
                  <c:v>1.7349999999999999</c:v>
                </c:pt>
                <c:pt idx="313">
                  <c:v>1.74</c:v>
                </c:pt>
                <c:pt idx="314">
                  <c:v>1.7449999999999999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1.78</c:v>
                </c:pt>
                <c:pt idx="322">
                  <c:v>1.7849999999999999</c:v>
                </c:pt>
                <c:pt idx="323">
                  <c:v>1.79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1.8149999999999999</c:v>
                </c:pt>
                <c:pt idx="329">
                  <c:v>1.82</c:v>
                </c:pt>
                <c:pt idx="330">
                  <c:v>1.825</c:v>
                </c:pt>
                <c:pt idx="331">
                  <c:v>1.83</c:v>
                </c:pt>
                <c:pt idx="332">
                  <c:v>1.835</c:v>
                </c:pt>
                <c:pt idx="333">
                  <c:v>1.84</c:v>
                </c:pt>
                <c:pt idx="334">
                  <c:v>1.845</c:v>
                </c:pt>
                <c:pt idx="335">
                  <c:v>1.85</c:v>
                </c:pt>
                <c:pt idx="336">
                  <c:v>1.855</c:v>
                </c:pt>
                <c:pt idx="337">
                  <c:v>1.8599999999999999</c:v>
                </c:pt>
                <c:pt idx="338">
                  <c:v>1.865</c:v>
                </c:pt>
                <c:pt idx="339">
                  <c:v>1.8699999999999999</c:v>
                </c:pt>
                <c:pt idx="340">
                  <c:v>1.88</c:v>
                </c:pt>
                <c:pt idx="341">
                  <c:v>1.885</c:v>
                </c:pt>
                <c:pt idx="342">
                  <c:v>1.89</c:v>
                </c:pt>
                <c:pt idx="343">
                  <c:v>1.895</c:v>
                </c:pt>
                <c:pt idx="344">
                  <c:v>1.9</c:v>
                </c:pt>
                <c:pt idx="345">
                  <c:v>1.905</c:v>
                </c:pt>
                <c:pt idx="346">
                  <c:v>1.91</c:v>
                </c:pt>
                <c:pt idx="347">
                  <c:v>1.915</c:v>
                </c:pt>
                <c:pt idx="348">
                  <c:v>1.92</c:v>
                </c:pt>
                <c:pt idx="349">
                  <c:v>1.925</c:v>
                </c:pt>
                <c:pt idx="350">
                  <c:v>1.93</c:v>
                </c:pt>
                <c:pt idx="351">
                  <c:v>1.9350000000000001</c:v>
                </c:pt>
                <c:pt idx="352">
                  <c:v>1.94</c:v>
                </c:pt>
                <c:pt idx="353">
                  <c:v>1.9450000000000001</c:v>
                </c:pt>
                <c:pt idx="354">
                  <c:v>1.95</c:v>
                </c:pt>
                <c:pt idx="355">
                  <c:v>1.9550000000000001</c:v>
                </c:pt>
                <c:pt idx="356">
                  <c:v>1.96</c:v>
                </c:pt>
                <c:pt idx="357">
                  <c:v>1.9650000000000001</c:v>
                </c:pt>
                <c:pt idx="358">
                  <c:v>1.97</c:v>
                </c:pt>
                <c:pt idx="359">
                  <c:v>1.9750000000000001</c:v>
                </c:pt>
                <c:pt idx="360">
                  <c:v>1.98</c:v>
                </c:pt>
                <c:pt idx="361">
                  <c:v>1.9849999999999999</c:v>
                </c:pt>
                <c:pt idx="362">
                  <c:v>1.9899999999999998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2.0099999999999998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2.0249999999999999</c:v>
                </c:pt>
                <c:pt idx="370">
                  <c:v>2.0299999999999998</c:v>
                </c:pt>
                <c:pt idx="371">
                  <c:v>2.0350000000000001</c:v>
                </c:pt>
                <c:pt idx="372">
                  <c:v>2.04</c:v>
                </c:pt>
                <c:pt idx="373">
                  <c:v>2.0449999999999999</c:v>
                </c:pt>
                <c:pt idx="374">
                  <c:v>2.0499999999999998</c:v>
                </c:pt>
                <c:pt idx="375">
                  <c:v>2.0550000000000002</c:v>
                </c:pt>
                <c:pt idx="376">
                  <c:v>2.06</c:v>
                </c:pt>
                <c:pt idx="377">
                  <c:v>2.0649999999999999</c:v>
                </c:pt>
                <c:pt idx="378">
                  <c:v>2.0699999999999998</c:v>
                </c:pt>
                <c:pt idx="379">
                  <c:v>2.0750000000000002</c:v>
                </c:pt>
                <c:pt idx="380">
                  <c:v>2.08</c:v>
                </c:pt>
                <c:pt idx="381">
                  <c:v>2.085</c:v>
                </c:pt>
                <c:pt idx="382">
                  <c:v>2.09</c:v>
                </c:pt>
                <c:pt idx="383">
                  <c:v>2.0950000000000002</c:v>
                </c:pt>
                <c:pt idx="384">
                  <c:v>2.1</c:v>
                </c:pt>
                <c:pt idx="385">
                  <c:v>2.105</c:v>
                </c:pt>
                <c:pt idx="386">
                  <c:v>2.11</c:v>
                </c:pt>
                <c:pt idx="387">
                  <c:v>2.1149999999999998</c:v>
                </c:pt>
                <c:pt idx="388">
                  <c:v>2.12</c:v>
                </c:pt>
                <c:pt idx="389">
                  <c:v>2.125</c:v>
                </c:pt>
                <c:pt idx="390">
                  <c:v>2.13</c:v>
                </c:pt>
                <c:pt idx="391">
                  <c:v>2.1349999999999998</c:v>
                </c:pt>
                <c:pt idx="392">
                  <c:v>2.14</c:v>
                </c:pt>
                <c:pt idx="393">
                  <c:v>2.145</c:v>
                </c:pt>
                <c:pt idx="394">
                  <c:v>2.15</c:v>
                </c:pt>
                <c:pt idx="395">
                  <c:v>2.1549999999999998</c:v>
                </c:pt>
                <c:pt idx="396">
                  <c:v>2.16</c:v>
                </c:pt>
                <c:pt idx="397">
                  <c:v>2.165</c:v>
                </c:pt>
                <c:pt idx="398">
                  <c:v>2.17</c:v>
                </c:pt>
                <c:pt idx="399">
                  <c:v>2.1749999999999998</c:v>
                </c:pt>
                <c:pt idx="400">
                  <c:v>2.1800000000000002</c:v>
                </c:pt>
                <c:pt idx="401">
                  <c:v>2.1850000000000001</c:v>
                </c:pt>
                <c:pt idx="402">
                  <c:v>2.19</c:v>
                </c:pt>
                <c:pt idx="403">
                  <c:v>2.1949999999999998</c:v>
                </c:pt>
                <c:pt idx="404">
                  <c:v>2.2000000000000002</c:v>
                </c:pt>
                <c:pt idx="405">
                  <c:v>2.2050000000000001</c:v>
                </c:pt>
                <c:pt idx="406">
                  <c:v>2.21</c:v>
                </c:pt>
                <c:pt idx="407">
                  <c:v>2.2149999999999999</c:v>
                </c:pt>
                <c:pt idx="408">
                  <c:v>2.2200000000000002</c:v>
                </c:pt>
                <c:pt idx="409">
                  <c:v>2.2250000000000001</c:v>
                </c:pt>
                <c:pt idx="410">
                  <c:v>2.23</c:v>
                </c:pt>
                <c:pt idx="411">
                  <c:v>2.2349999999999999</c:v>
                </c:pt>
                <c:pt idx="412">
                  <c:v>2.2399999999999998</c:v>
                </c:pt>
                <c:pt idx="413">
                  <c:v>2.2450000000000001</c:v>
                </c:pt>
                <c:pt idx="414">
                  <c:v>2.25</c:v>
                </c:pt>
                <c:pt idx="415">
                  <c:v>2.2549999999999999</c:v>
                </c:pt>
                <c:pt idx="416">
                  <c:v>2.2599999999999998</c:v>
                </c:pt>
                <c:pt idx="417">
                  <c:v>2.2650000000000001</c:v>
                </c:pt>
                <c:pt idx="418">
                  <c:v>2.27</c:v>
                </c:pt>
                <c:pt idx="419">
                  <c:v>2.2749999999999999</c:v>
                </c:pt>
                <c:pt idx="420">
                  <c:v>2.2799999999999998</c:v>
                </c:pt>
                <c:pt idx="421">
                  <c:v>2.2850000000000001</c:v>
                </c:pt>
                <c:pt idx="422">
                  <c:v>2.29</c:v>
                </c:pt>
                <c:pt idx="423">
                  <c:v>2.2949999999999999</c:v>
                </c:pt>
                <c:pt idx="424">
                  <c:v>2.2999999999999998</c:v>
                </c:pt>
                <c:pt idx="425">
                  <c:v>2.3050000000000002</c:v>
                </c:pt>
                <c:pt idx="426">
                  <c:v>2.31</c:v>
                </c:pt>
                <c:pt idx="427">
                  <c:v>2.3149999999999999</c:v>
                </c:pt>
                <c:pt idx="428">
                  <c:v>2.3199999999999998</c:v>
                </c:pt>
                <c:pt idx="429">
                  <c:v>2.3250000000000002</c:v>
                </c:pt>
                <c:pt idx="430">
                  <c:v>2.33</c:v>
                </c:pt>
                <c:pt idx="431">
                  <c:v>2.335</c:v>
                </c:pt>
                <c:pt idx="432">
                  <c:v>2.34</c:v>
                </c:pt>
                <c:pt idx="433">
                  <c:v>2.3450000000000002</c:v>
                </c:pt>
                <c:pt idx="434">
                  <c:v>2.35</c:v>
                </c:pt>
                <c:pt idx="435">
                  <c:v>2.355</c:v>
                </c:pt>
                <c:pt idx="436">
                  <c:v>2.36</c:v>
                </c:pt>
                <c:pt idx="437">
                  <c:v>2.3649999999999998</c:v>
                </c:pt>
                <c:pt idx="438">
                  <c:v>2.375</c:v>
                </c:pt>
                <c:pt idx="439">
                  <c:v>2.38</c:v>
                </c:pt>
                <c:pt idx="440">
                  <c:v>2.3849999999999998</c:v>
                </c:pt>
                <c:pt idx="441">
                  <c:v>2.39</c:v>
                </c:pt>
                <c:pt idx="442">
                  <c:v>2.395</c:v>
                </c:pt>
                <c:pt idx="443">
                  <c:v>2.4</c:v>
                </c:pt>
                <c:pt idx="444">
                  <c:v>2.4049999999999998</c:v>
                </c:pt>
                <c:pt idx="445">
                  <c:v>2.41</c:v>
                </c:pt>
                <c:pt idx="446">
                  <c:v>2.415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2.4300000000000002</c:v>
                </c:pt>
                <c:pt idx="450">
                  <c:v>2.4350000000000001</c:v>
                </c:pt>
                <c:pt idx="451">
                  <c:v>2.44</c:v>
                </c:pt>
                <c:pt idx="452">
                  <c:v>2.4449999999999998</c:v>
                </c:pt>
                <c:pt idx="453">
                  <c:v>2.4500000000000002</c:v>
                </c:pt>
                <c:pt idx="454">
                  <c:v>2.4550000000000001</c:v>
                </c:pt>
                <c:pt idx="455">
                  <c:v>2.46</c:v>
                </c:pt>
                <c:pt idx="456">
                  <c:v>2.4649999999999999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2.4849999999999999</c:v>
                </c:pt>
                <c:pt idx="461">
                  <c:v>2.4899999999999998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2.5049999999999999</c:v>
                </c:pt>
                <c:pt idx="465">
                  <c:v>2.5099999999999998</c:v>
                </c:pt>
                <c:pt idx="466">
                  <c:v>2.5150000000000001</c:v>
                </c:pt>
                <c:pt idx="467">
                  <c:v>2.52</c:v>
                </c:pt>
                <c:pt idx="468">
                  <c:v>2.5249999999999999</c:v>
                </c:pt>
                <c:pt idx="469">
                  <c:v>2.5299999999999998</c:v>
                </c:pt>
                <c:pt idx="470">
                  <c:v>2.5350000000000001</c:v>
                </c:pt>
                <c:pt idx="471">
                  <c:v>2.54</c:v>
                </c:pt>
                <c:pt idx="472">
                  <c:v>2.5449999999999999</c:v>
                </c:pt>
                <c:pt idx="473">
                  <c:v>2.5499999999999998</c:v>
                </c:pt>
                <c:pt idx="474">
                  <c:v>2.5550000000000002</c:v>
                </c:pt>
                <c:pt idx="475">
                  <c:v>2.56</c:v>
                </c:pt>
                <c:pt idx="476">
                  <c:v>2.5649999999999999</c:v>
                </c:pt>
                <c:pt idx="477">
                  <c:v>2.57</c:v>
                </c:pt>
                <c:pt idx="478">
                  <c:v>2.5750000000000002</c:v>
                </c:pt>
                <c:pt idx="479">
                  <c:v>2.58</c:v>
                </c:pt>
                <c:pt idx="480">
                  <c:v>2.585</c:v>
                </c:pt>
                <c:pt idx="481">
                  <c:v>2.59</c:v>
                </c:pt>
                <c:pt idx="482">
                  <c:v>2.5950000000000002</c:v>
                </c:pt>
                <c:pt idx="483">
                  <c:v>2.6</c:v>
                </c:pt>
                <c:pt idx="484">
                  <c:v>2.605</c:v>
                </c:pt>
                <c:pt idx="485">
                  <c:v>2.61</c:v>
                </c:pt>
                <c:pt idx="486">
                  <c:v>2.6149999999999998</c:v>
                </c:pt>
                <c:pt idx="487">
                  <c:v>2.62</c:v>
                </c:pt>
                <c:pt idx="488">
                  <c:v>2.625</c:v>
                </c:pt>
                <c:pt idx="489">
                  <c:v>2.63</c:v>
                </c:pt>
                <c:pt idx="490">
                  <c:v>2.6349999999999998</c:v>
                </c:pt>
                <c:pt idx="491">
                  <c:v>2.64</c:v>
                </c:pt>
                <c:pt idx="492">
                  <c:v>2.645</c:v>
                </c:pt>
                <c:pt idx="493">
                  <c:v>2.65</c:v>
                </c:pt>
                <c:pt idx="494">
                  <c:v>2.6549999999999998</c:v>
                </c:pt>
                <c:pt idx="495">
                  <c:v>2.66</c:v>
                </c:pt>
                <c:pt idx="496">
                  <c:v>2.665</c:v>
                </c:pt>
                <c:pt idx="497">
                  <c:v>2.67</c:v>
                </c:pt>
                <c:pt idx="498">
                  <c:v>2.6749999999999998</c:v>
                </c:pt>
                <c:pt idx="499">
                  <c:v>2.68</c:v>
                </c:pt>
                <c:pt idx="500">
                  <c:v>2.6850000000000001</c:v>
                </c:pt>
                <c:pt idx="501">
                  <c:v>2.69</c:v>
                </c:pt>
                <c:pt idx="502">
                  <c:v>2.6949999999999998</c:v>
                </c:pt>
                <c:pt idx="503">
                  <c:v>2.7</c:v>
                </c:pt>
                <c:pt idx="504">
                  <c:v>2.7050000000000001</c:v>
                </c:pt>
                <c:pt idx="505">
                  <c:v>2.71</c:v>
                </c:pt>
                <c:pt idx="506">
                  <c:v>2.7149999999999999</c:v>
                </c:pt>
                <c:pt idx="507">
                  <c:v>2.72</c:v>
                </c:pt>
                <c:pt idx="508">
                  <c:v>2.7250000000000001</c:v>
                </c:pt>
                <c:pt idx="509">
                  <c:v>2.73</c:v>
                </c:pt>
                <c:pt idx="510">
                  <c:v>2.7349999999999999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2.76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</c:v>
                </c:pt>
                <c:pt idx="518">
                  <c:v>2.7850000000000001</c:v>
                </c:pt>
                <c:pt idx="519">
                  <c:v>2.79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2.8050000000000002</c:v>
                </c:pt>
                <c:pt idx="523">
                  <c:v>2.8149999999999999</c:v>
                </c:pt>
                <c:pt idx="524">
                  <c:v>2.82</c:v>
                </c:pt>
                <c:pt idx="525">
                  <c:v>2.83</c:v>
                </c:pt>
                <c:pt idx="526">
                  <c:v>2.835</c:v>
                </c:pt>
                <c:pt idx="527">
                  <c:v>2.84</c:v>
                </c:pt>
                <c:pt idx="528">
                  <c:v>2.8450000000000002</c:v>
                </c:pt>
                <c:pt idx="529">
                  <c:v>2.855</c:v>
                </c:pt>
                <c:pt idx="530">
                  <c:v>2.86</c:v>
                </c:pt>
                <c:pt idx="531">
                  <c:v>2.8649999999999998</c:v>
                </c:pt>
                <c:pt idx="532">
                  <c:v>2.87</c:v>
                </c:pt>
                <c:pt idx="533">
                  <c:v>2.875</c:v>
                </c:pt>
                <c:pt idx="534">
                  <c:v>2.88</c:v>
                </c:pt>
                <c:pt idx="535">
                  <c:v>2.8849999999999998</c:v>
                </c:pt>
                <c:pt idx="536">
                  <c:v>2.89</c:v>
                </c:pt>
                <c:pt idx="537">
                  <c:v>2.895</c:v>
                </c:pt>
                <c:pt idx="538">
                  <c:v>2.9049999999999998</c:v>
                </c:pt>
                <c:pt idx="539">
                  <c:v>2.91</c:v>
                </c:pt>
                <c:pt idx="540">
                  <c:v>2.92</c:v>
                </c:pt>
                <c:pt idx="541">
                  <c:v>2.9249999999999998</c:v>
                </c:pt>
                <c:pt idx="542">
                  <c:v>2.93</c:v>
                </c:pt>
                <c:pt idx="543">
                  <c:v>2.9350000000000001</c:v>
                </c:pt>
                <c:pt idx="544">
                  <c:v>2.9449999999999998</c:v>
                </c:pt>
                <c:pt idx="545">
                  <c:v>2.9550000000000001</c:v>
                </c:pt>
                <c:pt idx="546">
                  <c:v>2.9649999999999999</c:v>
                </c:pt>
                <c:pt idx="547">
                  <c:v>2.9750000000000001</c:v>
                </c:pt>
                <c:pt idx="548">
                  <c:v>2.9849999999999999</c:v>
                </c:pt>
                <c:pt idx="549">
                  <c:v>2.9899999999999998</c:v>
                </c:pt>
                <c:pt idx="550">
                  <c:v>3</c:v>
                </c:pt>
                <c:pt idx="551">
                  <c:v>3.0049999999999999</c:v>
                </c:pt>
                <c:pt idx="552">
                  <c:v>3.0150000000000001</c:v>
                </c:pt>
                <c:pt idx="553">
                  <c:v>3.02</c:v>
                </c:pt>
                <c:pt idx="554">
                  <c:v>3.0249999999999999</c:v>
                </c:pt>
                <c:pt idx="555">
                  <c:v>3.0350000000000001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3.0550000000000002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3.085</c:v>
                </c:pt>
                <c:pt idx="566">
                  <c:v>3.09</c:v>
                </c:pt>
                <c:pt idx="567">
                  <c:v>3.0950000000000002</c:v>
                </c:pt>
                <c:pt idx="568">
                  <c:v>3.1</c:v>
                </c:pt>
                <c:pt idx="569">
                  <c:v>3.105</c:v>
                </c:pt>
                <c:pt idx="570">
                  <c:v>3.11</c:v>
                </c:pt>
                <c:pt idx="571">
                  <c:v>3.1149999999999998</c:v>
                </c:pt>
                <c:pt idx="572">
                  <c:v>3.12</c:v>
                </c:pt>
                <c:pt idx="573">
                  <c:v>3.125</c:v>
                </c:pt>
                <c:pt idx="574">
                  <c:v>3.13</c:v>
                </c:pt>
                <c:pt idx="575">
                  <c:v>3.1349999999999998</c:v>
                </c:pt>
                <c:pt idx="576">
                  <c:v>3.14</c:v>
                </c:pt>
                <c:pt idx="577">
                  <c:v>3.145</c:v>
                </c:pt>
                <c:pt idx="578">
                  <c:v>3.15</c:v>
                </c:pt>
                <c:pt idx="579">
                  <c:v>3.1549999999999998</c:v>
                </c:pt>
                <c:pt idx="580">
                  <c:v>3.16</c:v>
                </c:pt>
                <c:pt idx="581">
                  <c:v>3.165</c:v>
                </c:pt>
                <c:pt idx="582">
                  <c:v>3.17</c:v>
                </c:pt>
                <c:pt idx="583">
                  <c:v>3.1749999999999998</c:v>
                </c:pt>
                <c:pt idx="584">
                  <c:v>3.18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3.1949999999999998</c:v>
                </c:pt>
                <c:pt idx="588">
                  <c:v>3.2</c:v>
                </c:pt>
                <c:pt idx="589">
                  <c:v>3.2050000000000001</c:v>
                </c:pt>
                <c:pt idx="590">
                  <c:v>3.21</c:v>
                </c:pt>
                <c:pt idx="591">
                  <c:v>3.2149999999999999</c:v>
                </c:pt>
                <c:pt idx="592">
                  <c:v>3.22</c:v>
                </c:pt>
                <c:pt idx="593">
                  <c:v>3.2250000000000001</c:v>
                </c:pt>
                <c:pt idx="594">
                  <c:v>3.23</c:v>
                </c:pt>
                <c:pt idx="595">
                  <c:v>3.2349999999999999</c:v>
                </c:pt>
                <c:pt idx="596">
                  <c:v>3.2399999999999998</c:v>
                </c:pt>
                <c:pt idx="597">
                  <c:v>3.2450000000000001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3.2650000000000001</c:v>
                </c:pt>
                <c:pt idx="602">
                  <c:v>3.27</c:v>
                </c:pt>
                <c:pt idx="603">
                  <c:v>3.2749999999999999</c:v>
                </c:pt>
                <c:pt idx="604">
                  <c:v>3.28</c:v>
                </c:pt>
                <c:pt idx="605">
                  <c:v>3.2850000000000001</c:v>
                </c:pt>
                <c:pt idx="606">
                  <c:v>3.29</c:v>
                </c:pt>
                <c:pt idx="607">
                  <c:v>3.2949999999999999</c:v>
                </c:pt>
                <c:pt idx="608">
                  <c:v>3.3</c:v>
                </c:pt>
                <c:pt idx="609">
                  <c:v>3.3050000000000002</c:v>
                </c:pt>
                <c:pt idx="610">
                  <c:v>3.31</c:v>
                </c:pt>
                <c:pt idx="611">
                  <c:v>3.3149999999999999</c:v>
                </c:pt>
                <c:pt idx="612">
                  <c:v>3.32</c:v>
                </c:pt>
                <c:pt idx="613">
                  <c:v>3.3250000000000002</c:v>
                </c:pt>
                <c:pt idx="614">
                  <c:v>3.33</c:v>
                </c:pt>
                <c:pt idx="615">
                  <c:v>3.335</c:v>
                </c:pt>
                <c:pt idx="616">
                  <c:v>3.34</c:v>
                </c:pt>
                <c:pt idx="617">
                  <c:v>3.3450000000000002</c:v>
                </c:pt>
                <c:pt idx="618">
                  <c:v>3.35</c:v>
                </c:pt>
                <c:pt idx="619">
                  <c:v>3.355</c:v>
                </c:pt>
                <c:pt idx="620">
                  <c:v>3.36</c:v>
                </c:pt>
                <c:pt idx="621">
                  <c:v>3.3649999999999998</c:v>
                </c:pt>
                <c:pt idx="622">
                  <c:v>3.37</c:v>
                </c:pt>
                <c:pt idx="623">
                  <c:v>3.375</c:v>
                </c:pt>
                <c:pt idx="624">
                  <c:v>3.38</c:v>
                </c:pt>
                <c:pt idx="625">
                  <c:v>3.3849999999999998</c:v>
                </c:pt>
                <c:pt idx="626">
                  <c:v>3.39</c:v>
                </c:pt>
                <c:pt idx="627">
                  <c:v>3.395</c:v>
                </c:pt>
                <c:pt idx="628">
                  <c:v>3.4</c:v>
                </c:pt>
                <c:pt idx="629">
                  <c:v>3.4049999999999998</c:v>
                </c:pt>
                <c:pt idx="630">
                  <c:v>3.41</c:v>
                </c:pt>
                <c:pt idx="631">
                  <c:v>3.415</c:v>
                </c:pt>
                <c:pt idx="632">
                  <c:v>3.42</c:v>
                </c:pt>
                <c:pt idx="633">
                  <c:v>3.4249999999999998</c:v>
                </c:pt>
                <c:pt idx="634">
                  <c:v>3.43</c:v>
                </c:pt>
                <c:pt idx="635">
                  <c:v>3.4350000000000001</c:v>
                </c:pt>
                <c:pt idx="636">
                  <c:v>3.44</c:v>
                </c:pt>
                <c:pt idx="637">
                  <c:v>3.4449999999999998</c:v>
                </c:pt>
                <c:pt idx="638">
                  <c:v>3.4550000000000001</c:v>
                </c:pt>
                <c:pt idx="639">
                  <c:v>3.46</c:v>
                </c:pt>
                <c:pt idx="640">
                  <c:v>3.4649999999999999</c:v>
                </c:pt>
                <c:pt idx="641">
                  <c:v>3.47</c:v>
                </c:pt>
                <c:pt idx="642">
                  <c:v>3.4750000000000001</c:v>
                </c:pt>
                <c:pt idx="643">
                  <c:v>3.48</c:v>
                </c:pt>
                <c:pt idx="644">
                  <c:v>3.4849999999999999</c:v>
                </c:pt>
                <c:pt idx="645">
                  <c:v>3.4899999999999998</c:v>
                </c:pt>
                <c:pt idx="646">
                  <c:v>3.4950000000000001</c:v>
                </c:pt>
                <c:pt idx="647">
                  <c:v>3.5</c:v>
                </c:pt>
                <c:pt idx="648">
                  <c:v>3.5049999999999999</c:v>
                </c:pt>
                <c:pt idx="649">
                  <c:v>3.51</c:v>
                </c:pt>
                <c:pt idx="650">
                  <c:v>3.5150000000000001</c:v>
                </c:pt>
                <c:pt idx="651">
                  <c:v>3.52</c:v>
                </c:pt>
                <c:pt idx="652">
                  <c:v>3.5249999999999999</c:v>
                </c:pt>
                <c:pt idx="653">
                  <c:v>3.53</c:v>
                </c:pt>
                <c:pt idx="654">
                  <c:v>3.5350000000000001</c:v>
                </c:pt>
                <c:pt idx="655">
                  <c:v>3.54</c:v>
                </c:pt>
                <c:pt idx="656">
                  <c:v>3.5449999999999999</c:v>
                </c:pt>
                <c:pt idx="657">
                  <c:v>3.55</c:v>
                </c:pt>
                <c:pt idx="658">
                  <c:v>3.5550000000000002</c:v>
                </c:pt>
                <c:pt idx="659">
                  <c:v>3.56</c:v>
                </c:pt>
                <c:pt idx="660">
                  <c:v>3.5649999999999999</c:v>
                </c:pt>
                <c:pt idx="661">
                  <c:v>3.57</c:v>
                </c:pt>
                <c:pt idx="662">
                  <c:v>3.5750000000000002</c:v>
                </c:pt>
                <c:pt idx="663">
                  <c:v>3.58</c:v>
                </c:pt>
                <c:pt idx="664">
                  <c:v>3.585</c:v>
                </c:pt>
                <c:pt idx="665">
                  <c:v>3.59</c:v>
                </c:pt>
                <c:pt idx="666">
                  <c:v>3.5950000000000002</c:v>
                </c:pt>
                <c:pt idx="667">
                  <c:v>3.6</c:v>
                </c:pt>
                <c:pt idx="668">
                  <c:v>3.605</c:v>
                </c:pt>
                <c:pt idx="669">
                  <c:v>3.61</c:v>
                </c:pt>
                <c:pt idx="670">
                  <c:v>3.6149999999999998</c:v>
                </c:pt>
                <c:pt idx="671">
                  <c:v>3.62</c:v>
                </c:pt>
                <c:pt idx="672">
                  <c:v>3.625</c:v>
                </c:pt>
                <c:pt idx="673">
                  <c:v>3.63</c:v>
                </c:pt>
                <c:pt idx="674">
                  <c:v>3.6349999999999998</c:v>
                </c:pt>
                <c:pt idx="675">
                  <c:v>3.64</c:v>
                </c:pt>
                <c:pt idx="676">
                  <c:v>3.645</c:v>
                </c:pt>
                <c:pt idx="677">
                  <c:v>3.65</c:v>
                </c:pt>
                <c:pt idx="678">
                  <c:v>3.6549999999999998</c:v>
                </c:pt>
                <c:pt idx="679">
                  <c:v>3.66</c:v>
                </c:pt>
                <c:pt idx="680">
                  <c:v>3.665</c:v>
                </c:pt>
                <c:pt idx="681">
                  <c:v>3.67</c:v>
                </c:pt>
                <c:pt idx="682">
                  <c:v>3.6749999999999998</c:v>
                </c:pt>
                <c:pt idx="683">
                  <c:v>3.68</c:v>
                </c:pt>
                <c:pt idx="684">
                  <c:v>3.6850000000000001</c:v>
                </c:pt>
                <c:pt idx="685">
                  <c:v>3.69</c:v>
                </c:pt>
                <c:pt idx="686">
                  <c:v>3.6949999999999998</c:v>
                </c:pt>
                <c:pt idx="687">
                  <c:v>3.7</c:v>
                </c:pt>
                <c:pt idx="688">
                  <c:v>3.7050000000000001</c:v>
                </c:pt>
                <c:pt idx="689">
                  <c:v>3.71</c:v>
                </c:pt>
                <c:pt idx="690">
                  <c:v>3.7149999999999999</c:v>
                </c:pt>
                <c:pt idx="691">
                  <c:v>3.72</c:v>
                </c:pt>
                <c:pt idx="692">
                  <c:v>3.7250000000000001</c:v>
                </c:pt>
                <c:pt idx="693">
                  <c:v>3.73</c:v>
                </c:pt>
                <c:pt idx="694">
                  <c:v>3.7349999999999999</c:v>
                </c:pt>
                <c:pt idx="695">
                  <c:v>3.7450000000000001</c:v>
                </c:pt>
                <c:pt idx="696">
                  <c:v>3.75</c:v>
                </c:pt>
                <c:pt idx="697">
                  <c:v>3.76</c:v>
                </c:pt>
                <c:pt idx="698">
                  <c:v>3.7650000000000001</c:v>
                </c:pt>
                <c:pt idx="699">
                  <c:v>3.77</c:v>
                </c:pt>
                <c:pt idx="700">
                  <c:v>3.7749999999999999</c:v>
                </c:pt>
                <c:pt idx="701">
                  <c:v>3.7850000000000001</c:v>
                </c:pt>
                <c:pt idx="702">
                  <c:v>3.79</c:v>
                </c:pt>
                <c:pt idx="703">
                  <c:v>3.8</c:v>
                </c:pt>
                <c:pt idx="704">
                  <c:v>3.8050000000000002</c:v>
                </c:pt>
                <c:pt idx="705">
                  <c:v>3.81</c:v>
                </c:pt>
                <c:pt idx="706">
                  <c:v>3.8149999999999999</c:v>
                </c:pt>
                <c:pt idx="707">
                  <c:v>3.82</c:v>
                </c:pt>
                <c:pt idx="708">
                  <c:v>3.8250000000000002</c:v>
                </c:pt>
                <c:pt idx="709">
                  <c:v>3.83</c:v>
                </c:pt>
                <c:pt idx="710">
                  <c:v>3.835</c:v>
                </c:pt>
                <c:pt idx="711">
                  <c:v>3.84</c:v>
                </c:pt>
                <c:pt idx="712">
                  <c:v>3.8450000000000002</c:v>
                </c:pt>
                <c:pt idx="713">
                  <c:v>3.85</c:v>
                </c:pt>
                <c:pt idx="714">
                  <c:v>3.855</c:v>
                </c:pt>
                <c:pt idx="715">
                  <c:v>3.86</c:v>
                </c:pt>
                <c:pt idx="716">
                  <c:v>3.8649999999999998</c:v>
                </c:pt>
                <c:pt idx="717">
                  <c:v>3.87</c:v>
                </c:pt>
                <c:pt idx="718">
                  <c:v>3.875</c:v>
                </c:pt>
                <c:pt idx="719">
                  <c:v>3.88</c:v>
                </c:pt>
                <c:pt idx="720">
                  <c:v>3.8849999999999998</c:v>
                </c:pt>
                <c:pt idx="721">
                  <c:v>3.89</c:v>
                </c:pt>
                <c:pt idx="722">
                  <c:v>3.895</c:v>
                </c:pt>
                <c:pt idx="723">
                  <c:v>3.9</c:v>
                </c:pt>
                <c:pt idx="724">
                  <c:v>3.9049999999999998</c:v>
                </c:pt>
                <c:pt idx="725">
                  <c:v>3.91</c:v>
                </c:pt>
                <c:pt idx="726">
                  <c:v>3.915</c:v>
                </c:pt>
                <c:pt idx="727">
                  <c:v>3.92</c:v>
                </c:pt>
                <c:pt idx="728">
                  <c:v>3.9249999999999998</c:v>
                </c:pt>
                <c:pt idx="729">
                  <c:v>3.93</c:v>
                </c:pt>
                <c:pt idx="730">
                  <c:v>3.9350000000000001</c:v>
                </c:pt>
                <c:pt idx="731">
                  <c:v>3.94</c:v>
                </c:pt>
                <c:pt idx="732">
                  <c:v>3.9449999999999998</c:v>
                </c:pt>
                <c:pt idx="733">
                  <c:v>3.95</c:v>
                </c:pt>
                <c:pt idx="734">
                  <c:v>3.9550000000000001</c:v>
                </c:pt>
                <c:pt idx="735">
                  <c:v>3.96</c:v>
                </c:pt>
                <c:pt idx="736">
                  <c:v>3.9649999999999999</c:v>
                </c:pt>
                <c:pt idx="737">
                  <c:v>3.97</c:v>
                </c:pt>
                <c:pt idx="738">
                  <c:v>3.9750000000000001</c:v>
                </c:pt>
                <c:pt idx="739">
                  <c:v>3.98</c:v>
                </c:pt>
                <c:pt idx="740">
                  <c:v>3.9849999999999999</c:v>
                </c:pt>
                <c:pt idx="741">
                  <c:v>3.9899999999999998</c:v>
                </c:pt>
                <c:pt idx="742">
                  <c:v>3.9949999999999997</c:v>
                </c:pt>
                <c:pt idx="743">
                  <c:v>3.9999999999999996</c:v>
                </c:pt>
                <c:pt idx="744">
                  <c:v>4.0050000000000008</c:v>
                </c:pt>
                <c:pt idx="745">
                  <c:v>4.0100000000000007</c:v>
                </c:pt>
                <c:pt idx="746">
                  <c:v>4.0150000000000006</c:v>
                </c:pt>
                <c:pt idx="747">
                  <c:v>4.0200000000000005</c:v>
                </c:pt>
                <c:pt idx="748">
                  <c:v>4.0250000000000004</c:v>
                </c:pt>
                <c:pt idx="749">
                  <c:v>4.03</c:v>
                </c:pt>
                <c:pt idx="750">
                  <c:v>4.0350000000000001</c:v>
                </c:pt>
                <c:pt idx="751">
                  <c:v>4.04</c:v>
                </c:pt>
                <c:pt idx="752">
                  <c:v>4.0450000000000008</c:v>
                </c:pt>
                <c:pt idx="753">
                  <c:v>4.0500000000000007</c:v>
                </c:pt>
                <c:pt idx="754">
                  <c:v>4.0550000000000006</c:v>
                </c:pt>
                <c:pt idx="755">
                  <c:v>4.0600000000000005</c:v>
                </c:pt>
                <c:pt idx="756">
                  <c:v>4.0650000000000004</c:v>
                </c:pt>
                <c:pt idx="757">
                  <c:v>4.07</c:v>
                </c:pt>
                <c:pt idx="758">
                  <c:v>4.0750000000000002</c:v>
                </c:pt>
                <c:pt idx="759">
                  <c:v>4.08</c:v>
                </c:pt>
                <c:pt idx="760">
                  <c:v>4.0850000000000009</c:v>
                </c:pt>
                <c:pt idx="761">
                  <c:v>4.0900000000000007</c:v>
                </c:pt>
                <c:pt idx="762">
                  <c:v>4.0950000000000006</c:v>
                </c:pt>
                <c:pt idx="763">
                  <c:v>4.1000000000000005</c:v>
                </c:pt>
                <c:pt idx="764">
                  <c:v>4.1050000000000004</c:v>
                </c:pt>
                <c:pt idx="765">
                  <c:v>4.1100000000000003</c:v>
                </c:pt>
                <c:pt idx="766">
                  <c:v>4.1150000000000002</c:v>
                </c:pt>
                <c:pt idx="767">
                  <c:v>4.12</c:v>
                </c:pt>
                <c:pt idx="768">
                  <c:v>4.125</c:v>
                </c:pt>
                <c:pt idx="769">
                  <c:v>4.1300000000000008</c:v>
                </c:pt>
                <c:pt idx="770">
                  <c:v>4.1350000000000007</c:v>
                </c:pt>
                <c:pt idx="771">
                  <c:v>4.1400000000000006</c:v>
                </c:pt>
                <c:pt idx="772">
                  <c:v>4.1450000000000005</c:v>
                </c:pt>
                <c:pt idx="773">
                  <c:v>4.1500000000000004</c:v>
                </c:pt>
              </c:numCache>
            </c:numRef>
          </c:xVal>
          <c:yVal>
            <c:numRef>
              <c:f>TactilityF!$P$21:$P$1001</c:f>
              <c:numCache>
                <c:formatCode>0.000</c:formatCode>
                <c:ptCount val="981"/>
                <c:pt idx="0">
                  <c:v>43.4</c:v>
                </c:pt>
                <c:pt idx="1">
                  <c:v>43.445714285714281</c:v>
                </c:pt>
                <c:pt idx="2">
                  <c:v>43.491428571428571</c:v>
                </c:pt>
                <c:pt idx="3">
                  <c:v>43.537142857142854</c:v>
                </c:pt>
                <c:pt idx="4">
                  <c:v>43.582857142857144</c:v>
                </c:pt>
                <c:pt idx="5">
                  <c:v>43.628571428571426</c:v>
                </c:pt>
                <c:pt idx="6">
                  <c:v>43.674285714285716</c:v>
                </c:pt>
                <c:pt idx="7">
                  <c:v>43.72</c:v>
                </c:pt>
                <c:pt idx="8">
                  <c:v>43.765714285714282</c:v>
                </c:pt>
                <c:pt idx="9">
                  <c:v>43.811428571428571</c:v>
                </c:pt>
                <c:pt idx="10">
                  <c:v>43.857142857142854</c:v>
                </c:pt>
                <c:pt idx="11">
                  <c:v>43.902857142857144</c:v>
                </c:pt>
                <c:pt idx="12">
                  <c:v>43.948571428571427</c:v>
                </c:pt>
                <c:pt idx="13">
                  <c:v>43.994285714285716</c:v>
                </c:pt>
                <c:pt idx="14">
                  <c:v>44.04</c:v>
                </c:pt>
                <c:pt idx="15">
                  <c:v>44.085714285714282</c:v>
                </c:pt>
                <c:pt idx="16">
                  <c:v>44.177142857142854</c:v>
                </c:pt>
                <c:pt idx="17">
                  <c:v>44.222857142857144</c:v>
                </c:pt>
                <c:pt idx="18">
                  <c:v>44.268571428571427</c:v>
                </c:pt>
                <c:pt idx="19">
                  <c:v>44.314285714285717</c:v>
                </c:pt>
                <c:pt idx="20">
                  <c:v>44.36</c:v>
                </c:pt>
                <c:pt idx="21">
                  <c:v>44.405714285714282</c:v>
                </c:pt>
                <c:pt idx="22">
                  <c:v>44.451428571428572</c:v>
                </c:pt>
                <c:pt idx="23">
                  <c:v>44.497142857142855</c:v>
                </c:pt>
                <c:pt idx="24">
                  <c:v>44.542857142857144</c:v>
                </c:pt>
                <c:pt idx="25">
                  <c:v>44.588571428571427</c:v>
                </c:pt>
                <c:pt idx="26">
                  <c:v>44.63428571428571</c:v>
                </c:pt>
                <c:pt idx="27">
                  <c:v>44.68</c:v>
                </c:pt>
                <c:pt idx="28">
                  <c:v>44.725714285714282</c:v>
                </c:pt>
                <c:pt idx="29">
                  <c:v>44.771428571428572</c:v>
                </c:pt>
                <c:pt idx="30">
                  <c:v>44.817142857142855</c:v>
                </c:pt>
                <c:pt idx="31">
                  <c:v>44.862857142857145</c:v>
                </c:pt>
                <c:pt idx="32">
                  <c:v>44.908571428571427</c:v>
                </c:pt>
                <c:pt idx="33">
                  <c:v>44.95428571428571</c:v>
                </c:pt>
                <c:pt idx="34">
                  <c:v>45</c:v>
                </c:pt>
                <c:pt idx="35">
                  <c:v>45.045714285714283</c:v>
                </c:pt>
                <c:pt idx="36">
                  <c:v>45.091428571428573</c:v>
                </c:pt>
                <c:pt idx="37">
                  <c:v>45.137142857142855</c:v>
                </c:pt>
                <c:pt idx="38">
                  <c:v>45.182857142857145</c:v>
                </c:pt>
                <c:pt idx="39">
                  <c:v>45.228571428571428</c:v>
                </c:pt>
                <c:pt idx="40">
                  <c:v>45.27428571428571</c:v>
                </c:pt>
                <c:pt idx="41">
                  <c:v>45.32</c:v>
                </c:pt>
                <c:pt idx="42">
                  <c:v>45.365714285714283</c:v>
                </c:pt>
                <c:pt idx="43">
                  <c:v>45.411428571428573</c:v>
                </c:pt>
                <c:pt idx="44">
                  <c:v>45.502857142857138</c:v>
                </c:pt>
                <c:pt idx="45">
                  <c:v>45.594285714285711</c:v>
                </c:pt>
                <c:pt idx="46">
                  <c:v>45.685714285714283</c:v>
                </c:pt>
                <c:pt idx="47">
                  <c:v>45.731428571428573</c:v>
                </c:pt>
                <c:pt idx="48">
                  <c:v>45.777142857142856</c:v>
                </c:pt>
                <c:pt idx="49">
                  <c:v>45.822857142857146</c:v>
                </c:pt>
                <c:pt idx="50">
                  <c:v>45.868571428571428</c:v>
                </c:pt>
                <c:pt idx="51">
                  <c:v>45.914285714285711</c:v>
                </c:pt>
                <c:pt idx="52">
                  <c:v>45.96</c:v>
                </c:pt>
                <c:pt idx="53">
                  <c:v>46.005714285714284</c:v>
                </c:pt>
                <c:pt idx="54">
                  <c:v>46.051428571428573</c:v>
                </c:pt>
                <c:pt idx="55">
                  <c:v>46.097142857142856</c:v>
                </c:pt>
                <c:pt idx="56">
                  <c:v>46.142857142857139</c:v>
                </c:pt>
                <c:pt idx="57">
                  <c:v>46.188571428571429</c:v>
                </c:pt>
                <c:pt idx="58">
                  <c:v>46.234285714285711</c:v>
                </c:pt>
                <c:pt idx="59">
                  <c:v>46.28</c:v>
                </c:pt>
                <c:pt idx="60">
                  <c:v>46.325714285714284</c:v>
                </c:pt>
                <c:pt idx="61">
                  <c:v>46.371428571428574</c:v>
                </c:pt>
                <c:pt idx="62">
                  <c:v>46.417142857142856</c:v>
                </c:pt>
                <c:pt idx="63">
                  <c:v>46.462857142857139</c:v>
                </c:pt>
                <c:pt idx="64">
                  <c:v>46.508571428571429</c:v>
                </c:pt>
                <c:pt idx="65">
                  <c:v>46.554285714285712</c:v>
                </c:pt>
                <c:pt idx="66">
                  <c:v>46.6</c:v>
                </c:pt>
                <c:pt idx="67">
                  <c:v>46.645714285714284</c:v>
                </c:pt>
                <c:pt idx="68">
                  <c:v>46.691428571428574</c:v>
                </c:pt>
                <c:pt idx="69">
                  <c:v>46.737142857142857</c:v>
                </c:pt>
                <c:pt idx="70">
                  <c:v>46.782857142857139</c:v>
                </c:pt>
                <c:pt idx="71">
                  <c:v>46.828571428571429</c:v>
                </c:pt>
                <c:pt idx="72">
                  <c:v>46.874285714285712</c:v>
                </c:pt>
                <c:pt idx="73">
                  <c:v>46.92</c:v>
                </c:pt>
                <c:pt idx="74">
                  <c:v>46.965714285714284</c:v>
                </c:pt>
                <c:pt idx="75">
                  <c:v>47.011428571428567</c:v>
                </c:pt>
                <c:pt idx="76">
                  <c:v>47.057142857142857</c:v>
                </c:pt>
                <c:pt idx="77">
                  <c:v>47.10285714285714</c:v>
                </c:pt>
                <c:pt idx="78">
                  <c:v>47.148571428571429</c:v>
                </c:pt>
                <c:pt idx="79">
                  <c:v>47.194285714285712</c:v>
                </c:pt>
                <c:pt idx="80">
                  <c:v>47.24</c:v>
                </c:pt>
                <c:pt idx="81">
                  <c:v>47.285714285714285</c:v>
                </c:pt>
                <c:pt idx="82">
                  <c:v>47.331428571428575</c:v>
                </c:pt>
                <c:pt idx="83">
                  <c:v>47.377142857142857</c:v>
                </c:pt>
                <c:pt idx="84">
                  <c:v>47.42285714285714</c:v>
                </c:pt>
                <c:pt idx="85">
                  <c:v>47.46857142857143</c:v>
                </c:pt>
                <c:pt idx="86">
                  <c:v>47.514285714285712</c:v>
                </c:pt>
                <c:pt idx="87">
                  <c:v>47.56</c:v>
                </c:pt>
                <c:pt idx="88">
                  <c:v>47.605714285714285</c:v>
                </c:pt>
                <c:pt idx="89">
                  <c:v>47.651428571428568</c:v>
                </c:pt>
                <c:pt idx="90">
                  <c:v>47.697142857142858</c:v>
                </c:pt>
                <c:pt idx="91">
                  <c:v>47.74285714285714</c:v>
                </c:pt>
                <c:pt idx="92">
                  <c:v>47.78857142857143</c:v>
                </c:pt>
                <c:pt idx="93">
                  <c:v>47.834285714285713</c:v>
                </c:pt>
                <c:pt idx="94">
                  <c:v>47.88</c:v>
                </c:pt>
                <c:pt idx="95">
                  <c:v>47.925714285714285</c:v>
                </c:pt>
                <c:pt idx="96">
                  <c:v>47.971428571428568</c:v>
                </c:pt>
                <c:pt idx="97">
                  <c:v>48.017142857142858</c:v>
                </c:pt>
                <c:pt idx="98">
                  <c:v>48.062857142857141</c:v>
                </c:pt>
                <c:pt idx="99">
                  <c:v>48.10857142857143</c:v>
                </c:pt>
                <c:pt idx="100">
                  <c:v>48.154285714285713</c:v>
                </c:pt>
                <c:pt idx="101">
                  <c:v>48.2</c:v>
                </c:pt>
                <c:pt idx="102">
                  <c:v>48.245714285714286</c:v>
                </c:pt>
                <c:pt idx="103">
                  <c:v>48.291428571428568</c:v>
                </c:pt>
                <c:pt idx="104">
                  <c:v>48.337142857142858</c:v>
                </c:pt>
                <c:pt idx="105">
                  <c:v>48.382857142857141</c:v>
                </c:pt>
                <c:pt idx="106">
                  <c:v>48.428571428571431</c:v>
                </c:pt>
                <c:pt idx="107">
                  <c:v>48.474285714285713</c:v>
                </c:pt>
                <c:pt idx="108">
                  <c:v>48.52</c:v>
                </c:pt>
                <c:pt idx="109">
                  <c:v>48.565714285714286</c:v>
                </c:pt>
                <c:pt idx="110">
                  <c:v>48.611428571428576</c:v>
                </c:pt>
                <c:pt idx="111">
                  <c:v>48.657142857142858</c:v>
                </c:pt>
                <c:pt idx="112">
                  <c:v>48.702857142857141</c:v>
                </c:pt>
                <c:pt idx="113">
                  <c:v>48.748571428571431</c:v>
                </c:pt>
                <c:pt idx="114">
                  <c:v>48.794285714285714</c:v>
                </c:pt>
                <c:pt idx="115">
                  <c:v>48.84</c:v>
                </c:pt>
                <c:pt idx="116">
                  <c:v>48.885714285714286</c:v>
                </c:pt>
                <c:pt idx="117">
                  <c:v>48.931428571428569</c:v>
                </c:pt>
                <c:pt idx="118">
                  <c:v>48.977142857142859</c:v>
                </c:pt>
                <c:pt idx="119">
                  <c:v>49.022857142857141</c:v>
                </c:pt>
                <c:pt idx="120">
                  <c:v>49.068571428571431</c:v>
                </c:pt>
                <c:pt idx="121">
                  <c:v>49.114285714285714</c:v>
                </c:pt>
                <c:pt idx="122">
                  <c:v>49.16</c:v>
                </c:pt>
                <c:pt idx="123">
                  <c:v>49.251428571428569</c:v>
                </c:pt>
                <c:pt idx="124">
                  <c:v>49.297142857142859</c:v>
                </c:pt>
                <c:pt idx="125">
                  <c:v>49.342857142857142</c:v>
                </c:pt>
                <c:pt idx="126">
                  <c:v>49.434285714285714</c:v>
                </c:pt>
                <c:pt idx="127">
                  <c:v>49.480000000000004</c:v>
                </c:pt>
                <c:pt idx="128">
                  <c:v>49.525714285714287</c:v>
                </c:pt>
                <c:pt idx="129">
                  <c:v>49.571428571428569</c:v>
                </c:pt>
                <c:pt idx="130">
                  <c:v>49.617142857142859</c:v>
                </c:pt>
                <c:pt idx="131">
                  <c:v>49.662857142857142</c:v>
                </c:pt>
                <c:pt idx="132">
                  <c:v>49.708571428571432</c:v>
                </c:pt>
                <c:pt idx="133">
                  <c:v>49.754285714285714</c:v>
                </c:pt>
                <c:pt idx="134">
                  <c:v>49.8</c:v>
                </c:pt>
                <c:pt idx="135">
                  <c:v>49.845714285714287</c:v>
                </c:pt>
                <c:pt idx="136">
                  <c:v>49.89142857142857</c:v>
                </c:pt>
                <c:pt idx="137">
                  <c:v>49.937142857142859</c:v>
                </c:pt>
                <c:pt idx="138">
                  <c:v>49.982857142857142</c:v>
                </c:pt>
                <c:pt idx="139">
                  <c:v>50.028571428571425</c:v>
                </c:pt>
                <c:pt idx="140">
                  <c:v>50.074285714285715</c:v>
                </c:pt>
                <c:pt idx="141">
                  <c:v>50.12</c:v>
                </c:pt>
                <c:pt idx="142">
                  <c:v>50.165714285714287</c:v>
                </c:pt>
                <c:pt idx="143">
                  <c:v>50.21142857142857</c:v>
                </c:pt>
                <c:pt idx="144">
                  <c:v>50.25714285714286</c:v>
                </c:pt>
                <c:pt idx="145">
                  <c:v>50.302857142857142</c:v>
                </c:pt>
                <c:pt idx="146">
                  <c:v>50.348571428571432</c:v>
                </c:pt>
                <c:pt idx="147">
                  <c:v>50.394285714285715</c:v>
                </c:pt>
                <c:pt idx="148">
                  <c:v>50.44</c:v>
                </c:pt>
                <c:pt idx="149">
                  <c:v>50.485714285714288</c:v>
                </c:pt>
                <c:pt idx="150">
                  <c:v>50.57714285714286</c:v>
                </c:pt>
                <c:pt idx="151">
                  <c:v>50.622857142857143</c:v>
                </c:pt>
                <c:pt idx="152">
                  <c:v>50.714285714285715</c:v>
                </c:pt>
                <c:pt idx="153">
                  <c:v>50.76</c:v>
                </c:pt>
                <c:pt idx="154">
                  <c:v>50.805714285714288</c:v>
                </c:pt>
                <c:pt idx="155">
                  <c:v>50.89714285714286</c:v>
                </c:pt>
                <c:pt idx="156">
                  <c:v>50.942857142857143</c:v>
                </c:pt>
                <c:pt idx="157">
                  <c:v>51.034285714285716</c:v>
                </c:pt>
                <c:pt idx="158">
                  <c:v>51.08</c:v>
                </c:pt>
                <c:pt idx="159">
                  <c:v>51.125714285714288</c:v>
                </c:pt>
                <c:pt idx="160">
                  <c:v>51.171428571428571</c:v>
                </c:pt>
                <c:pt idx="161">
                  <c:v>51.217142857142861</c:v>
                </c:pt>
                <c:pt idx="162">
                  <c:v>51.262857142857143</c:v>
                </c:pt>
                <c:pt idx="163">
                  <c:v>51.308571428571426</c:v>
                </c:pt>
                <c:pt idx="164">
                  <c:v>51.354285714285716</c:v>
                </c:pt>
                <c:pt idx="165">
                  <c:v>51.400000000000006</c:v>
                </c:pt>
                <c:pt idx="166">
                  <c:v>51.445714285714288</c:v>
                </c:pt>
                <c:pt idx="167">
                  <c:v>51.491428571428571</c:v>
                </c:pt>
                <c:pt idx="168">
                  <c:v>51.537142857142854</c:v>
                </c:pt>
                <c:pt idx="169">
                  <c:v>51.582857142857144</c:v>
                </c:pt>
                <c:pt idx="170">
                  <c:v>51.628571428571433</c:v>
                </c:pt>
                <c:pt idx="171">
                  <c:v>51.674285714285716</c:v>
                </c:pt>
                <c:pt idx="172">
                  <c:v>51.72</c:v>
                </c:pt>
                <c:pt idx="173">
                  <c:v>51.765714285714282</c:v>
                </c:pt>
                <c:pt idx="174">
                  <c:v>51.811428571428571</c:v>
                </c:pt>
                <c:pt idx="175">
                  <c:v>51.902857142857144</c:v>
                </c:pt>
                <c:pt idx="176">
                  <c:v>51.948571428571427</c:v>
                </c:pt>
                <c:pt idx="177">
                  <c:v>52.04</c:v>
                </c:pt>
                <c:pt idx="178">
                  <c:v>52.085714285714289</c:v>
                </c:pt>
                <c:pt idx="179">
                  <c:v>52.131428571428572</c:v>
                </c:pt>
                <c:pt idx="180">
                  <c:v>52.177142857142854</c:v>
                </c:pt>
                <c:pt idx="181">
                  <c:v>52.222857142857144</c:v>
                </c:pt>
                <c:pt idx="182">
                  <c:v>52.268571428571434</c:v>
                </c:pt>
                <c:pt idx="183">
                  <c:v>52.314285714285717</c:v>
                </c:pt>
                <c:pt idx="184">
                  <c:v>52.36</c:v>
                </c:pt>
                <c:pt idx="185">
                  <c:v>52.405714285714282</c:v>
                </c:pt>
                <c:pt idx="186">
                  <c:v>52.497142857142862</c:v>
                </c:pt>
                <c:pt idx="187">
                  <c:v>52.542857142857144</c:v>
                </c:pt>
                <c:pt idx="188">
                  <c:v>52.588571428571427</c:v>
                </c:pt>
                <c:pt idx="189">
                  <c:v>52.634285714285717</c:v>
                </c:pt>
                <c:pt idx="190">
                  <c:v>52.68</c:v>
                </c:pt>
                <c:pt idx="191">
                  <c:v>52.72571428571429</c:v>
                </c:pt>
                <c:pt idx="192">
                  <c:v>52.771428571428572</c:v>
                </c:pt>
                <c:pt idx="193">
                  <c:v>52.862857142857145</c:v>
                </c:pt>
                <c:pt idx="194">
                  <c:v>52.908571428571427</c:v>
                </c:pt>
                <c:pt idx="195">
                  <c:v>52.954285714285717</c:v>
                </c:pt>
                <c:pt idx="196">
                  <c:v>53</c:v>
                </c:pt>
                <c:pt idx="197">
                  <c:v>53.045714285714283</c:v>
                </c:pt>
                <c:pt idx="198">
                  <c:v>53.091428571428573</c:v>
                </c:pt>
                <c:pt idx="199">
                  <c:v>53.137142857142862</c:v>
                </c:pt>
                <c:pt idx="200">
                  <c:v>53.182857142857145</c:v>
                </c:pt>
                <c:pt idx="201">
                  <c:v>53.228571428571428</c:v>
                </c:pt>
                <c:pt idx="202">
                  <c:v>53.27428571428571</c:v>
                </c:pt>
                <c:pt idx="203">
                  <c:v>53.32</c:v>
                </c:pt>
                <c:pt idx="204">
                  <c:v>53.36571428571429</c:v>
                </c:pt>
                <c:pt idx="205">
                  <c:v>53.411428571428573</c:v>
                </c:pt>
                <c:pt idx="206">
                  <c:v>53.457142857142856</c:v>
                </c:pt>
                <c:pt idx="207">
                  <c:v>53.502857142857145</c:v>
                </c:pt>
                <c:pt idx="208">
                  <c:v>53.548571428571428</c:v>
                </c:pt>
                <c:pt idx="209">
                  <c:v>53.594285714285718</c:v>
                </c:pt>
                <c:pt idx="210">
                  <c:v>53.64</c:v>
                </c:pt>
                <c:pt idx="211">
                  <c:v>53.731428571428573</c:v>
                </c:pt>
                <c:pt idx="212">
                  <c:v>53.777142857142863</c:v>
                </c:pt>
                <c:pt idx="213">
                  <c:v>53.822857142857146</c:v>
                </c:pt>
                <c:pt idx="214">
                  <c:v>53.868571428571428</c:v>
                </c:pt>
                <c:pt idx="215">
                  <c:v>53.914285714285718</c:v>
                </c:pt>
                <c:pt idx="216">
                  <c:v>53.96</c:v>
                </c:pt>
                <c:pt idx="217">
                  <c:v>54.005714285714291</c:v>
                </c:pt>
                <c:pt idx="218">
                  <c:v>54.051428571428573</c:v>
                </c:pt>
                <c:pt idx="219">
                  <c:v>54.097142857142856</c:v>
                </c:pt>
                <c:pt idx="220">
                  <c:v>54.142857142857146</c:v>
                </c:pt>
                <c:pt idx="221">
                  <c:v>54.188571428571429</c:v>
                </c:pt>
                <c:pt idx="222">
                  <c:v>54.28</c:v>
                </c:pt>
                <c:pt idx="223">
                  <c:v>54.325714285714284</c:v>
                </c:pt>
                <c:pt idx="224">
                  <c:v>54.371428571428574</c:v>
                </c:pt>
                <c:pt idx="225">
                  <c:v>54.462857142857146</c:v>
                </c:pt>
                <c:pt idx="226">
                  <c:v>54.554285714285719</c:v>
                </c:pt>
                <c:pt idx="227">
                  <c:v>54.6</c:v>
                </c:pt>
                <c:pt idx="228">
                  <c:v>54.645714285714291</c:v>
                </c:pt>
                <c:pt idx="229">
                  <c:v>54.691428571428574</c:v>
                </c:pt>
                <c:pt idx="230">
                  <c:v>54.782857142857146</c:v>
                </c:pt>
                <c:pt idx="231">
                  <c:v>54.828571428571429</c:v>
                </c:pt>
                <c:pt idx="232">
                  <c:v>54.874285714285719</c:v>
                </c:pt>
                <c:pt idx="233">
                  <c:v>54.92</c:v>
                </c:pt>
                <c:pt idx="234">
                  <c:v>54.965714285714284</c:v>
                </c:pt>
                <c:pt idx="235">
                  <c:v>55.011428571428574</c:v>
                </c:pt>
                <c:pt idx="236">
                  <c:v>55.057142857142857</c:v>
                </c:pt>
                <c:pt idx="237">
                  <c:v>55.102857142857147</c:v>
                </c:pt>
                <c:pt idx="238">
                  <c:v>55.148571428571429</c:v>
                </c:pt>
                <c:pt idx="239">
                  <c:v>55.194285714285712</c:v>
                </c:pt>
                <c:pt idx="240">
                  <c:v>55.24</c:v>
                </c:pt>
                <c:pt idx="241">
                  <c:v>55.285714285714285</c:v>
                </c:pt>
                <c:pt idx="242">
                  <c:v>55.331428571428575</c:v>
                </c:pt>
                <c:pt idx="243">
                  <c:v>55.377142857142857</c:v>
                </c:pt>
                <c:pt idx="244">
                  <c:v>55.422857142857147</c:v>
                </c:pt>
                <c:pt idx="245">
                  <c:v>55.46857142857143</c:v>
                </c:pt>
                <c:pt idx="246">
                  <c:v>55.51428571428572</c:v>
                </c:pt>
                <c:pt idx="247">
                  <c:v>55.56</c:v>
                </c:pt>
                <c:pt idx="248">
                  <c:v>55.605714285714285</c:v>
                </c:pt>
                <c:pt idx="249">
                  <c:v>55.651428571428575</c:v>
                </c:pt>
                <c:pt idx="250">
                  <c:v>55.697142857142858</c:v>
                </c:pt>
                <c:pt idx="251">
                  <c:v>55.742857142857147</c:v>
                </c:pt>
                <c:pt idx="252">
                  <c:v>55.78857142857143</c:v>
                </c:pt>
                <c:pt idx="253">
                  <c:v>55.88</c:v>
                </c:pt>
                <c:pt idx="254">
                  <c:v>55.925714285714285</c:v>
                </c:pt>
                <c:pt idx="255">
                  <c:v>55.971428571428575</c:v>
                </c:pt>
                <c:pt idx="256">
                  <c:v>56.062857142857148</c:v>
                </c:pt>
                <c:pt idx="257">
                  <c:v>56.10857142857143</c:v>
                </c:pt>
                <c:pt idx="258">
                  <c:v>56.15428571428572</c:v>
                </c:pt>
                <c:pt idx="259">
                  <c:v>56.2</c:v>
                </c:pt>
                <c:pt idx="260">
                  <c:v>56.245714285714286</c:v>
                </c:pt>
                <c:pt idx="261">
                  <c:v>56.291428571428575</c:v>
                </c:pt>
                <c:pt idx="262">
                  <c:v>56.337142857142858</c:v>
                </c:pt>
                <c:pt idx="263">
                  <c:v>56.382857142857148</c:v>
                </c:pt>
                <c:pt idx="264">
                  <c:v>56.428571428571431</c:v>
                </c:pt>
                <c:pt idx="265">
                  <c:v>56.474285714285713</c:v>
                </c:pt>
                <c:pt idx="266">
                  <c:v>56.52</c:v>
                </c:pt>
                <c:pt idx="267">
                  <c:v>56.565714285714286</c:v>
                </c:pt>
                <c:pt idx="268">
                  <c:v>56.611428571428576</c:v>
                </c:pt>
                <c:pt idx="269">
                  <c:v>56.657142857142858</c:v>
                </c:pt>
                <c:pt idx="270">
                  <c:v>56.702857142857141</c:v>
                </c:pt>
                <c:pt idx="271">
                  <c:v>56.748571428571431</c:v>
                </c:pt>
                <c:pt idx="272">
                  <c:v>56.794285714285714</c:v>
                </c:pt>
                <c:pt idx="273">
                  <c:v>56.84</c:v>
                </c:pt>
                <c:pt idx="274">
                  <c:v>56.885714285714286</c:v>
                </c:pt>
                <c:pt idx="275">
                  <c:v>56.931428571428576</c:v>
                </c:pt>
                <c:pt idx="276">
                  <c:v>56.977142857142859</c:v>
                </c:pt>
                <c:pt idx="277">
                  <c:v>57.022857142857148</c:v>
                </c:pt>
                <c:pt idx="278">
                  <c:v>57.068571428571431</c:v>
                </c:pt>
                <c:pt idx="279">
                  <c:v>57.114285714285714</c:v>
                </c:pt>
                <c:pt idx="280">
                  <c:v>57.160000000000004</c:v>
                </c:pt>
                <c:pt idx="281">
                  <c:v>57.205714285714286</c:v>
                </c:pt>
                <c:pt idx="282">
                  <c:v>57.251428571428576</c:v>
                </c:pt>
                <c:pt idx="283">
                  <c:v>57.297142857142859</c:v>
                </c:pt>
                <c:pt idx="284">
                  <c:v>57.342857142857142</c:v>
                </c:pt>
                <c:pt idx="285">
                  <c:v>57.388571428571431</c:v>
                </c:pt>
                <c:pt idx="286">
                  <c:v>57.434285714285714</c:v>
                </c:pt>
                <c:pt idx="287">
                  <c:v>57.480000000000004</c:v>
                </c:pt>
                <c:pt idx="288">
                  <c:v>57.525714285714287</c:v>
                </c:pt>
                <c:pt idx="289">
                  <c:v>57.571428571428569</c:v>
                </c:pt>
                <c:pt idx="290">
                  <c:v>57.617142857142859</c:v>
                </c:pt>
                <c:pt idx="291">
                  <c:v>57.662857142857149</c:v>
                </c:pt>
                <c:pt idx="292">
                  <c:v>57.708571428571432</c:v>
                </c:pt>
                <c:pt idx="293">
                  <c:v>57.754285714285714</c:v>
                </c:pt>
                <c:pt idx="294">
                  <c:v>57.800000000000004</c:v>
                </c:pt>
                <c:pt idx="295">
                  <c:v>57.845714285714287</c:v>
                </c:pt>
                <c:pt idx="296">
                  <c:v>57.891428571428577</c:v>
                </c:pt>
                <c:pt idx="297">
                  <c:v>57.937142857142859</c:v>
                </c:pt>
                <c:pt idx="298">
                  <c:v>57.982857142857142</c:v>
                </c:pt>
                <c:pt idx="299">
                  <c:v>58.028571428571432</c:v>
                </c:pt>
                <c:pt idx="300">
                  <c:v>58.074285714285722</c:v>
                </c:pt>
                <c:pt idx="301">
                  <c:v>58.120000000000005</c:v>
                </c:pt>
                <c:pt idx="302">
                  <c:v>58.165714285714287</c:v>
                </c:pt>
                <c:pt idx="303">
                  <c:v>58.21142857142857</c:v>
                </c:pt>
                <c:pt idx="304">
                  <c:v>58.25714285714286</c:v>
                </c:pt>
                <c:pt idx="305">
                  <c:v>58.30285714285715</c:v>
                </c:pt>
                <c:pt idx="306">
                  <c:v>58.348571428571432</c:v>
                </c:pt>
                <c:pt idx="307">
                  <c:v>58.394285714285715</c:v>
                </c:pt>
                <c:pt idx="308">
                  <c:v>58.440000000000005</c:v>
                </c:pt>
                <c:pt idx="309">
                  <c:v>58.485714285714288</c:v>
                </c:pt>
                <c:pt idx="310">
                  <c:v>58.531428571428577</c:v>
                </c:pt>
                <c:pt idx="311">
                  <c:v>58.57714285714286</c:v>
                </c:pt>
                <c:pt idx="312">
                  <c:v>58.622857142857143</c:v>
                </c:pt>
                <c:pt idx="313">
                  <c:v>58.668571428571433</c:v>
                </c:pt>
                <c:pt idx="314">
                  <c:v>58.714285714285715</c:v>
                </c:pt>
                <c:pt idx="315">
                  <c:v>58.760000000000005</c:v>
                </c:pt>
                <c:pt idx="316">
                  <c:v>58.805714285714288</c:v>
                </c:pt>
                <c:pt idx="317">
                  <c:v>58.851428571428571</c:v>
                </c:pt>
                <c:pt idx="318">
                  <c:v>58.89714285714286</c:v>
                </c:pt>
                <c:pt idx="319">
                  <c:v>58.94285714285715</c:v>
                </c:pt>
                <c:pt idx="320">
                  <c:v>58.988571428571433</c:v>
                </c:pt>
                <c:pt idx="321">
                  <c:v>59.034285714285716</c:v>
                </c:pt>
                <c:pt idx="322">
                  <c:v>59.08</c:v>
                </c:pt>
                <c:pt idx="323">
                  <c:v>59.125714285714288</c:v>
                </c:pt>
                <c:pt idx="324">
                  <c:v>59.171428571428578</c:v>
                </c:pt>
                <c:pt idx="325">
                  <c:v>59.217142857142861</c:v>
                </c:pt>
                <c:pt idx="326">
                  <c:v>59.262857142857143</c:v>
                </c:pt>
                <c:pt idx="327">
                  <c:v>59.308571428571433</c:v>
                </c:pt>
                <c:pt idx="328">
                  <c:v>59.354285714285716</c:v>
                </c:pt>
                <c:pt idx="329">
                  <c:v>59.400000000000006</c:v>
                </c:pt>
                <c:pt idx="330">
                  <c:v>59.445714285714288</c:v>
                </c:pt>
                <c:pt idx="331">
                  <c:v>59.491428571428571</c:v>
                </c:pt>
                <c:pt idx="332">
                  <c:v>59.537142857142861</c:v>
                </c:pt>
                <c:pt idx="333">
                  <c:v>59.582857142857151</c:v>
                </c:pt>
                <c:pt idx="334">
                  <c:v>59.628571428571433</c:v>
                </c:pt>
                <c:pt idx="335">
                  <c:v>59.674285714285716</c:v>
                </c:pt>
                <c:pt idx="336">
                  <c:v>59.72</c:v>
                </c:pt>
                <c:pt idx="337">
                  <c:v>59.765714285714289</c:v>
                </c:pt>
                <c:pt idx="338">
                  <c:v>59.811428571428578</c:v>
                </c:pt>
                <c:pt idx="339">
                  <c:v>59.857142857142861</c:v>
                </c:pt>
                <c:pt idx="340">
                  <c:v>59.948571428571427</c:v>
                </c:pt>
                <c:pt idx="341">
                  <c:v>59.994285714285716</c:v>
                </c:pt>
                <c:pt idx="342">
                  <c:v>60.040000000000006</c:v>
                </c:pt>
                <c:pt idx="343">
                  <c:v>60.085714285714289</c:v>
                </c:pt>
                <c:pt idx="344">
                  <c:v>60.131428571428572</c:v>
                </c:pt>
                <c:pt idx="345">
                  <c:v>60.177142857142861</c:v>
                </c:pt>
                <c:pt idx="346">
                  <c:v>60.222857142857144</c:v>
                </c:pt>
                <c:pt idx="347">
                  <c:v>60.268571428571434</c:v>
                </c:pt>
                <c:pt idx="348">
                  <c:v>60.314285714285717</c:v>
                </c:pt>
                <c:pt idx="349">
                  <c:v>60.36</c:v>
                </c:pt>
                <c:pt idx="350">
                  <c:v>60.405714285714289</c:v>
                </c:pt>
                <c:pt idx="351">
                  <c:v>60.451428571428579</c:v>
                </c:pt>
                <c:pt idx="352">
                  <c:v>60.497142857142862</c:v>
                </c:pt>
                <c:pt idx="353">
                  <c:v>60.542857142857144</c:v>
                </c:pt>
                <c:pt idx="354">
                  <c:v>60.588571428571427</c:v>
                </c:pt>
                <c:pt idx="355">
                  <c:v>60.634285714285717</c:v>
                </c:pt>
                <c:pt idx="356">
                  <c:v>60.680000000000007</c:v>
                </c:pt>
                <c:pt idx="357">
                  <c:v>60.72571428571429</c:v>
                </c:pt>
                <c:pt idx="358">
                  <c:v>60.771428571428572</c:v>
                </c:pt>
                <c:pt idx="359">
                  <c:v>60.817142857142862</c:v>
                </c:pt>
                <c:pt idx="360">
                  <c:v>60.862857142857145</c:v>
                </c:pt>
                <c:pt idx="361">
                  <c:v>60.908571428571435</c:v>
                </c:pt>
                <c:pt idx="362">
                  <c:v>60.954285714285717</c:v>
                </c:pt>
                <c:pt idx="363">
                  <c:v>61</c:v>
                </c:pt>
                <c:pt idx="364">
                  <c:v>61.04571428571429</c:v>
                </c:pt>
                <c:pt idx="365">
                  <c:v>61.09142857142858</c:v>
                </c:pt>
                <c:pt idx="366">
                  <c:v>61.137142857142862</c:v>
                </c:pt>
                <c:pt idx="367">
                  <c:v>61.182857142857145</c:v>
                </c:pt>
                <c:pt idx="368">
                  <c:v>61.228571428571428</c:v>
                </c:pt>
                <c:pt idx="369">
                  <c:v>61.274285714285718</c:v>
                </c:pt>
                <c:pt idx="370">
                  <c:v>61.320000000000007</c:v>
                </c:pt>
                <c:pt idx="371">
                  <c:v>61.36571428571429</c:v>
                </c:pt>
                <c:pt idx="372">
                  <c:v>61.411428571428573</c:v>
                </c:pt>
                <c:pt idx="373">
                  <c:v>61.457142857142856</c:v>
                </c:pt>
                <c:pt idx="374">
                  <c:v>61.502857142857145</c:v>
                </c:pt>
                <c:pt idx="375">
                  <c:v>61.548571428571435</c:v>
                </c:pt>
                <c:pt idx="376">
                  <c:v>61.594285714285718</c:v>
                </c:pt>
                <c:pt idx="377">
                  <c:v>61.64</c:v>
                </c:pt>
                <c:pt idx="378">
                  <c:v>61.685714285714283</c:v>
                </c:pt>
                <c:pt idx="379">
                  <c:v>61.73142857142858</c:v>
                </c:pt>
                <c:pt idx="380">
                  <c:v>61.777142857142863</c:v>
                </c:pt>
                <c:pt idx="381">
                  <c:v>61.822857142857146</c:v>
                </c:pt>
                <c:pt idx="382">
                  <c:v>61.868571428571428</c:v>
                </c:pt>
                <c:pt idx="383">
                  <c:v>61.914285714285725</c:v>
                </c:pt>
                <c:pt idx="384">
                  <c:v>61.960000000000008</c:v>
                </c:pt>
                <c:pt idx="385">
                  <c:v>62.005714285714291</c:v>
                </c:pt>
                <c:pt idx="386">
                  <c:v>62.051428571428573</c:v>
                </c:pt>
                <c:pt idx="387">
                  <c:v>62.097142857142856</c:v>
                </c:pt>
                <c:pt idx="388">
                  <c:v>62.142857142857153</c:v>
                </c:pt>
                <c:pt idx="389">
                  <c:v>62.188571428571436</c:v>
                </c:pt>
                <c:pt idx="390">
                  <c:v>62.234285714285718</c:v>
                </c:pt>
                <c:pt idx="391">
                  <c:v>62.28</c:v>
                </c:pt>
                <c:pt idx="392">
                  <c:v>62.325714285714298</c:v>
                </c:pt>
                <c:pt idx="393">
                  <c:v>62.371428571428581</c:v>
                </c:pt>
                <c:pt idx="394">
                  <c:v>62.417142857142863</c:v>
                </c:pt>
                <c:pt idx="395">
                  <c:v>62.462857142857146</c:v>
                </c:pt>
                <c:pt idx="396">
                  <c:v>62.508571428571436</c:v>
                </c:pt>
                <c:pt idx="397">
                  <c:v>62.554285714285726</c:v>
                </c:pt>
                <c:pt idx="398">
                  <c:v>62.600000000000009</c:v>
                </c:pt>
                <c:pt idx="399">
                  <c:v>62.645714285714291</c:v>
                </c:pt>
                <c:pt idx="400">
                  <c:v>62.691428571428581</c:v>
                </c:pt>
                <c:pt idx="401">
                  <c:v>62.737142857142864</c:v>
                </c:pt>
                <c:pt idx="402">
                  <c:v>62.782857142857154</c:v>
                </c:pt>
                <c:pt idx="403">
                  <c:v>62.828571428571436</c:v>
                </c:pt>
                <c:pt idx="404">
                  <c:v>62.874285714285719</c:v>
                </c:pt>
                <c:pt idx="405">
                  <c:v>62.920000000000009</c:v>
                </c:pt>
                <c:pt idx="406">
                  <c:v>62.965714285714292</c:v>
                </c:pt>
                <c:pt idx="407">
                  <c:v>63.011428571428581</c:v>
                </c:pt>
                <c:pt idx="408">
                  <c:v>63.057142857142864</c:v>
                </c:pt>
                <c:pt idx="409">
                  <c:v>63.102857142857147</c:v>
                </c:pt>
                <c:pt idx="410">
                  <c:v>63.148571428571437</c:v>
                </c:pt>
                <c:pt idx="411">
                  <c:v>63.194285714285719</c:v>
                </c:pt>
                <c:pt idx="412">
                  <c:v>63.240000000000009</c:v>
                </c:pt>
                <c:pt idx="413">
                  <c:v>63.285714285714292</c:v>
                </c:pt>
                <c:pt idx="414">
                  <c:v>63.331428571428575</c:v>
                </c:pt>
                <c:pt idx="415">
                  <c:v>63.377142857142864</c:v>
                </c:pt>
                <c:pt idx="416">
                  <c:v>63.422857142857147</c:v>
                </c:pt>
                <c:pt idx="417">
                  <c:v>63.468571428571437</c:v>
                </c:pt>
                <c:pt idx="418">
                  <c:v>63.51428571428572</c:v>
                </c:pt>
                <c:pt idx="419">
                  <c:v>63.56</c:v>
                </c:pt>
                <c:pt idx="420">
                  <c:v>63.605714285714292</c:v>
                </c:pt>
                <c:pt idx="421">
                  <c:v>63.651428571428582</c:v>
                </c:pt>
                <c:pt idx="422">
                  <c:v>63.697142857142865</c:v>
                </c:pt>
                <c:pt idx="423">
                  <c:v>63.742857142857147</c:v>
                </c:pt>
                <c:pt idx="424">
                  <c:v>63.78857142857143</c:v>
                </c:pt>
                <c:pt idx="425">
                  <c:v>63.834285714285727</c:v>
                </c:pt>
                <c:pt idx="426">
                  <c:v>63.88000000000001</c:v>
                </c:pt>
                <c:pt idx="427">
                  <c:v>63.925714285714292</c:v>
                </c:pt>
                <c:pt idx="428">
                  <c:v>63.971428571428575</c:v>
                </c:pt>
                <c:pt idx="429">
                  <c:v>64.017142857142858</c:v>
                </c:pt>
                <c:pt idx="430">
                  <c:v>64.062857142857155</c:v>
                </c:pt>
                <c:pt idx="431">
                  <c:v>64.108571428571437</c:v>
                </c:pt>
                <c:pt idx="432">
                  <c:v>64.15428571428572</c:v>
                </c:pt>
                <c:pt idx="433">
                  <c:v>64.200000000000017</c:v>
                </c:pt>
                <c:pt idx="434">
                  <c:v>64.245714285714286</c:v>
                </c:pt>
                <c:pt idx="435">
                  <c:v>64.291428571428582</c:v>
                </c:pt>
                <c:pt idx="436">
                  <c:v>64.337142857142865</c:v>
                </c:pt>
                <c:pt idx="437">
                  <c:v>64.382857142857148</c:v>
                </c:pt>
                <c:pt idx="438">
                  <c:v>64.474285714285713</c:v>
                </c:pt>
                <c:pt idx="439">
                  <c:v>64.52000000000001</c:v>
                </c:pt>
                <c:pt idx="440">
                  <c:v>64.565714285714293</c:v>
                </c:pt>
                <c:pt idx="441">
                  <c:v>64.611428571428576</c:v>
                </c:pt>
                <c:pt idx="442">
                  <c:v>64.657142857142873</c:v>
                </c:pt>
                <c:pt idx="443">
                  <c:v>64.702857142857141</c:v>
                </c:pt>
                <c:pt idx="444">
                  <c:v>64.748571428571438</c:v>
                </c:pt>
                <c:pt idx="445">
                  <c:v>64.794285714285721</c:v>
                </c:pt>
                <c:pt idx="446">
                  <c:v>64.84</c:v>
                </c:pt>
                <c:pt idx="447">
                  <c:v>64.8857142857143</c:v>
                </c:pt>
                <c:pt idx="448">
                  <c:v>64.931428571428569</c:v>
                </c:pt>
                <c:pt idx="449">
                  <c:v>64.977142857142866</c:v>
                </c:pt>
                <c:pt idx="450">
                  <c:v>65.022857142857148</c:v>
                </c:pt>
                <c:pt idx="451">
                  <c:v>65.068571428571431</c:v>
                </c:pt>
                <c:pt idx="452">
                  <c:v>65.114285714285728</c:v>
                </c:pt>
                <c:pt idx="453">
                  <c:v>65.160000000000011</c:v>
                </c:pt>
                <c:pt idx="454">
                  <c:v>65.205714285714294</c:v>
                </c:pt>
                <c:pt idx="455">
                  <c:v>65.251428571428576</c:v>
                </c:pt>
                <c:pt idx="456">
                  <c:v>65.297142857142859</c:v>
                </c:pt>
                <c:pt idx="457">
                  <c:v>65.342857142857156</c:v>
                </c:pt>
                <c:pt idx="458">
                  <c:v>65.388571428571439</c:v>
                </c:pt>
                <c:pt idx="459">
                  <c:v>65.434285714285721</c:v>
                </c:pt>
                <c:pt idx="460">
                  <c:v>65.48</c:v>
                </c:pt>
                <c:pt idx="461">
                  <c:v>65.525714285714287</c:v>
                </c:pt>
                <c:pt idx="462">
                  <c:v>65.571428571428584</c:v>
                </c:pt>
                <c:pt idx="463">
                  <c:v>65.617142857142866</c:v>
                </c:pt>
                <c:pt idx="464">
                  <c:v>65.662857142857149</c:v>
                </c:pt>
                <c:pt idx="465">
                  <c:v>65.708571428571432</c:v>
                </c:pt>
                <c:pt idx="466">
                  <c:v>65.754285714285714</c:v>
                </c:pt>
                <c:pt idx="467">
                  <c:v>65.800000000000011</c:v>
                </c:pt>
                <c:pt idx="468">
                  <c:v>65.845714285714294</c:v>
                </c:pt>
                <c:pt idx="469">
                  <c:v>65.891428571428577</c:v>
                </c:pt>
                <c:pt idx="470">
                  <c:v>65.937142857142874</c:v>
                </c:pt>
                <c:pt idx="471">
                  <c:v>65.982857142857142</c:v>
                </c:pt>
                <c:pt idx="472">
                  <c:v>66.028571428571439</c:v>
                </c:pt>
                <c:pt idx="473">
                  <c:v>66.074285714285722</c:v>
                </c:pt>
                <c:pt idx="474">
                  <c:v>66.12</c:v>
                </c:pt>
                <c:pt idx="475">
                  <c:v>66.165714285714301</c:v>
                </c:pt>
                <c:pt idx="476">
                  <c:v>66.21142857142857</c:v>
                </c:pt>
                <c:pt idx="477">
                  <c:v>66.257142857142867</c:v>
                </c:pt>
                <c:pt idx="478">
                  <c:v>66.30285714285715</c:v>
                </c:pt>
                <c:pt idx="479">
                  <c:v>66.348571428571432</c:v>
                </c:pt>
                <c:pt idx="480">
                  <c:v>66.394285714285729</c:v>
                </c:pt>
                <c:pt idx="481">
                  <c:v>66.44</c:v>
                </c:pt>
                <c:pt idx="482">
                  <c:v>66.485714285714295</c:v>
                </c:pt>
                <c:pt idx="483">
                  <c:v>66.531428571428577</c:v>
                </c:pt>
                <c:pt idx="484">
                  <c:v>66.57714285714286</c:v>
                </c:pt>
                <c:pt idx="485">
                  <c:v>66.622857142857157</c:v>
                </c:pt>
                <c:pt idx="486">
                  <c:v>66.668571428571425</c:v>
                </c:pt>
                <c:pt idx="487">
                  <c:v>66.714285714285722</c:v>
                </c:pt>
                <c:pt idx="488">
                  <c:v>66.760000000000005</c:v>
                </c:pt>
                <c:pt idx="489">
                  <c:v>66.805714285714288</c:v>
                </c:pt>
                <c:pt idx="490">
                  <c:v>66.851428571428585</c:v>
                </c:pt>
                <c:pt idx="491">
                  <c:v>66.897142857142867</c:v>
                </c:pt>
                <c:pt idx="492">
                  <c:v>66.94285714285715</c:v>
                </c:pt>
                <c:pt idx="493">
                  <c:v>66.988571428571433</c:v>
                </c:pt>
                <c:pt idx="494">
                  <c:v>67.034285714285716</c:v>
                </c:pt>
                <c:pt idx="495">
                  <c:v>67.080000000000013</c:v>
                </c:pt>
                <c:pt idx="496">
                  <c:v>67.125714285714295</c:v>
                </c:pt>
                <c:pt idx="497">
                  <c:v>67.171428571428578</c:v>
                </c:pt>
                <c:pt idx="498">
                  <c:v>67.217142857142861</c:v>
                </c:pt>
                <c:pt idx="499">
                  <c:v>67.262857142857158</c:v>
                </c:pt>
                <c:pt idx="500">
                  <c:v>67.30857142857144</c:v>
                </c:pt>
                <c:pt idx="501">
                  <c:v>67.354285714285723</c:v>
                </c:pt>
                <c:pt idx="502">
                  <c:v>67.400000000000006</c:v>
                </c:pt>
                <c:pt idx="503">
                  <c:v>67.445714285714303</c:v>
                </c:pt>
                <c:pt idx="504">
                  <c:v>67.491428571428585</c:v>
                </c:pt>
                <c:pt idx="505">
                  <c:v>67.537142857142868</c:v>
                </c:pt>
                <c:pt idx="506">
                  <c:v>67.582857142857151</c:v>
                </c:pt>
                <c:pt idx="507">
                  <c:v>67.628571428571433</c:v>
                </c:pt>
                <c:pt idx="508">
                  <c:v>67.67428571428573</c:v>
                </c:pt>
                <c:pt idx="509">
                  <c:v>67.720000000000013</c:v>
                </c:pt>
                <c:pt idx="510">
                  <c:v>67.765714285714296</c:v>
                </c:pt>
                <c:pt idx="511">
                  <c:v>67.857142857142861</c:v>
                </c:pt>
                <c:pt idx="512">
                  <c:v>67.902857142857158</c:v>
                </c:pt>
                <c:pt idx="513">
                  <c:v>67.994285714285724</c:v>
                </c:pt>
                <c:pt idx="514">
                  <c:v>68.040000000000006</c:v>
                </c:pt>
                <c:pt idx="515">
                  <c:v>68.085714285714289</c:v>
                </c:pt>
                <c:pt idx="516">
                  <c:v>68.131428571428586</c:v>
                </c:pt>
                <c:pt idx="517">
                  <c:v>68.177142857142869</c:v>
                </c:pt>
                <c:pt idx="518">
                  <c:v>68.222857142857151</c:v>
                </c:pt>
                <c:pt idx="519">
                  <c:v>68.268571428571434</c:v>
                </c:pt>
                <c:pt idx="520">
                  <c:v>68.314285714285717</c:v>
                </c:pt>
                <c:pt idx="521">
                  <c:v>68.360000000000014</c:v>
                </c:pt>
                <c:pt idx="522">
                  <c:v>68.405714285714296</c:v>
                </c:pt>
                <c:pt idx="523">
                  <c:v>68.497142857142862</c:v>
                </c:pt>
                <c:pt idx="524">
                  <c:v>68.542857142857144</c:v>
                </c:pt>
                <c:pt idx="525">
                  <c:v>68.634285714285724</c:v>
                </c:pt>
                <c:pt idx="526">
                  <c:v>68.680000000000007</c:v>
                </c:pt>
                <c:pt idx="527">
                  <c:v>68.72571428571429</c:v>
                </c:pt>
                <c:pt idx="528">
                  <c:v>68.771428571428586</c:v>
                </c:pt>
                <c:pt idx="529">
                  <c:v>68.862857142857152</c:v>
                </c:pt>
                <c:pt idx="530">
                  <c:v>68.908571428571435</c:v>
                </c:pt>
                <c:pt idx="531">
                  <c:v>68.954285714285717</c:v>
                </c:pt>
                <c:pt idx="532">
                  <c:v>69.000000000000014</c:v>
                </c:pt>
                <c:pt idx="533">
                  <c:v>69.045714285714297</c:v>
                </c:pt>
                <c:pt idx="534">
                  <c:v>69.09142857142858</c:v>
                </c:pt>
                <c:pt idx="535">
                  <c:v>69.137142857142862</c:v>
                </c:pt>
                <c:pt idx="536">
                  <c:v>69.182857142857159</c:v>
                </c:pt>
                <c:pt idx="537">
                  <c:v>69.228571428571442</c:v>
                </c:pt>
                <c:pt idx="538">
                  <c:v>69.320000000000007</c:v>
                </c:pt>
                <c:pt idx="539">
                  <c:v>69.36571428571429</c:v>
                </c:pt>
                <c:pt idx="540">
                  <c:v>69.45714285714287</c:v>
                </c:pt>
                <c:pt idx="541">
                  <c:v>69.502857142857152</c:v>
                </c:pt>
                <c:pt idx="542">
                  <c:v>69.548571428571435</c:v>
                </c:pt>
                <c:pt idx="543">
                  <c:v>69.594285714285718</c:v>
                </c:pt>
                <c:pt idx="544">
                  <c:v>69.685714285714297</c:v>
                </c:pt>
                <c:pt idx="545">
                  <c:v>69.777142857142863</c:v>
                </c:pt>
                <c:pt idx="546">
                  <c:v>69.868571428571443</c:v>
                </c:pt>
                <c:pt idx="547">
                  <c:v>69.960000000000008</c:v>
                </c:pt>
                <c:pt idx="548">
                  <c:v>70.051428571428573</c:v>
                </c:pt>
                <c:pt idx="549">
                  <c:v>70.09714285714287</c:v>
                </c:pt>
                <c:pt idx="550">
                  <c:v>70.188571428571436</c:v>
                </c:pt>
                <c:pt idx="551">
                  <c:v>70.234285714285718</c:v>
                </c:pt>
                <c:pt idx="552">
                  <c:v>70.325714285714298</c:v>
                </c:pt>
                <c:pt idx="553">
                  <c:v>70.371428571428581</c:v>
                </c:pt>
                <c:pt idx="554">
                  <c:v>70.417142857142863</c:v>
                </c:pt>
                <c:pt idx="555">
                  <c:v>70.508571428571443</c:v>
                </c:pt>
                <c:pt idx="556">
                  <c:v>70.554285714285726</c:v>
                </c:pt>
                <c:pt idx="557">
                  <c:v>70.600000000000009</c:v>
                </c:pt>
                <c:pt idx="558">
                  <c:v>70.645714285714291</c:v>
                </c:pt>
                <c:pt idx="559">
                  <c:v>70.691428571428588</c:v>
                </c:pt>
                <c:pt idx="560">
                  <c:v>70.737142857142871</c:v>
                </c:pt>
                <c:pt idx="561">
                  <c:v>70.782857142857154</c:v>
                </c:pt>
                <c:pt idx="562">
                  <c:v>70.828571428571436</c:v>
                </c:pt>
                <c:pt idx="563">
                  <c:v>70.874285714285719</c:v>
                </c:pt>
                <c:pt idx="564">
                  <c:v>70.920000000000016</c:v>
                </c:pt>
                <c:pt idx="565">
                  <c:v>70.965714285714299</c:v>
                </c:pt>
                <c:pt idx="566">
                  <c:v>71.011428571428581</c:v>
                </c:pt>
                <c:pt idx="567">
                  <c:v>71.057142857142864</c:v>
                </c:pt>
                <c:pt idx="568">
                  <c:v>71.102857142857147</c:v>
                </c:pt>
                <c:pt idx="569">
                  <c:v>71.148571428571444</c:v>
                </c:pt>
                <c:pt idx="570">
                  <c:v>71.194285714285726</c:v>
                </c:pt>
                <c:pt idx="571">
                  <c:v>71.240000000000009</c:v>
                </c:pt>
                <c:pt idx="572">
                  <c:v>71.285714285714292</c:v>
                </c:pt>
                <c:pt idx="573">
                  <c:v>71.331428571428575</c:v>
                </c:pt>
                <c:pt idx="574">
                  <c:v>71.377142857142871</c:v>
                </c:pt>
                <c:pt idx="575">
                  <c:v>71.422857142857154</c:v>
                </c:pt>
                <c:pt idx="576">
                  <c:v>71.468571428571437</c:v>
                </c:pt>
                <c:pt idx="577">
                  <c:v>71.51428571428572</c:v>
                </c:pt>
                <c:pt idx="578">
                  <c:v>71.56</c:v>
                </c:pt>
                <c:pt idx="579">
                  <c:v>71.605714285714299</c:v>
                </c:pt>
                <c:pt idx="580">
                  <c:v>71.651428571428582</c:v>
                </c:pt>
                <c:pt idx="581">
                  <c:v>71.697142857142865</c:v>
                </c:pt>
                <c:pt idx="582">
                  <c:v>71.742857142857147</c:v>
                </c:pt>
                <c:pt idx="583">
                  <c:v>71.78857142857143</c:v>
                </c:pt>
                <c:pt idx="584">
                  <c:v>71.834285714285727</c:v>
                </c:pt>
                <c:pt idx="585">
                  <c:v>71.88000000000001</c:v>
                </c:pt>
                <c:pt idx="586">
                  <c:v>71.925714285714292</c:v>
                </c:pt>
                <c:pt idx="587">
                  <c:v>71.971428571428575</c:v>
                </c:pt>
                <c:pt idx="588">
                  <c:v>72.017142857142872</c:v>
                </c:pt>
                <c:pt idx="589">
                  <c:v>72.062857142857155</c:v>
                </c:pt>
                <c:pt idx="590">
                  <c:v>72.108571428571437</c:v>
                </c:pt>
                <c:pt idx="591">
                  <c:v>72.15428571428572</c:v>
                </c:pt>
                <c:pt idx="592">
                  <c:v>72.200000000000017</c:v>
                </c:pt>
                <c:pt idx="593">
                  <c:v>72.2457142857143</c:v>
                </c:pt>
                <c:pt idx="594">
                  <c:v>72.291428571428582</c:v>
                </c:pt>
                <c:pt idx="595">
                  <c:v>72.337142857142865</c:v>
                </c:pt>
                <c:pt idx="596">
                  <c:v>72.382857142857148</c:v>
                </c:pt>
                <c:pt idx="597">
                  <c:v>72.428571428571445</c:v>
                </c:pt>
                <c:pt idx="598">
                  <c:v>72.474285714285728</c:v>
                </c:pt>
                <c:pt idx="599">
                  <c:v>72.52000000000001</c:v>
                </c:pt>
                <c:pt idx="600">
                  <c:v>72.565714285714293</c:v>
                </c:pt>
                <c:pt idx="601">
                  <c:v>72.611428571428576</c:v>
                </c:pt>
                <c:pt idx="602">
                  <c:v>72.657142857142873</c:v>
                </c:pt>
                <c:pt idx="603">
                  <c:v>72.702857142857155</c:v>
                </c:pt>
                <c:pt idx="604">
                  <c:v>72.748571428571438</c:v>
                </c:pt>
                <c:pt idx="605">
                  <c:v>72.794285714285721</c:v>
                </c:pt>
                <c:pt idx="606">
                  <c:v>72.84</c:v>
                </c:pt>
                <c:pt idx="607">
                  <c:v>72.8857142857143</c:v>
                </c:pt>
                <c:pt idx="608">
                  <c:v>72.931428571428583</c:v>
                </c:pt>
                <c:pt idx="609">
                  <c:v>72.977142857142866</c:v>
                </c:pt>
                <c:pt idx="610">
                  <c:v>73.022857142857148</c:v>
                </c:pt>
                <c:pt idx="611">
                  <c:v>73.068571428571431</c:v>
                </c:pt>
                <c:pt idx="612">
                  <c:v>73.114285714285728</c:v>
                </c:pt>
                <c:pt idx="613">
                  <c:v>73.160000000000011</c:v>
                </c:pt>
                <c:pt idx="614">
                  <c:v>73.205714285714294</c:v>
                </c:pt>
                <c:pt idx="615">
                  <c:v>73.251428571428576</c:v>
                </c:pt>
                <c:pt idx="616">
                  <c:v>73.297142857142859</c:v>
                </c:pt>
                <c:pt idx="617">
                  <c:v>73.342857142857156</c:v>
                </c:pt>
                <c:pt idx="618">
                  <c:v>73.388571428571439</c:v>
                </c:pt>
                <c:pt idx="619">
                  <c:v>73.434285714285721</c:v>
                </c:pt>
                <c:pt idx="620">
                  <c:v>73.48</c:v>
                </c:pt>
                <c:pt idx="621">
                  <c:v>73.525714285714287</c:v>
                </c:pt>
                <c:pt idx="622">
                  <c:v>73.571428571428584</c:v>
                </c:pt>
                <c:pt idx="623">
                  <c:v>73.617142857142866</c:v>
                </c:pt>
                <c:pt idx="624">
                  <c:v>73.662857142857149</c:v>
                </c:pt>
                <c:pt idx="625">
                  <c:v>73.708571428571432</c:v>
                </c:pt>
                <c:pt idx="626">
                  <c:v>73.754285714285729</c:v>
                </c:pt>
                <c:pt idx="627">
                  <c:v>73.800000000000011</c:v>
                </c:pt>
                <c:pt idx="628">
                  <c:v>73.845714285714294</c:v>
                </c:pt>
                <c:pt idx="629">
                  <c:v>73.891428571428577</c:v>
                </c:pt>
                <c:pt idx="630">
                  <c:v>73.937142857142874</c:v>
                </c:pt>
                <c:pt idx="631">
                  <c:v>73.982857142857156</c:v>
                </c:pt>
                <c:pt idx="632">
                  <c:v>74.028571428571439</c:v>
                </c:pt>
                <c:pt idx="633">
                  <c:v>74.074285714285722</c:v>
                </c:pt>
                <c:pt idx="634">
                  <c:v>74.12</c:v>
                </c:pt>
                <c:pt idx="635">
                  <c:v>74.165714285714301</c:v>
                </c:pt>
                <c:pt idx="636">
                  <c:v>74.211428571428584</c:v>
                </c:pt>
                <c:pt idx="637">
                  <c:v>74.257142857142867</c:v>
                </c:pt>
                <c:pt idx="638">
                  <c:v>74.348571428571432</c:v>
                </c:pt>
                <c:pt idx="639">
                  <c:v>74.394285714285729</c:v>
                </c:pt>
                <c:pt idx="640">
                  <c:v>74.440000000000012</c:v>
                </c:pt>
                <c:pt idx="641">
                  <c:v>74.485714285714295</c:v>
                </c:pt>
                <c:pt idx="642">
                  <c:v>74.531428571428577</c:v>
                </c:pt>
                <c:pt idx="643">
                  <c:v>74.57714285714286</c:v>
                </c:pt>
                <c:pt idx="644">
                  <c:v>74.622857142857157</c:v>
                </c:pt>
                <c:pt idx="645">
                  <c:v>74.66857142857144</c:v>
                </c:pt>
                <c:pt idx="646">
                  <c:v>74.714285714285722</c:v>
                </c:pt>
                <c:pt idx="647">
                  <c:v>74.760000000000019</c:v>
                </c:pt>
                <c:pt idx="648">
                  <c:v>74.805714285714288</c:v>
                </c:pt>
                <c:pt idx="649">
                  <c:v>74.851428571428585</c:v>
                </c:pt>
                <c:pt idx="650">
                  <c:v>74.897142857142867</c:v>
                </c:pt>
                <c:pt idx="651">
                  <c:v>74.94285714285715</c:v>
                </c:pt>
                <c:pt idx="652">
                  <c:v>74.988571428571447</c:v>
                </c:pt>
                <c:pt idx="653">
                  <c:v>75.034285714285716</c:v>
                </c:pt>
                <c:pt idx="654">
                  <c:v>75.080000000000013</c:v>
                </c:pt>
                <c:pt idx="655">
                  <c:v>75.125714285714295</c:v>
                </c:pt>
                <c:pt idx="656">
                  <c:v>75.171428571428578</c:v>
                </c:pt>
                <c:pt idx="657">
                  <c:v>75.217142857142875</c:v>
                </c:pt>
                <c:pt idx="658">
                  <c:v>75.262857142857158</c:v>
                </c:pt>
                <c:pt idx="659">
                  <c:v>75.30857142857144</c:v>
                </c:pt>
                <c:pt idx="660">
                  <c:v>75.354285714285723</c:v>
                </c:pt>
                <c:pt idx="661">
                  <c:v>75.400000000000006</c:v>
                </c:pt>
                <c:pt idx="662">
                  <c:v>75.445714285714303</c:v>
                </c:pt>
                <c:pt idx="663">
                  <c:v>75.491428571428585</c:v>
                </c:pt>
                <c:pt idx="664">
                  <c:v>75.537142857142868</c:v>
                </c:pt>
                <c:pt idx="665">
                  <c:v>75.582857142857151</c:v>
                </c:pt>
                <c:pt idx="666">
                  <c:v>75.628571428571433</c:v>
                </c:pt>
                <c:pt idx="667">
                  <c:v>75.67428571428573</c:v>
                </c:pt>
                <c:pt idx="668">
                  <c:v>75.720000000000013</c:v>
                </c:pt>
                <c:pt idx="669">
                  <c:v>75.765714285714296</c:v>
                </c:pt>
                <c:pt idx="670">
                  <c:v>75.811428571428578</c:v>
                </c:pt>
                <c:pt idx="671">
                  <c:v>75.857142857142861</c:v>
                </c:pt>
                <c:pt idx="672">
                  <c:v>75.902857142857158</c:v>
                </c:pt>
                <c:pt idx="673">
                  <c:v>75.948571428571441</c:v>
                </c:pt>
                <c:pt idx="674">
                  <c:v>75.994285714285724</c:v>
                </c:pt>
                <c:pt idx="675">
                  <c:v>76.04000000000002</c:v>
                </c:pt>
                <c:pt idx="676">
                  <c:v>76.085714285714289</c:v>
                </c:pt>
                <c:pt idx="677">
                  <c:v>76.131428571428586</c:v>
                </c:pt>
                <c:pt idx="678">
                  <c:v>76.177142857142869</c:v>
                </c:pt>
                <c:pt idx="679">
                  <c:v>76.222857142857151</c:v>
                </c:pt>
                <c:pt idx="680">
                  <c:v>76.268571428571448</c:v>
                </c:pt>
                <c:pt idx="681">
                  <c:v>76.314285714285717</c:v>
                </c:pt>
                <c:pt idx="682">
                  <c:v>76.360000000000014</c:v>
                </c:pt>
                <c:pt idx="683">
                  <c:v>76.405714285714296</c:v>
                </c:pt>
                <c:pt idx="684">
                  <c:v>76.451428571428579</c:v>
                </c:pt>
                <c:pt idx="685">
                  <c:v>76.497142857142876</c:v>
                </c:pt>
                <c:pt idx="686">
                  <c:v>76.542857142857144</c:v>
                </c:pt>
                <c:pt idx="687">
                  <c:v>76.588571428571441</c:v>
                </c:pt>
                <c:pt idx="688">
                  <c:v>76.634285714285724</c:v>
                </c:pt>
                <c:pt idx="689">
                  <c:v>76.680000000000007</c:v>
                </c:pt>
                <c:pt idx="690">
                  <c:v>76.725714285714304</c:v>
                </c:pt>
                <c:pt idx="691">
                  <c:v>76.771428571428586</c:v>
                </c:pt>
                <c:pt idx="692">
                  <c:v>76.817142857142869</c:v>
                </c:pt>
                <c:pt idx="693">
                  <c:v>76.862857142857152</c:v>
                </c:pt>
                <c:pt idx="694">
                  <c:v>76.908571428571435</c:v>
                </c:pt>
                <c:pt idx="695">
                  <c:v>77.000000000000014</c:v>
                </c:pt>
                <c:pt idx="696">
                  <c:v>77.045714285714297</c:v>
                </c:pt>
                <c:pt idx="697">
                  <c:v>77.137142857142862</c:v>
                </c:pt>
                <c:pt idx="698">
                  <c:v>77.182857142857159</c:v>
                </c:pt>
                <c:pt idx="699">
                  <c:v>77.228571428571442</c:v>
                </c:pt>
                <c:pt idx="700">
                  <c:v>77.274285714285725</c:v>
                </c:pt>
                <c:pt idx="701">
                  <c:v>77.36571428571429</c:v>
                </c:pt>
                <c:pt idx="702">
                  <c:v>77.411428571428587</c:v>
                </c:pt>
                <c:pt idx="703">
                  <c:v>77.502857142857152</c:v>
                </c:pt>
                <c:pt idx="704">
                  <c:v>77.548571428571449</c:v>
                </c:pt>
                <c:pt idx="705">
                  <c:v>77.594285714285718</c:v>
                </c:pt>
                <c:pt idx="706">
                  <c:v>77.640000000000015</c:v>
                </c:pt>
                <c:pt idx="707">
                  <c:v>77.685714285714297</c:v>
                </c:pt>
                <c:pt idx="708">
                  <c:v>77.73142857142858</c:v>
                </c:pt>
                <c:pt idx="709">
                  <c:v>77.777142857142877</c:v>
                </c:pt>
                <c:pt idx="710">
                  <c:v>77.822857142857146</c:v>
                </c:pt>
                <c:pt idx="711">
                  <c:v>77.868571428571443</c:v>
                </c:pt>
                <c:pt idx="712">
                  <c:v>77.914285714285725</c:v>
                </c:pt>
                <c:pt idx="713">
                  <c:v>77.960000000000008</c:v>
                </c:pt>
                <c:pt idx="714">
                  <c:v>78.005714285714305</c:v>
                </c:pt>
                <c:pt idx="715">
                  <c:v>78.051428571428573</c:v>
                </c:pt>
                <c:pt idx="716">
                  <c:v>78.09714285714287</c:v>
                </c:pt>
                <c:pt idx="717">
                  <c:v>78.142857142857153</c:v>
                </c:pt>
                <c:pt idx="718">
                  <c:v>78.188571428571436</c:v>
                </c:pt>
                <c:pt idx="719">
                  <c:v>78.234285714285733</c:v>
                </c:pt>
                <c:pt idx="720">
                  <c:v>78.28</c:v>
                </c:pt>
                <c:pt idx="721">
                  <c:v>78.325714285714298</c:v>
                </c:pt>
                <c:pt idx="722">
                  <c:v>78.371428571428581</c:v>
                </c:pt>
                <c:pt idx="723">
                  <c:v>78.417142857142863</c:v>
                </c:pt>
                <c:pt idx="724">
                  <c:v>78.46285714285716</c:v>
                </c:pt>
                <c:pt idx="725">
                  <c:v>78.508571428571443</c:v>
                </c:pt>
                <c:pt idx="726">
                  <c:v>78.554285714285726</c:v>
                </c:pt>
                <c:pt idx="727">
                  <c:v>78.600000000000009</c:v>
                </c:pt>
                <c:pt idx="728">
                  <c:v>78.645714285714291</c:v>
                </c:pt>
                <c:pt idx="729">
                  <c:v>78.691428571428588</c:v>
                </c:pt>
                <c:pt idx="730">
                  <c:v>78.737142857142871</c:v>
                </c:pt>
                <c:pt idx="731">
                  <c:v>78.782857142857154</c:v>
                </c:pt>
                <c:pt idx="732">
                  <c:v>78.828571428571436</c:v>
                </c:pt>
                <c:pt idx="733">
                  <c:v>78.874285714285719</c:v>
                </c:pt>
                <c:pt idx="734">
                  <c:v>78.920000000000016</c:v>
                </c:pt>
                <c:pt idx="735">
                  <c:v>78.965714285714299</c:v>
                </c:pt>
                <c:pt idx="736">
                  <c:v>79.011428571428581</c:v>
                </c:pt>
                <c:pt idx="737">
                  <c:v>79.057142857142878</c:v>
                </c:pt>
                <c:pt idx="738">
                  <c:v>79.102857142857147</c:v>
                </c:pt>
                <c:pt idx="739">
                  <c:v>79.148571428571444</c:v>
                </c:pt>
                <c:pt idx="740">
                  <c:v>79.194285714285726</c:v>
                </c:pt>
                <c:pt idx="741">
                  <c:v>79.240000000000009</c:v>
                </c:pt>
                <c:pt idx="742">
                  <c:v>79.285714285714292</c:v>
                </c:pt>
                <c:pt idx="743">
                  <c:v>79.331428571428575</c:v>
                </c:pt>
                <c:pt idx="744">
                  <c:v>79.377142857142871</c:v>
                </c:pt>
                <c:pt idx="745">
                  <c:v>79.422857142857168</c:v>
                </c:pt>
                <c:pt idx="746">
                  <c:v>79.468571428571437</c:v>
                </c:pt>
                <c:pt idx="747">
                  <c:v>79.514285714285734</c:v>
                </c:pt>
                <c:pt idx="748">
                  <c:v>79.560000000000016</c:v>
                </c:pt>
                <c:pt idx="749">
                  <c:v>79.605714285714299</c:v>
                </c:pt>
                <c:pt idx="750">
                  <c:v>79.651428571428582</c:v>
                </c:pt>
                <c:pt idx="751">
                  <c:v>79.697142857142865</c:v>
                </c:pt>
                <c:pt idx="752">
                  <c:v>79.742857142857162</c:v>
                </c:pt>
                <c:pt idx="753">
                  <c:v>79.788571428571444</c:v>
                </c:pt>
                <c:pt idx="754">
                  <c:v>79.834285714285727</c:v>
                </c:pt>
                <c:pt idx="755">
                  <c:v>79.880000000000024</c:v>
                </c:pt>
                <c:pt idx="756">
                  <c:v>79.925714285714292</c:v>
                </c:pt>
                <c:pt idx="757">
                  <c:v>79.971428571428589</c:v>
                </c:pt>
                <c:pt idx="758">
                  <c:v>80.017142857142858</c:v>
                </c:pt>
                <c:pt idx="759">
                  <c:v>80.062857142857155</c:v>
                </c:pt>
                <c:pt idx="760">
                  <c:v>80.108571428571452</c:v>
                </c:pt>
                <c:pt idx="761">
                  <c:v>80.15428571428572</c:v>
                </c:pt>
                <c:pt idx="762">
                  <c:v>80.200000000000017</c:v>
                </c:pt>
                <c:pt idx="763">
                  <c:v>80.2457142857143</c:v>
                </c:pt>
                <c:pt idx="764">
                  <c:v>80.291428571428582</c:v>
                </c:pt>
                <c:pt idx="765">
                  <c:v>80.337142857142865</c:v>
                </c:pt>
                <c:pt idx="766">
                  <c:v>80.382857142857148</c:v>
                </c:pt>
                <c:pt idx="767">
                  <c:v>80.428571428571445</c:v>
                </c:pt>
                <c:pt idx="768">
                  <c:v>80.474285714285713</c:v>
                </c:pt>
                <c:pt idx="769">
                  <c:v>80.52000000000001</c:v>
                </c:pt>
                <c:pt idx="770">
                  <c:v>80.565714285714307</c:v>
                </c:pt>
                <c:pt idx="771">
                  <c:v>80.611428571428576</c:v>
                </c:pt>
                <c:pt idx="772">
                  <c:v>80.657142857142873</c:v>
                </c:pt>
                <c:pt idx="773">
                  <c:v>80.702857142857155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13-4F4F-B7E3-12ACD8390F09}"/>
            </c:ext>
          </c:extLst>
        </c:ser>
        <c:ser>
          <c:idx val="2"/>
          <c:order val="2"/>
          <c:tx>
            <c:v>Lin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44914014729973"/>
                  <c:y val="-0.29203110135442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TactilityF!$M$21:$M$67</c:f>
              <c:numCache>
                <c:formatCode>0.000</c:formatCode>
                <c:ptCount val="47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0.12499999999999999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0.26499999999999996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0.3</c:v>
                </c:pt>
                <c:pt idx="45">
                  <c:v>0.31</c:v>
                </c:pt>
                <c:pt idx="46">
                  <c:v>0.32</c:v>
                </c:pt>
              </c:numCache>
            </c:numRef>
          </c:xVal>
          <c:yVal>
            <c:numRef>
              <c:f>TactilityF!$D$21:$D$67</c:f>
              <c:numCache>
                <c:formatCode>0.0</c:formatCode>
                <c:ptCount val="47"/>
                <c:pt idx="0">
                  <c:v>43.4</c:v>
                </c:pt>
                <c:pt idx="1">
                  <c:v>44.9</c:v>
                </c:pt>
                <c:pt idx="2">
                  <c:v>44.4</c:v>
                </c:pt>
                <c:pt idx="3">
                  <c:v>44.4</c:v>
                </c:pt>
                <c:pt idx="4">
                  <c:v>44.5</c:v>
                </c:pt>
                <c:pt idx="5">
                  <c:v>44.4</c:v>
                </c:pt>
                <c:pt idx="6">
                  <c:v>44.3</c:v>
                </c:pt>
                <c:pt idx="7">
                  <c:v>44.3</c:v>
                </c:pt>
                <c:pt idx="8">
                  <c:v>44.5</c:v>
                </c:pt>
                <c:pt idx="9">
                  <c:v>44.6</c:v>
                </c:pt>
                <c:pt idx="10">
                  <c:v>44.4</c:v>
                </c:pt>
                <c:pt idx="11">
                  <c:v>44.4</c:v>
                </c:pt>
                <c:pt idx="12">
                  <c:v>44.1</c:v>
                </c:pt>
                <c:pt idx="13">
                  <c:v>44</c:v>
                </c:pt>
                <c:pt idx="14">
                  <c:v>44</c:v>
                </c:pt>
                <c:pt idx="15">
                  <c:v>43.9</c:v>
                </c:pt>
                <c:pt idx="16">
                  <c:v>43.6</c:v>
                </c:pt>
                <c:pt idx="17">
                  <c:v>43.5</c:v>
                </c:pt>
                <c:pt idx="18">
                  <c:v>43.3</c:v>
                </c:pt>
                <c:pt idx="19">
                  <c:v>43.2</c:v>
                </c:pt>
                <c:pt idx="20">
                  <c:v>43.4</c:v>
                </c:pt>
                <c:pt idx="21">
                  <c:v>43.5</c:v>
                </c:pt>
                <c:pt idx="22">
                  <c:v>43.5</c:v>
                </c:pt>
                <c:pt idx="23">
                  <c:v>43.4</c:v>
                </c:pt>
                <c:pt idx="24">
                  <c:v>43.5</c:v>
                </c:pt>
                <c:pt idx="25">
                  <c:v>43.3</c:v>
                </c:pt>
                <c:pt idx="26">
                  <c:v>43.3</c:v>
                </c:pt>
                <c:pt idx="27">
                  <c:v>43.2</c:v>
                </c:pt>
                <c:pt idx="28">
                  <c:v>43.3</c:v>
                </c:pt>
                <c:pt idx="29">
                  <c:v>43.5</c:v>
                </c:pt>
                <c:pt idx="30">
                  <c:v>43.6</c:v>
                </c:pt>
                <c:pt idx="31">
                  <c:v>43.7</c:v>
                </c:pt>
                <c:pt idx="32">
                  <c:v>43.8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43.9</c:v>
                </c:pt>
                <c:pt idx="37">
                  <c:v>44</c:v>
                </c:pt>
                <c:pt idx="38">
                  <c:v>44.2</c:v>
                </c:pt>
                <c:pt idx="39">
                  <c:v>44.5</c:v>
                </c:pt>
                <c:pt idx="40">
                  <c:v>44.6</c:v>
                </c:pt>
                <c:pt idx="41">
                  <c:v>44.7</c:v>
                </c:pt>
                <c:pt idx="42">
                  <c:v>44.7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13-4F4F-B7E3-12ACD8390F09}"/>
            </c:ext>
          </c:extLst>
        </c:ser>
        <c:ser>
          <c:idx val="3"/>
          <c:order val="3"/>
          <c:tx>
            <c:v>Lin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26392109039197E-2"/>
                  <c:y val="-0.241656909066855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TactilityF!$M$582:$M$783</c:f>
              <c:numCache>
                <c:formatCode>0.000</c:formatCode>
                <c:ptCount val="202"/>
                <c:pt idx="0">
                  <c:v>3.0649999999999999</c:v>
                </c:pt>
                <c:pt idx="1">
                  <c:v>3.07</c:v>
                </c:pt>
                <c:pt idx="2">
                  <c:v>3.0750000000000002</c:v>
                </c:pt>
                <c:pt idx="3">
                  <c:v>3.08</c:v>
                </c:pt>
                <c:pt idx="4">
                  <c:v>3.085</c:v>
                </c:pt>
                <c:pt idx="5">
                  <c:v>3.09</c:v>
                </c:pt>
                <c:pt idx="6">
                  <c:v>3.0950000000000002</c:v>
                </c:pt>
                <c:pt idx="7">
                  <c:v>3.1</c:v>
                </c:pt>
                <c:pt idx="8">
                  <c:v>3.105</c:v>
                </c:pt>
                <c:pt idx="9">
                  <c:v>3.11</c:v>
                </c:pt>
                <c:pt idx="10">
                  <c:v>3.1149999999999998</c:v>
                </c:pt>
                <c:pt idx="11">
                  <c:v>3.12</c:v>
                </c:pt>
                <c:pt idx="12">
                  <c:v>3.125</c:v>
                </c:pt>
                <c:pt idx="13">
                  <c:v>3.13</c:v>
                </c:pt>
                <c:pt idx="14">
                  <c:v>3.1349999999999998</c:v>
                </c:pt>
                <c:pt idx="15">
                  <c:v>3.14</c:v>
                </c:pt>
                <c:pt idx="16">
                  <c:v>3.145</c:v>
                </c:pt>
                <c:pt idx="17">
                  <c:v>3.15</c:v>
                </c:pt>
                <c:pt idx="18">
                  <c:v>3.1549999999999998</c:v>
                </c:pt>
                <c:pt idx="19">
                  <c:v>3.16</c:v>
                </c:pt>
                <c:pt idx="20">
                  <c:v>3.165</c:v>
                </c:pt>
                <c:pt idx="21">
                  <c:v>3.17</c:v>
                </c:pt>
                <c:pt idx="22">
                  <c:v>3.1749999999999998</c:v>
                </c:pt>
                <c:pt idx="23">
                  <c:v>3.18</c:v>
                </c:pt>
                <c:pt idx="24">
                  <c:v>3.1850000000000001</c:v>
                </c:pt>
                <c:pt idx="25">
                  <c:v>3.19</c:v>
                </c:pt>
                <c:pt idx="26">
                  <c:v>3.1949999999999998</c:v>
                </c:pt>
                <c:pt idx="27">
                  <c:v>3.2</c:v>
                </c:pt>
                <c:pt idx="28">
                  <c:v>3.2050000000000001</c:v>
                </c:pt>
                <c:pt idx="29">
                  <c:v>3.21</c:v>
                </c:pt>
                <c:pt idx="30">
                  <c:v>3.2149999999999999</c:v>
                </c:pt>
                <c:pt idx="31">
                  <c:v>3.22</c:v>
                </c:pt>
                <c:pt idx="32">
                  <c:v>3.2250000000000001</c:v>
                </c:pt>
                <c:pt idx="33">
                  <c:v>3.23</c:v>
                </c:pt>
                <c:pt idx="34">
                  <c:v>3.2349999999999999</c:v>
                </c:pt>
                <c:pt idx="35">
                  <c:v>3.2399999999999998</c:v>
                </c:pt>
                <c:pt idx="36">
                  <c:v>3.2450000000000001</c:v>
                </c:pt>
                <c:pt idx="37">
                  <c:v>3.25</c:v>
                </c:pt>
                <c:pt idx="38">
                  <c:v>3.2549999999999999</c:v>
                </c:pt>
                <c:pt idx="39">
                  <c:v>3.26</c:v>
                </c:pt>
                <c:pt idx="40">
                  <c:v>3.2650000000000001</c:v>
                </c:pt>
                <c:pt idx="41">
                  <c:v>3.27</c:v>
                </c:pt>
                <c:pt idx="42">
                  <c:v>3.2749999999999999</c:v>
                </c:pt>
                <c:pt idx="43">
                  <c:v>3.28</c:v>
                </c:pt>
                <c:pt idx="44">
                  <c:v>3.2850000000000001</c:v>
                </c:pt>
                <c:pt idx="45">
                  <c:v>3.29</c:v>
                </c:pt>
                <c:pt idx="46">
                  <c:v>3.2949999999999999</c:v>
                </c:pt>
                <c:pt idx="47">
                  <c:v>3.3</c:v>
                </c:pt>
                <c:pt idx="48">
                  <c:v>3.3050000000000002</c:v>
                </c:pt>
                <c:pt idx="49">
                  <c:v>3.31</c:v>
                </c:pt>
                <c:pt idx="50">
                  <c:v>3.3149999999999999</c:v>
                </c:pt>
                <c:pt idx="51">
                  <c:v>3.32</c:v>
                </c:pt>
                <c:pt idx="52">
                  <c:v>3.3250000000000002</c:v>
                </c:pt>
                <c:pt idx="53">
                  <c:v>3.33</c:v>
                </c:pt>
                <c:pt idx="54">
                  <c:v>3.335</c:v>
                </c:pt>
                <c:pt idx="55">
                  <c:v>3.34</c:v>
                </c:pt>
                <c:pt idx="56">
                  <c:v>3.3450000000000002</c:v>
                </c:pt>
                <c:pt idx="57">
                  <c:v>3.35</c:v>
                </c:pt>
                <c:pt idx="58">
                  <c:v>3.355</c:v>
                </c:pt>
                <c:pt idx="59">
                  <c:v>3.36</c:v>
                </c:pt>
                <c:pt idx="60">
                  <c:v>3.3649999999999998</c:v>
                </c:pt>
                <c:pt idx="61">
                  <c:v>3.37</c:v>
                </c:pt>
                <c:pt idx="62">
                  <c:v>3.375</c:v>
                </c:pt>
                <c:pt idx="63">
                  <c:v>3.38</c:v>
                </c:pt>
                <c:pt idx="64">
                  <c:v>3.3849999999999998</c:v>
                </c:pt>
                <c:pt idx="65">
                  <c:v>3.39</c:v>
                </c:pt>
                <c:pt idx="66">
                  <c:v>3.395</c:v>
                </c:pt>
                <c:pt idx="67">
                  <c:v>3.4</c:v>
                </c:pt>
                <c:pt idx="68">
                  <c:v>3.4049999999999998</c:v>
                </c:pt>
                <c:pt idx="69">
                  <c:v>3.41</c:v>
                </c:pt>
                <c:pt idx="70">
                  <c:v>3.415</c:v>
                </c:pt>
                <c:pt idx="71">
                  <c:v>3.42</c:v>
                </c:pt>
                <c:pt idx="72">
                  <c:v>3.4249999999999998</c:v>
                </c:pt>
                <c:pt idx="73">
                  <c:v>3.43</c:v>
                </c:pt>
                <c:pt idx="74">
                  <c:v>3.4350000000000001</c:v>
                </c:pt>
                <c:pt idx="75">
                  <c:v>3.44</c:v>
                </c:pt>
                <c:pt idx="76">
                  <c:v>3.4449999999999998</c:v>
                </c:pt>
                <c:pt idx="77">
                  <c:v>3.4550000000000001</c:v>
                </c:pt>
                <c:pt idx="78">
                  <c:v>3.46</c:v>
                </c:pt>
                <c:pt idx="79">
                  <c:v>3.4649999999999999</c:v>
                </c:pt>
                <c:pt idx="80">
                  <c:v>3.47</c:v>
                </c:pt>
                <c:pt idx="81">
                  <c:v>3.4750000000000001</c:v>
                </c:pt>
                <c:pt idx="82">
                  <c:v>3.48</c:v>
                </c:pt>
                <c:pt idx="83">
                  <c:v>3.4849999999999999</c:v>
                </c:pt>
                <c:pt idx="84">
                  <c:v>3.4899999999999998</c:v>
                </c:pt>
                <c:pt idx="85">
                  <c:v>3.4950000000000001</c:v>
                </c:pt>
                <c:pt idx="86">
                  <c:v>3.5</c:v>
                </c:pt>
                <c:pt idx="87">
                  <c:v>3.5049999999999999</c:v>
                </c:pt>
                <c:pt idx="88">
                  <c:v>3.51</c:v>
                </c:pt>
                <c:pt idx="89">
                  <c:v>3.5150000000000001</c:v>
                </c:pt>
                <c:pt idx="90">
                  <c:v>3.52</c:v>
                </c:pt>
                <c:pt idx="91">
                  <c:v>3.5249999999999999</c:v>
                </c:pt>
                <c:pt idx="92">
                  <c:v>3.53</c:v>
                </c:pt>
                <c:pt idx="93">
                  <c:v>3.5350000000000001</c:v>
                </c:pt>
                <c:pt idx="94">
                  <c:v>3.54</c:v>
                </c:pt>
                <c:pt idx="95">
                  <c:v>3.5449999999999999</c:v>
                </c:pt>
                <c:pt idx="96">
                  <c:v>3.55</c:v>
                </c:pt>
                <c:pt idx="97">
                  <c:v>3.5550000000000002</c:v>
                </c:pt>
                <c:pt idx="98">
                  <c:v>3.56</c:v>
                </c:pt>
                <c:pt idx="99">
                  <c:v>3.5649999999999999</c:v>
                </c:pt>
                <c:pt idx="100">
                  <c:v>3.57</c:v>
                </c:pt>
                <c:pt idx="101">
                  <c:v>3.5750000000000002</c:v>
                </c:pt>
                <c:pt idx="102">
                  <c:v>3.58</c:v>
                </c:pt>
                <c:pt idx="103">
                  <c:v>3.585</c:v>
                </c:pt>
                <c:pt idx="104">
                  <c:v>3.59</c:v>
                </c:pt>
                <c:pt idx="105">
                  <c:v>3.5950000000000002</c:v>
                </c:pt>
                <c:pt idx="106">
                  <c:v>3.6</c:v>
                </c:pt>
                <c:pt idx="107">
                  <c:v>3.605</c:v>
                </c:pt>
                <c:pt idx="108">
                  <c:v>3.61</c:v>
                </c:pt>
                <c:pt idx="109">
                  <c:v>3.6149999999999998</c:v>
                </c:pt>
                <c:pt idx="110">
                  <c:v>3.62</c:v>
                </c:pt>
                <c:pt idx="111">
                  <c:v>3.625</c:v>
                </c:pt>
                <c:pt idx="112">
                  <c:v>3.63</c:v>
                </c:pt>
                <c:pt idx="113">
                  <c:v>3.6349999999999998</c:v>
                </c:pt>
                <c:pt idx="114">
                  <c:v>3.64</c:v>
                </c:pt>
                <c:pt idx="115">
                  <c:v>3.645</c:v>
                </c:pt>
                <c:pt idx="116">
                  <c:v>3.65</c:v>
                </c:pt>
                <c:pt idx="117">
                  <c:v>3.6549999999999998</c:v>
                </c:pt>
                <c:pt idx="118">
                  <c:v>3.66</c:v>
                </c:pt>
                <c:pt idx="119">
                  <c:v>3.665</c:v>
                </c:pt>
                <c:pt idx="120">
                  <c:v>3.67</c:v>
                </c:pt>
                <c:pt idx="121">
                  <c:v>3.6749999999999998</c:v>
                </c:pt>
                <c:pt idx="122">
                  <c:v>3.68</c:v>
                </c:pt>
                <c:pt idx="123">
                  <c:v>3.6850000000000001</c:v>
                </c:pt>
                <c:pt idx="124">
                  <c:v>3.69</c:v>
                </c:pt>
                <c:pt idx="125">
                  <c:v>3.6949999999999998</c:v>
                </c:pt>
                <c:pt idx="126">
                  <c:v>3.7</c:v>
                </c:pt>
                <c:pt idx="127">
                  <c:v>3.7050000000000001</c:v>
                </c:pt>
                <c:pt idx="128">
                  <c:v>3.71</c:v>
                </c:pt>
                <c:pt idx="129">
                  <c:v>3.7149999999999999</c:v>
                </c:pt>
                <c:pt idx="130">
                  <c:v>3.72</c:v>
                </c:pt>
                <c:pt idx="131">
                  <c:v>3.7250000000000001</c:v>
                </c:pt>
                <c:pt idx="132">
                  <c:v>3.73</c:v>
                </c:pt>
                <c:pt idx="133">
                  <c:v>3.7349999999999999</c:v>
                </c:pt>
                <c:pt idx="134">
                  <c:v>3.7450000000000001</c:v>
                </c:pt>
                <c:pt idx="135">
                  <c:v>3.75</c:v>
                </c:pt>
                <c:pt idx="136">
                  <c:v>3.76</c:v>
                </c:pt>
                <c:pt idx="137">
                  <c:v>3.7650000000000001</c:v>
                </c:pt>
                <c:pt idx="138">
                  <c:v>3.77</c:v>
                </c:pt>
                <c:pt idx="139">
                  <c:v>3.7749999999999999</c:v>
                </c:pt>
                <c:pt idx="140">
                  <c:v>3.7850000000000001</c:v>
                </c:pt>
                <c:pt idx="141">
                  <c:v>3.79</c:v>
                </c:pt>
                <c:pt idx="142">
                  <c:v>3.8</c:v>
                </c:pt>
                <c:pt idx="143">
                  <c:v>3.8050000000000002</c:v>
                </c:pt>
                <c:pt idx="144">
                  <c:v>3.81</c:v>
                </c:pt>
                <c:pt idx="145">
                  <c:v>3.8149999999999999</c:v>
                </c:pt>
                <c:pt idx="146">
                  <c:v>3.82</c:v>
                </c:pt>
                <c:pt idx="147">
                  <c:v>3.8250000000000002</c:v>
                </c:pt>
                <c:pt idx="148">
                  <c:v>3.83</c:v>
                </c:pt>
                <c:pt idx="149">
                  <c:v>3.835</c:v>
                </c:pt>
                <c:pt idx="150">
                  <c:v>3.84</c:v>
                </c:pt>
                <c:pt idx="151">
                  <c:v>3.8450000000000002</c:v>
                </c:pt>
                <c:pt idx="152">
                  <c:v>3.85</c:v>
                </c:pt>
                <c:pt idx="153">
                  <c:v>3.855</c:v>
                </c:pt>
                <c:pt idx="154">
                  <c:v>3.86</c:v>
                </c:pt>
                <c:pt idx="155">
                  <c:v>3.8649999999999998</c:v>
                </c:pt>
                <c:pt idx="156">
                  <c:v>3.87</c:v>
                </c:pt>
                <c:pt idx="157">
                  <c:v>3.875</c:v>
                </c:pt>
                <c:pt idx="158">
                  <c:v>3.88</c:v>
                </c:pt>
                <c:pt idx="159">
                  <c:v>3.8849999999999998</c:v>
                </c:pt>
                <c:pt idx="160">
                  <c:v>3.89</c:v>
                </c:pt>
                <c:pt idx="161">
                  <c:v>3.895</c:v>
                </c:pt>
                <c:pt idx="162">
                  <c:v>3.9</c:v>
                </c:pt>
                <c:pt idx="163">
                  <c:v>3.9049999999999998</c:v>
                </c:pt>
                <c:pt idx="164">
                  <c:v>3.91</c:v>
                </c:pt>
                <c:pt idx="165">
                  <c:v>3.915</c:v>
                </c:pt>
                <c:pt idx="166">
                  <c:v>3.92</c:v>
                </c:pt>
                <c:pt idx="167">
                  <c:v>3.9249999999999998</c:v>
                </c:pt>
                <c:pt idx="168">
                  <c:v>3.93</c:v>
                </c:pt>
                <c:pt idx="169">
                  <c:v>3.9350000000000001</c:v>
                </c:pt>
                <c:pt idx="170">
                  <c:v>3.94</c:v>
                </c:pt>
                <c:pt idx="171">
                  <c:v>3.9449999999999998</c:v>
                </c:pt>
                <c:pt idx="172">
                  <c:v>3.95</c:v>
                </c:pt>
                <c:pt idx="173">
                  <c:v>3.9550000000000001</c:v>
                </c:pt>
                <c:pt idx="174">
                  <c:v>3.96</c:v>
                </c:pt>
                <c:pt idx="175">
                  <c:v>3.9649999999999999</c:v>
                </c:pt>
                <c:pt idx="176">
                  <c:v>3.97</c:v>
                </c:pt>
                <c:pt idx="177">
                  <c:v>3.9750000000000001</c:v>
                </c:pt>
                <c:pt idx="178">
                  <c:v>3.98</c:v>
                </c:pt>
                <c:pt idx="179">
                  <c:v>3.9849999999999999</c:v>
                </c:pt>
                <c:pt idx="180">
                  <c:v>3.9899999999999998</c:v>
                </c:pt>
                <c:pt idx="181">
                  <c:v>3.9949999999999997</c:v>
                </c:pt>
                <c:pt idx="182">
                  <c:v>3.9999999999999996</c:v>
                </c:pt>
                <c:pt idx="183">
                  <c:v>4.0050000000000008</c:v>
                </c:pt>
                <c:pt idx="184">
                  <c:v>4.0100000000000007</c:v>
                </c:pt>
                <c:pt idx="185">
                  <c:v>4.0150000000000006</c:v>
                </c:pt>
                <c:pt idx="186">
                  <c:v>4.0200000000000005</c:v>
                </c:pt>
                <c:pt idx="187">
                  <c:v>4.0250000000000004</c:v>
                </c:pt>
                <c:pt idx="188">
                  <c:v>4.03</c:v>
                </c:pt>
                <c:pt idx="189">
                  <c:v>4.0350000000000001</c:v>
                </c:pt>
                <c:pt idx="190">
                  <c:v>4.04</c:v>
                </c:pt>
                <c:pt idx="191">
                  <c:v>4.0450000000000008</c:v>
                </c:pt>
                <c:pt idx="192">
                  <c:v>4.0500000000000007</c:v>
                </c:pt>
                <c:pt idx="193">
                  <c:v>4.0550000000000006</c:v>
                </c:pt>
                <c:pt idx="194">
                  <c:v>4.0600000000000005</c:v>
                </c:pt>
                <c:pt idx="195">
                  <c:v>4.0650000000000004</c:v>
                </c:pt>
                <c:pt idx="196">
                  <c:v>4.07</c:v>
                </c:pt>
                <c:pt idx="197">
                  <c:v>4.0750000000000002</c:v>
                </c:pt>
                <c:pt idx="198">
                  <c:v>4.08</c:v>
                </c:pt>
                <c:pt idx="199">
                  <c:v>4.0850000000000009</c:v>
                </c:pt>
                <c:pt idx="200">
                  <c:v>4.0900000000000007</c:v>
                </c:pt>
                <c:pt idx="201">
                  <c:v>4.0950000000000006</c:v>
                </c:pt>
              </c:numCache>
            </c:numRef>
          </c:xVal>
          <c:yVal>
            <c:numRef>
              <c:f>TactilityF!$D$582:$D$783</c:f>
              <c:numCache>
                <c:formatCode>0.0</c:formatCode>
                <c:ptCount val="202"/>
                <c:pt idx="0">
                  <c:v>70.099999999999994</c:v>
                </c:pt>
                <c:pt idx="1">
                  <c:v>70.400000000000006</c:v>
                </c:pt>
                <c:pt idx="2">
                  <c:v>70.599999999999994</c:v>
                </c:pt>
                <c:pt idx="3">
                  <c:v>70.7</c:v>
                </c:pt>
                <c:pt idx="4">
                  <c:v>71</c:v>
                </c:pt>
                <c:pt idx="5">
                  <c:v>71</c:v>
                </c:pt>
                <c:pt idx="6">
                  <c:v>71</c:v>
                </c:pt>
                <c:pt idx="7">
                  <c:v>71.099999999999994</c:v>
                </c:pt>
                <c:pt idx="8">
                  <c:v>71.2</c:v>
                </c:pt>
                <c:pt idx="9">
                  <c:v>71.2</c:v>
                </c:pt>
                <c:pt idx="10">
                  <c:v>71.400000000000006</c:v>
                </c:pt>
                <c:pt idx="11">
                  <c:v>71.5</c:v>
                </c:pt>
                <c:pt idx="12">
                  <c:v>71.400000000000006</c:v>
                </c:pt>
                <c:pt idx="13">
                  <c:v>71.5</c:v>
                </c:pt>
                <c:pt idx="14">
                  <c:v>71.5</c:v>
                </c:pt>
                <c:pt idx="15">
                  <c:v>71.599999999999994</c:v>
                </c:pt>
                <c:pt idx="16">
                  <c:v>71.7</c:v>
                </c:pt>
                <c:pt idx="17">
                  <c:v>71.7</c:v>
                </c:pt>
                <c:pt idx="18">
                  <c:v>71.900000000000006</c:v>
                </c:pt>
                <c:pt idx="19">
                  <c:v>71.900000000000006</c:v>
                </c:pt>
                <c:pt idx="20">
                  <c:v>72</c:v>
                </c:pt>
                <c:pt idx="21">
                  <c:v>72.099999999999994</c:v>
                </c:pt>
                <c:pt idx="22">
                  <c:v>72.2</c:v>
                </c:pt>
                <c:pt idx="23">
                  <c:v>72.3</c:v>
                </c:pt>
                <c:pt idx="24">
                  <c:v>72.400000000000006</c:v>
                </c:pt>
                <c:pt idx="25">
                  <c:v>72.5</c:v>
                </c:pt>
                <c:pt idx="26">
                  <c:v>72.5</c:v>
                </c:pt>
                <c:pt idx="27">
                  <c:v>72.599999999999994</c:v>
                </c:pt>
                <c:pt idx="28">
                  <c:v>72.599999999999994</c:v>
                </c:pt>
                <c:pt idx="29">
                  <c:v>72.7</c:v>
                </c:pt>
                <c:pt idx="30">
                  <c:v>72.8</c:v>
                </c:pt>
                <c:pt idx="31">
                  <c:v>72.900000000000006</c:v>
                </c:pt>
                <c:pt idx="32">
                  <c:v>72.900000000000006</c:v>
                </c:pt>
                <c:pt idx="33">
                  <c:v>72.900000000000006</c:v>
                </c:pt>
                <c:pt idx="34">
                  <c:v>72.900000000000006</c:v>
                </c:pt>
                <c:pt idx="35">
                  <c:v>72.900000000000006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73.099999999999994</c:v>
                </c:pt>
                <c:pt idx="40">
                  <c:v>73.099999999999994</c:v>
                </c:pt>
                <c:pt idx="41">
                  <c:v>73.2</c:v>
                </c:pt>
                <c:pt idx="42">
                  <c:v>73.2</c:v>
                </c:pt>
                <c:pt idx="43">
                  <c:v>73.2</c:v>
                </c:pt>
                <c:pt idx="44">
                  <c:v>73.3</c:v>
                </c:pt>
                <c:pt idx="45">
                  <c:v>73.400000000000006</c:v>
                </c:pt>
                <c:pt idx="46">
                  <c:v>73.400000000000006</c:v>
                </c:pt>
                <c:pt idx="47">
                  <c:v>73.400000000000006</c:v>
                </c:pt>
                <c:pt idx="48">
                  <c:v>73.400000000000006</c:v>
                </c:pt>
                <c:pt idx="49">
                  <c:v>73.5</c:v>
                </c:pt>
                <c:pt idx="50">
                  <c:v>73.5</c:v>
                </c:pt>
                <c:pt idx="51">
                  <c:v>73.599999999999994</c:v>
                </c:pt>
                <c:pt idx="52">
                  <c:v>73.599999999999994</c:v>
                </c:pt>
                <c:pt idx="53">
                  <c:v>73.599999999999994</c:v>
                </c:pt>
                <c:pt idx="54">
                  <c:v>73.7</c:v>
                </c:pt>
                <c:pt idx="55">
                  <c:v>73.8</c:v>
                </c:pt>
                <c:pt idx="56">
                  <c:v>73.8</c:v>
                </c:pt>
                <c:pt idx="57">
                  <c:v>73.900000000000006</c:v>
                </c:pt>
                <c:pt idx="58">
                  <c:v>73.900000000000006</c:v>
                </c:pt>
                <c:pt idx="59">
                  <c:v>73.900000000000006</c:v>
                </c:pt>
                <c:pt idx="60">
                  <c:v>74</c:v>
                </c:pt>
                <c:pt idx="61">
                  <c:v>74.099999999999994</c:v>
                </c:pt>
                <c:pt idx="62">
                  <c:v>74.099999999999994</c:v>
                </c:pt>
                <c:pt idx="63">
                  <c:v>74.2</c:v>
                </c:pt>
                <c:pt idx="64">
                  <c:v>74.2</c:v>
                </c:pt>
                <c:pt idx="65">
                  <c:v>74.2</c:v>
                </c:pt>
                <c:pt idx="66">
                  <c:v>74.3</c:v>
                </c:pt>
                <c:pt idx="67">
                  <c:v>74.3</c:v>
                </c:pt>
                <c:pt idx="68">
                  <c:v>74.400000000000006</c:v>
                </c:pt>
                <c:pt idx="69">
                  <c:v>74.400000000000006</c:v>
                </c:pt>
                <c:pt idx="70">
                  <c:v>74.400000000000006</c:v>
                </c:pt>
                <c:pt idx="71">
                  <c:v>74.400000000000006</c:v>
                </c:pt>
                <c:pt idx="72">
                  <c:v>74.5</c:v>
                </c:pt>
                <c:pt idx="73">
                  <c:v>74.599999999999994</c:v>
                </c:pt>
                <c:pt idx="74">
                  <c:v>74.7</c:v>
                </c:pt>
                <c:pt idx="75">
                  <c:v>74.599999999999994</c:v>
                </c:pt>
                <c:pt idx="76">
                  <c:v>74.7</c:v>
                </c:pt>
                <c:pt idx="77">
                  <c:v>74.7</c:v>
                </c:pt>
                <c:pt idx="78">
                  <c:v>74.8</c:v>
                </c:pt>
                <c:pt idx="79">
                  <c:v>74.8</c:v>
                </c:pt>
                <c:pt idx="80">
                  <c:v>74.900000000000006</c:v>
                </c:pt>
                <c:pt idx="81">
                  <c:v>74.900000000000006</c:v>
                </c:pt>
                <c:pt idx="82">
                  <c:v>74.900000000000006</c:v>
                </c:pt>
                <c:pt idx="83">
                  <c:v>75</c:v>
                </c:pt>
                <c:pt idx="84">
                  <c:v>75</c:v>
                </c:pt>
                <c:pt idx="85">
                  <c:v>75.099999999999994</c:v>
                </c:pt>
                <c:pt idx="86">
                  <c:v>75.2</c:v>
                </c:pt>
                <c:pt idx="87">
                  <c:v>75.2</c:v>
                </c:pt>
                <c:pt idx="88">
                  <c:v>75.2</c:v>
                </c:pt>
                <c:pt idx="89">
                  <c:v>75.2</c:v>
                </c:pt>
                <c:pt idx="90">
                  <c:v>75.3</c:v>
                </c:pt>
                <c:pt idx="91">
                  <c:v>75.3</c:v>
                </c:pt>
                <c:pt idx="92">
                  <c:v>75.400000000000006</c:v>
                </c:pt>
                <c:pt idx="93">
                  <c:v>75.400000000000006</c:v>
                </c:pt>
                <c:pt idx="94">
                  <c:v>75.5</c:v>
                </c:pt>
                <c:pt idx="95">
                  <c:v>75.5</c:v>
                </c:pt>
                <c:pt idx="96">
                  <c:v>75.599999999999994</c:v>
                </c:pt>
                <c:pt idx="97">
                  <c:v>75.599999999999994</c:v>
                </c:pt>
                <c:pt idx="98">
                  <c:v>75.599999999999994</c:v>
                </c:pt>
                <c:pt idx="99">
                  <c:v>75.7</c:v>
                </c:pt>
                <c:pt idx="100">
                  <c:v>75.7</c:v>
                </c:pt>
                <c:pt idx="101">
                  <c:v>75.8</c:v>
                </c:pt>
                <c:pt idx="102">
                  <c:v>75.900000000000006</c:v>
                </c:pt>
                <c:pt idx="103">
                  <c:v>75.900000000000006</c:v>
                </c:pt>
                <c:pt idx="104">
                  <c:v>75.900000000000006</c:v>
                </c:pt>
                <c:pt idx="105">
                  <c:v>76</c:v>
                </c:pt>
                <c:pt idx="106">
                  <c:v>76</c:v>
                </c:pt>
                <c:pt idx="107">
                  <c:v>76</c:v>
                </c:pt>
                <c:pt idx="108">
                  <c:v>76.099999999999994</c:v>
                </c:pt>
                <c:pt idx="109">
                  <c:v>76.099999999999994</c:v>
                </c:pt>
                <c:pt idx="110">
                  <c:v>76.2</c:v>
                </c:pt>
                <c:pt idx="111">
                  <c:v>76.3</c:v>
                </c:pt>
                <c:pt idx="112">
                  <c:v>76.3</c:v>
                </c:pt>
                <c:pt idx="113">
                  <c:v>76.400000000000006</c:v>
                </c:pt>
                <c:pt idx="114">
                  <c:v>76.400000000000006</c:v>
                </c:pt>
                <c:pt idx="115">
                  <c:v>76.400000000000006</c:v>
                </c:pt>
                <c:pt idx="116">
                  <c:v>76.400000000000006</c:v>
                </c:pt>
                <c:pt idx="117">
                  <c:v>76.5</c:v>
                </c:pt>
                <c:pt idx="118">
                  <c:v>76.599999999999994</c:v>
                </c:pt>
                <c:pt idx="119">
                  <c:v>76.599999999999994</c:v>
                </c:pt>
                <c:pt idx="120">
                  <c:v>76.599999999999994</c:v>
                </c:pt>
                <c:pt idx="121">
                  <c:v>76.599999999999994</c:v>
                </c:pt>
                <c:pt idx="122">
                  <c:v>76.599999999999994</c:v>
                </c:pt>
                <c:pt idx="123">
                  <c:v>76.599999999999994</c:v>
                </c:pt>
                <c:pt idx="124">
                  <c:v>76.7</c:v>
                </c:pt>
                <c:pt idx="125">
                  <c:v>76.8</c:v>
                </c:pt>
                <c:pt idx="126">
                  <c:v>76.8</c:v>
                </c:pt>
                <c:pt idx="127">
                  <c:v>76.900000000000006</c:v>
                </c:pt>
                <c:pt idx="128">
                  <c:v>76.900000000000006</c:v>
                </c:pt>
                <c:pt idx="129">
                  <c:v>76.900000000000006</c:v>
                </c:pt>
                <c:pt idx="130">
                  <c:v>77</c:v>
                </c:pt>
                <c:pt idx="131">
                  <c:v>77.099999999999994</c:v>
                </c:pt>
                <c:pt idx="132">
                  <c:v>77.099999999999994</c:v>
                </c:pt>
                <c:pt idx="133">
                  <c:v>77.2</c:v>
                </c:pt>
                <c:pt idx="134">
                  <c:v>77.2</c:v>
                </c:pt>
                <c:pt idx="135">
                  <c:v>77.3</c:v>
                </c:pt>
                <c:pt idx="136">
                  <c:v>77.3</c:v>
                </c:pt>
                <c:pt idx="137">
                  <c:v>77.400000000000006</c:v>
                </c:pt>
                <c:pt idx="138">
                  <c:v>77.5</c:v>
                </c:pt>
                <c:pt idx="139">
                  <c:v>77.5</c:v>
                </c:pt>
                <c:pt idx="140">
                  <c:v>77.599999999999994</c:v>
                </c:pt>
                <c:pt idx="141">
                  <c:v>77.7</c:v>
                </c:pt>
                <c:pt idx="142">
                  <c:v>77.8</c:v>
                </c:pt>
                <c:pt idx="143">
                  <c:v>77.8</c:v>
                </c:pt>
                <c:pt idx="144">
                  <c:v>77.900000000000006</c:v>
                </c:pt>
                <c:pt idx="145">
                  <c:v>77.900000000000006</c:v>
                </c:pt>
                <c:pt idx="146">
                  <c:v>78</c:v>
                </c:pt>
                <c:pt idx="147">
                  <c:v>78</c:v>
                </c:pt>
                <c:pt idx="148">
                  <c:v>78</c:v>
                </c:pt>
                <c:pt idx="149">
                  <c:v>78.099999999999994</c:v>
                </c:pt>
                <c:pt idx="150">
                  <c:v>78.099999999999994</c:v>
                </c:pt>
                <c:pt idx="151">
                  <c:v>78.099999999999994</c:v>
                </c:pt>
                <c:pt idx="152">
                  <c:v>78.2</c:v>
                </c:pt>
                <c:pt idx="153">
                  <c:v>78.3</c:v>
                </c:pt>
                <c:pt idx="154">
                  <c:v>78.3</c:v>
                </c:pt>
                <c:pt idx="155">
                  <c:v>78.400000000000006</c:v>
                </c:pt>
                <c:pt idx="156">
                  <c:v>78.400000000000006</c:v>
                </c:pt>
                <c:pt idx="157">
                  <c:v>78.5</c:v>
                </c:pt>
                <c:pt idx="158">
                  <c:v>78.5</c:v>
                </c:pt>
                <c:pt idx="159">
                  <c:v>78.599999999999994</c:v>
                </c:pt>
                <c:pt idx="160">
                  <c:v>78.599999999999994</c:v>
                </c:pt>
                <c:pt idx="161">
                  <c:v>78.599999999999994</c:v>
                </c:pt>
                <c:pt idx="162">
                  <c:v>78.599999999999994</c:v>
                </c:pt>
                <c:pt idx="163">
                  <c:v>78.7</c:v>
                </c:pt>
                <c:pt idx="164">
                  <c:v>78.8</c:v>
                </c:pt>
                <c:pt idx="165">
                  <c:v>78.8</c:v>
                </c:pt>
                <c:pt idx="166">
                  <c:v>78.8</c:v>
                </c:pt>
                <c:pt idx="167">
                  <c:v>78.900000000000006</c:v>
                </c:pt>
                <c:pt idx="168">
                  <c:v>78.900000000000006</c:v>
                </c:pt>
                <c:pt idx="169">
                  <c:v>78.900000000000006</c:v>
                </c:pt>
                <c:pt idx="170">
                  <c:v>78.900000000000006</c:v>
                </c:pt>
                <c:pt idx="171">
                  <c:v>79</c:v>
                </c:pt>
                <c:pt idx="172">
                  <c:v>79</c:v>
                </c:pt>
                <c:pt idx="173">
                  <c:v>79.099999999999994</c:v>
                </c:pt>
                <c:pt idx="174">
                  <c:v>79.099999999999994</c:v>
                </c:pt>
                <c:pt idx="175">
                  <c:v>79.3</c:v>
                </c:pt>
                <c:pt idx="176">
                  <c:v>79.3</c:v>
                </c:pt>
                <c:pt idx="177">
                  <c:v>79.3</c:v>
                </c:pt>
                <c:pt idx="178">
                  <c:v>79.400000000000006</c:v>
                </c:pt>
                <c:pt idx="179">
                  <c:v>79.3</c:v>
                </c:pt>
                <c:pt idx="180">
                  <c:v>79.400000000000006</c:v>
                </c:pt>
                <c:pt idx="181">
                  <c:v>79.400000000000006</c:v>
                </c:pt>
                <c:pt idx="182">
                  <c:v>79.5</c:v>
                </c:pt>
                <c:pt idx="183">
                  <c:v>79.5</c:v>
                </c:pt>
                <c:pt idx="184">
                  <c:v>79.599999999999994</c:v>
                </c:pt>
                <c:pt idx="185">
                  <c:v>79.599999999999994</c:v>
                </c:pt>
                <c:pt idx="186">
                  <c:v>79.7</c:v>
                </c:pt>
                <c:pt idx="187">
                  <c:v>79.8</c:v>
                </c:pt>
                <c:pt idx="188">
                  <c:v>79.8</c:v>
                </c:pt>
                <c:pt idx="189">
                  <c:v>79.8</c:v>
                </c:pt>
                <c:pt idx="190">
                  <c:v>79.900000000000006</c:v>
                </c:pt>
                <c:pt idx="191">
                  <c:v>79.900000000000006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80.099999999999994</c:v>
                </c:pt>
                <c:pt idx="196">
                  <c:v>80.099999999999994</c:v>
                </c:pt>
                <c:pt idx="197">
                  <c:v>80.099999999999994</c:v>
                </c:pt>
                <c:pt idx="198">
                  <c:v>80.2</c:v>
                </c:pt>
                <c:pt idx="199">
                  <c:v>80.2</c:v>
                </c:pt>
                <c:pt idx="200">
                  <c:v>80.2</c:v>
                </c:pt>
                <c:pt idx="201">
                  <c:v>80.2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13-4F4F-B7E3-12ACD839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G-Square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Ram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TEST!$M$7:$M$5001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0.30500000000000005</c:v>
                </c:pt>
                <c:pt idx="61">
                  <c:v>0.31500000000000006</c:v>
                </c:pt>
                <c:pt idx="62">
                  <c:v>0.31999999999999995</c:v>
                </c:pt>
                <c:pt idx="63">
                  <c:v>0.32499999999999996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0.41499999999999992</c:v>
                </c:pt>
                <c:pt idx="80">
                  <c:v>0.42499999999999993</c:v>
                </c:pt>
                <c:pt idx="81">
                  <c:v>0.42999999999999994</c:v>
                </c:pt>
                <c:pt idx="82">
                  <c:v>0.43499999999999994</c:v>
                </c:pt>
                <c:pt idx="83">
                  <c:v>0.43999999999999995</c:v>
                </c:pt>
                <c:pt idx="84">
                  <c:v>0.44499999999999995</c:v>
                </c:pt>
                <c:pt idx="85">
                  <c:v>0.44999999999999996</c:v>
                </c:pt>
                <c:pt idx="86">
                  <c:v>0.45499999999999996</c:v>
                </c:pt>
                <c:pt idx="87">
                  <c:v>0.45999999999999996</c:v>
                </c:pt>
                <c:pt idx="88">
                  <c:v>0.47</c:v>
                </c:pt>
                <c:pt idx="89">
                  <c:v>0.47499999999999998</c:v>
                </c:pt>
                <c:pt idx="90">
                  <c:v>0.48</c:v>
                </c:pt>
                <c:pt idx="91">
                  <c:v>0.48499999999999999</c:v>
                </c:pt>
                <c:pt idx="92">
                  <c:v>0.49</c:v>
                </c:pt>
                <c:pt idx="93">
                  <c:v>0.495</c:v>
                </c:pt>
                <c:pt idx="94">
                  <c:v>0.5</c:v>
                </c:pt>
                <c:pt idx="95">
                  <c:v>0.505</c:v>
                </c:pt>
                <c:pt idx="96">
                  <c:v>0.51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0.52500000000000002</c:v>
                </c:pt>
                <c:pt idx="100">
                  <c:v>0.53500000000000003</c:v>
                </c:pt>
                <c:pt idx="101">
                  <c:v>0.53999999999999992</c:v>
                </c:pt>
                <c:pt idx="102">
                  <c:v>0.54499999999999993</c:v>
                </c:pt>
                <c:pt idx="103">
                  <c:v>0.54999999999999993</c:v>
                </c:pt>
                <c:pt idx="104">
                  <c:v>0.55499999999999994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0.59499999999999997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0.62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0.65500000000000003</c:v>
                </c:pt>
                <c:pt idx="125">
                  <c:v>0.66</c:v>
                </c:pt>
                <c:pt idx="126">
                  <c:v>0.66499999999999992</c:v>
                </c:pt>
                <c:pt idx="127">
                  <c:v>0.66999999999999993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0.76500000000000001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</c:v>
                </c:pt>
                <c:pt idx="149">
                  <c:v>0.78500000000000003</c:v>
                </c:pt>
                <c:pt idx="150">
                  <c:v>0.78999999999999992</c:v>
                </c:pt>
                <c:pt idx="151">
                  <c:v>0.79499999999999993</c:v>
                </c:pt>
                <c:pt idx="152">
                  <c:v>0.79999999999999993</c:v>
                </c:pt>
                <c:pt idx="153">
                  <c:v>0.80499999999999994</c:v>
                </c:pt>
                <c:pt idx="154">
                  <c:v>0.80999999999999994</c:v>
                </c:pt>
                <c:pt idx="155">
                  <c:v>0.81499999999999995</c:v>
                </c:pt>
                <c:pt idx="156">
                  <c:v>0.82</c:v>
                </c:pt>
                <c:pt idx="157">
                  <c:v>0.82499999999999996</c:v>
                </c:pt>
                <c:pt idx="158">
                  <c:v>0.83</c:v>
                </c:pt>
                <c:pt idx="159">
                  <c:v>0.83499999999999996</c:v>
                </c:pt>
                <c:pt idx="160">
                  <c:v>0.84</c:v>
                </c:pt>
                <c:pt idx="161">
                  <c:v>0.84499999999999997</c:v>
                </c:pt>
                <c:pt idx="162">
                  <c:v>0.85</c:v>
                </c:pt>
                <c:pt idx="163">
                  <c:v>0.85499999999999987</c:v>
                </c:pt>
                <c:pt idx="164">
                  <c:v>0.86</c:v>
                </c:pt>
                <c:pt idx="165">
                  <c:v>0.86499999999999988</c:v>
                </c:pt>
                <c:pt idx="166">
                  <c:v>0.87</c:v>
                </c:pt>
                <c:pt idx="167">
                  <c:v>0.87499999999999989</c:v>
                </c:pt>
                <c:pt idx="168">
                  <c:v>0.88</c:v>
                </c:pt>
                <c:pt idx="169">
                  <c:v>0.8849999999999999</c:v>
                </c:pt>
                <c:pt idx="170">
                  <c:v>0.89</c:v>
                </c:pt>
                <c:pt idx="171">
                  <c:v>0.89499999999999991</c:v>
                </c:pt>
                <c:pt idx="172">
                  <c:v>0.9</c:v>
                </c:pt>
                <c:pt idx="173">
                  <c:v>0.90499999999999992</c:v>
                </c:pt>
                <c:pt idx="174">
                  <c:v>0.91</c:v>
                </c:pt>
                <c:pt idx="175">
                  <c:v>0.91499999999999992</c:v>
                </c:pt>
                <c:pt idx="176">
                  <c:v>0.92</c:v>
                </c:pt>
                <c:pt idx="177">
                  <c:v>0.92499999999999993</c:v>
                </c:pt>
                <c:pt idx="178">
                  <c:v>0.93</c:v>
                </c:pt>
                <c:pt idx="179">
                  <c:v>0.93499999999999994</c:v>
                </c:pt>
                <c:pt idx="180">
                  <c:v>0.94499999999999995</c:v>
                </c:pt>
                <c:pt idx="181">
                  <c:v>0.95000000000000007</c:v>
                </c:pt>
                <c:pt idx="182">
                  <c:v>0.95499999999999996</c:v>
                </c:pt>
                <c:pt idx="183">
                  <c:v>0.96000000000000008</c:v>
                </c:pt>
                <c:pt idx="184">
                  <c:v>0.96499999999999997</c:v>
                </c:pt>
                <c:pt idx="185">
                  <c:v>0.97000000000000008</c:v>
                </c:pt>
                <c:pt idx="186">
                  <c:v>0.97499999999999998</c:v>
                </c:pt>
                <c:pt idx="187">
                  <c:v>0.97999999999999987</c:v>
                </c:pt>
                <c:pt idx="188">
                  <c:v>0.98499999999999999</c:v>
                </c:pt>
                <c:pt idx="189">
                  <c:v>0.98999999999999988</c:v>
                </c:pt>
                <c:pt idx="190">
                  <c:v>0.995</c:v>
                </c:pt>
                <c:pt idx="191">
                  <c:v>0.99999999999999989</c:v>
                </c:pt>
                <c:pt idx="192">
                  <c:v>1.0050000000000001</c:v>
                </c:pt>
                <c:pt idx="193">
                  <c:v>1.01</c:v>
                </c:pt>
                <c:pt idx="194">
                  <c:v>1.02</c:v>
                </c:pt>
                <c:pt idx="195">
                  <c:v>1.0250000000000001</c:v>
                </c:pt>
                <c:pt idx="196">
                  <c:v>1.03</c:v>
                </c:pt>
                <c:pt idx="197">
                  <c:v>1.0350000000000001</c:v>
                </c:pt>
                <c:pt idx="198">
                  <c:v>1.04</c:v>
                </c:pt>
                <c:pt idx="199">
                  <c:v>1.0450000000000002</c:v>
                </c:pt>
                <c:pt idx="200">
                  <c:v>1.05</c:v>
                </c:pt>
                <c:pt idx="201">
                  <c:v>1.0550000000000002</c:v>
                </c:pt>
                <c:pt idx="202">
                  <c:v>1.06</c:v>
                </c:pt>
                <c:pt idx="203">
                  <c:v>1.0650000000000002</c:v>
                </c:pt>
                <c:pt idx="204">
                  <c:v>1.07</c:v>
                </c:pt>
                <c:pt idx="205">
                  <c:v>1.0750000000000002</c:v>
                </c:pt>
                <c:pt idx="206">
                  <c:v>1.08</c:v>
                </c:pt>
                <c:pt idx="207">
                  <c:v>1.0850000000000002</c:v>
                </c:pt>
                <c:pt idx="208">
                  <c:v>1.0900000000000001</c:v>
                </c:pt>
                <c:pt idx="209">
                  <c:v>1.0950000000000002</c:v>
                </c:pt>
                <c:pt idx="210">
                  <c:v>1.1000000000000001</c:v>
                </c:pt>
                <c:pt idx="211">
                  <c:v>1.105</c:v>
                </c:pt>
                <c:pt idx="212">
                  <c:v>1.1100000000000001</c:v>
                </c:pt>
                <c:pt idx="213">
                  <c:v>1.115</c:v>
                </c:pt>
                <c:pt idx="214">
                  <c:v>1.125</c:v>
                </c:pt>
                <c:pt idx="215">
                  <c:v>1.1300000000000001</c:v>
                </c:pt>
                <c:pt idx="216">
                  <c:v>1.1400000000000001</c:v>
                </c:pt>
                <c:pt idx="217">
                  <c:v>1.145</c:v>
                </c:pt>
                <c:pt idx="218">
                  <c:v>1.1500000000000001</c:v>
                </c:pt>
                <c:pt idx="219">
                  <c:v>1.155</c:v>
                </c:pt>
                <c:pt idx="220">
                  <c:v>1.165</c:v>
                </c:pt>
                <c:pt idx="221">
                  <c:v>1.1700000000000002</c:v>
                </c:pt>
                <c:pt idx="222">
                  <c:v>1.175</c:v>
                </c:pt>
                <c:pt idx="223">
                  <c:v>1.1800000000000002</c:v>
                </c:pt>
                <c:pt idx="224">
                  <c:v>1.1850000000000001</c:v>
                </c:pt>
                <c:pt idx="225">
                  <c:v>1.1900000000000002</c:v>
                </c:pt>
                <c:pt idx="226">
                  <c:v>1.1950000000000001</c:v>
                </c:pt>
                <c:pt idx="227">
                  <c:v>1.2000000000000002</c:v>
                </c:pt>
                <c:pt idx="228">
                  <c:v>1.2050000000000001</c:v>
                </c:pt>
                <c:pt idx="229">
                  <c:v>1.2100000000000002</c:v>
                </c:pt>
                <c:pt idx="230">
                  <c:v>1.2150000000000001</c:v>
                </c:pt>
                <c:pt idx="231">
                  <c:v>1.2200000000000002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1.2550000000000001</c:v>
                </c:pt>
                <c:pt idx="238">
                  <c:v>1.26</c:v>
                </c:pt>
                <c:pt idx="239">
                  <c:v>1.2650000000000001</c:v>
                </c:pt>
                <c:pt idx="240">
                  <c:v>1.27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</c:v>
                </c:pt>
                <c:pt idx="245">
                  <c:v>1.2950000000000002</c:v>
                </c:pt>
                <c:pt idx="246">
                  <c:v>1.3</c:v>
                </c:pt>
                <c:pt idx="247">
                  <c:v>1.3050000000000002</c:v>
                </c:pt>
                <c:pt idx="248">
                  <c:v>1.31</c:v>
                </c:pt>
                <c:pt idx="249">
                  <c:v>1.3150000000000002</c:v>
                </c:pt>
                <c:pt idx="250">
                  <c:v>1.32</c:v>
                </c:pt>
                <c:pt idx="251">
                  <c:v>1.3250000000000002</c:v>
                </c:pt>
                <c:pt idx="252">
                  <c:v>1.33</c:v>
                </c:pt>
                <c:pt idx="253">
                  <c:v>1.3350000000000002</c:v>
                </c:pt>
                <c:pt idx="254">
                  <c:v>1.34</c:v>
                </c:pt>
                <c:pt idx="255">
                  <c:v>1.3450000000000002</c:v>
                </c:pt>
                <c:pt idx="256">
                  <c:v>1.35</c:v>
                </c:pt>
                <c:pt idx="257">
                  <c:v>1.36</c:v>
                </c:pt>
                <c:pt idx="258">
                  <c:v>1.365</c:v>
                </c:pt>
                <c:pt idx="259">
                  <c:v>1.37</c:v>
                </c:pt>
                <c:pt idx="260">
                  <c:v>1.3800000000000001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1.4000000000000001</c:v>
                </c:pt>
                <c:pt idx="265">
                  <c:v>1.405</c:v>
                </c:pt>
                <c:pt idx="266">
                  <c:v>1.4100000000000001</c:v>
                </c:pt>
                <c:pt idx="267">
                  <c:v>1.415</c:v>
                </c:pt>
                <c:pt idx="268">
                  <c:v>1.4200000000000002</c:v>
                </c:pt>
                <c:pt idx="269">
                  <c:v>1.425</c:v>
                </c:pt>
                <c:pt idx="270">
                  <c:v>1.4350000000000001</c:v>
                </c:pt>
                <c:pt idx="271">
                  <c:v>1.4400000000000002</c:v>
                </c:pt>
                <c:pt idx="272">
                  <c:v>1.4450000000000001</c:v>
                </c:pt>
                <c:pt idx="273">
                  <c:v>1.4500000000000002</c:v>
                </c:pt>
                <c:pt idx="274">
                  <c:v>1.4550000000000001</c:v>
                </c:pt>
                <c:pt idx="275">
                  <c:v>1.4600000000000002</c:v>
                </c:pt>
                <c:pt idx="276">
                  <c:v>1.4650000000000001</c:v>
                </c:pt>
                <c:pt idx="277">
                  <c:v>1.4700000000000002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1.4850000000000001</c:v>
                </c:pt>
                <c:pt idx="281">
                  <c:v>1.49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1.5050000000000001</c:v>
                </c:pt>
                <c:pt idx="285">
                  <c:v>1.51</c:v>
                </c:pt>
                <c:pt idx="286">
                  <c:v>1.5150000000000001</c:v>
                </c:pt>
                <c:pt idx="287">
                  <c:v>1.52</c:v>
                </c:pt>
                <c:pt idx="288">
                  <c:v>1.5250000000000001</c:v>
                </c:pt>
                <c:pt idx="289">
                  <c:v>1.53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1.5450000000000002</c:v>
                </c:pt>
                <c:pt idx="293">
                  <c:v>1.55</c:v>
                </c:pt>
                <c:pt idx="294">
                  <c:v>1.5550000000000002</c:v>
                </c:pt>
                <c:pt idx="295">
                  <c:v>1.5650000000000002</c:v>
                </c:pt>
                <c:pt idx="296">
                  <c:v>1.5750000000000002</c:v>
                </c:pt>
                <c:pt idx="297">
                  <c:v>1.5850000000000002</c:v>
                </c:pt>
                <c:pt idx="298">
                  <c:v>1.5950000000000002</c:v>
                </c:pt>
                <c:pt idx="299">
                  <c:v>1.6</c:v>
                </c:pt>
                <c:pt idx="300">
                  <c:v>1.605</c:v>
                </c:pt>
                <c:pt idx="301">
                  <c:v>1.61</c:v>
                </c:pt>
                <c:pt idx="302">
                  <c:v>1.615</c:v>
                </c:pt>
                <c:pt idx="303">
                  <c:v>1.62</c:v>
                </c:pt>
                <c:pt idx="304">
                  <c:v>1.625</c:v>
                </c:pt>
                <c:pt idx="305">
                  <c:v>1.6300000000000001</c:v>
                </c:pt>
                <c:pt idx="306">
                  <c:v>1.635</c:v>
                </c:pt>
                <c:pt idx="307">
                  <c:v>1.6400000000000001</c:v>
                </c:pt>
                <c:pt idx="308">
                  <c:v>1.645</c:v>
                </c:pt>
                <c:pt idx="309">
                  <c:v>1.6500000000000001</c:v>
                </c:pt>
                <c:pt idx="310">
                  <c:v>1.655</c:v>
                </c:pt>
                <c:pt idx="311">
                  <c:v>1.6600000000000001</c:v>
                </c:pt>
                <c:pt idx="312">
                  <c:v>1.665</c:v>
                </c:pt>
                <c:pt idx="313">
                  <c:v>1.6700000000000002</c:v>
                </c:pt>
                <c:pt idx="314">
                  <c:v>1.675</c:v>
                </c:pt>
                <c:pt idx="315">
                  <c:v>1.6800000000000002</c:v>
                </c:pt>
                <c:pt idx="316">
                  <c:v>1.6850000000000001</c:v>
                </c:pt>
                <c:pt idx="317">
                  <c:v>1.6900000000000002</c:v>
                </c:pt>
                <c:pt idx="318">
                  <c:v>1.6950000000000001</c:v>
                </c:pt>
                <c:pt idx="319">
                  <c:v>1.7000000000000002</c:v>
                </c:pt>
                <c:pt idx="320">
                  <c:v>1.7050000000000001</c:v>
                </c:pt>
                <c:pt idx="321">
                  <c:v>1.7100000000000002</c:v>
                </c:pt>
                <c:pt idx="322">
                  <c:v>1.7150000000000001</c:v>
                </c:pt>
                <c:pt idx="323">
                  <c:v>1.7250000000000001</c:v>
                </c:pt>
                <c:pt idx="324">
                  <c:v>1.73</c:v>
                </c:pt>
                <c:pt idx="325">
                  <c:v>1.7350000000000001</c:v>
                </c:pt>
                <c:pt idx="326">
                  <c:v>1.74</c:v>
                </c:pt>
                <c:pt idx="327">
                  <c:v>1.7450000000000001</c:v>
                </c:pt>
                <c:pt idx="328">
                  <c:v>1.75</c:v>
                </c:pt>
                <c:pt idx="329">
                  <c:v>1.7550000000000001</c:v>
                </c:pt>
                <c:pt idx="330">
                  <c:v>1.76</c:v>
                </c:pt>
                <c:pt idx="331">
                  <c:v>1.7650000000000001</c:v>
                </c:pt>
                <c:pt idx="332">
                  <c:v>1.77</c:v>
                </c:pt>
                <c:pt idx="333">
                  <c:v>1.7750000000000001</c:v>
                </c:pt>
                <c:pt idx="334">
                  <c:v>1.78</c:v>
                </c:pt>
                <c:pt idx="335">
                  <c:v>1.7850000000000001</c:v>
                </c:pt>
                <c:pt idx="336">
                  <c:v>1.79</c:v>
                </c:pt>
                <c:pt idx="337">
                  <c:v>1.7950000000000002</c:v>
                </c:pt>
                <c:pt idx="338">
                  <c:v>1.8</c:v>
                </c:pt>
                <c:pt idx="339">
                  <c:v>1.8050000000000002</c:v>
                </c:pt>
                <c:pt idx="340">
                  <c:v>1.81</c:v>
                </c:pt>
                <c:pt idx="341">
                  <c:v>1.82</c:v>
                </c:pt>
                <c:pt idx="342">
                  <c:v>1.8250000000000002</c:v>
                </c:pt>
                <c:pt idx="343">
                  <c:v>1.83</c:v>
                </c:pt>
                <c:pt idx="344">
                  <c:v>1.84</c:v>
                </c:pt>
                <c:pt idx="345">
                  <c:v>1.8450000000000002</c:v>
                </c:pt>
                <c:pt idx="346">
                  <c:v>1.85</c:v>
                </c:pt>
                <c:pt idx="347">
                  <c:v>1.855</c:v>
                </c:pt>
                <c:pt idx="348">
                  <c:v>1.8599999999999999</c:v>
                </c:pt>
                <c:pt idx="349">
                  <c:v>1.8650000000000002</c:v>
                </c:pt>
                <c:pt idx="350">
                  <c:v>1.87</c:v>
                </c:pt>
                <c:pt idx="351">
                  <c:v>1.875</c:v>
                </c:pt>
                <c:pt idx="352">
                  <c:v>1.88</c:v>
                </c:pt>
                <c:pt idx="353">
                  <c:v>1.8900000000000001</c:v>
                </c:pt>
                <c:pt idx="354">
                  <c:v>1.895</c:v>
                </c:pt>
                <c:pt idx="355">
                  <c:v>1.9</c:v>
                </c:pt>
                <c:pt idx="356">
                  <c:v>1.9050000000000002</c:v>
                </c:pt>
                <c:pt idx="357">
                  <c:v>1.9100000000000001</c:v>
                </c:pt>
                <c:pt idx="358">
                  <c:v>1.915</c:v>
                </c:pt>
                <c:pt idx="359">
                  <c:v>1.92</c:v>
                </c:pt>
                <c:pt idx="360">
                  <c:v>1.9250000000000003</c:v>
                </c:pt>
                <c:pt idx="361">
                  <c:v>1.9300000000000002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1.9450000000000003</c:v>
                </c:pt>
                <c:pt idx="365">
                  <c:v>1.9500000000000002</c:v>
                </c:pt>
                <c:pt idx="366">
                  <c:v>1.9550000000000001</c:v>
                </c:pt>
                <c:pt idx="367">
                  <c:v>1.96</c:v>
                </c:pt>
                <c:pt idx="368">
                  <c:v>1.9650000000000003</c:v>
                </c:pt>
                <c:pt idx="369">
                  <c:v>1.9700000000000002</c:v>
                </c:pt>
                <c:pt idx="370">
                  <c:v>1.9750000000000001</c:v>
                </c:pt>
                <c:pt idx="371">
                  <c:v>1.98</c:v>
                </c:pt>
                <c:pt idx="372">
                  <c:v>1.9849999999999999</c:v>
                </c:pt>
                <c:pt idx="373">
                  <c:v>1.9900000000000002</c:v>
                </c:pt>
                <c:pt idx="374">
                  <c:v>1.9950000000000001</c:v>
                </c:pt>
                <c:pt idx="375">
                  <c:v>2</c:v>
                </c:pt>
                <c:pt idx="376">
                  <c:v>2.0049999999999999</c:v>
                </c:pt>
                <c:pt idx="377">
                  <c:v>2.0100000000000002</c:v>
                </c:pt>
                <c:pt idx="378">
                  <c:v>2.0150000000000001</c:v>
                </c:pt>
                <c:pt idx="379">
                  <c:v>2.02</c:v>
                </c:pt>
                <c:pt idx="380">
                  <c:v>2.0249999999999999</c:v>
                </c:pt>
                <c:pt idx="381">
                  <c:v>2.0300000000000002</c:v>
                </c:pt>
                <c:pt idx="382">
                  <c:v>2.0350000000000001</c:v>
                </c:pt>
                <c:pt idx="383">
                  <c:v>2.04</c:v>
                </c:pt>
                <c:pt idx="384">
                  <c:v>2.0449999999999999</c:v>
                </c:pt>
                <c:pt idx="385">
                  <c:v>2.0500000000000003</c:v>
                </c:pt>
                <c:pt idx="386">
                  <c:v>2.0550000000000002</c:v>
                </c:pt>
                <c:pt idx="387">
                  <c:v>2.06</c:v>
                </c:pt>
                <c:pt idx="388">
                  <c:v>2.0649999999999999</c:v>
                </c:pt>
                <c:pt idx="389">
                  <c:v>2.0700000000000003</c:v>
                </c:pt>
                <c:pt idx="390">
                  <c:v>2.0750000000000002</c:v>
                </c:pt>
                <c:pt idx="391">
                  <c:v>2.08</c:v>
                </c:pt>
                <c:pt idx="392">
                  <c:v>2.085</c:v>
                </c:pt>
                <c:pt idx="393">
                  <c:v>2.0900000000000003</c:v>
                </c:pt>
                <c:pt idx="394">
                  <c:v>2.0950000000000002</c:v>
                </c:pt>
                <c:pt idx="395">
                  <c:v>2.1</c:v>
                </c:pt>
                <c:pt idx="396">
                  <c:v>2.105</c:v>
                </c:pt>
                <c:pt idx="397">
                  <c:v>2.11</c:v>
                </c:pt>
                <c:pt idx="398">
                  <c:v>2.1150000000000002</c:v>
                </c:pt>
                <c:pt idx="399">
                  <c:v>2.12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2.145</c:v>
                </c:pt>
                <c:pt idx="403">
                  <c:v>2.1550000000000002</c:v>
                </c:pt>
                <c:pt idx="404">
                  <c:v>2.165</c:v>
                </c:pt>
                <c:pt idx="405">
                  <c:v>2.1750000000000003</c:v>
                </c:pt>
                <c:pt idx="406">
                  <c:v>2.19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2.2150000000000003</c:v>
                </c:pt>
                <c:pt idx="410">
                  <c:v>2.2200000000000002</c:v>
                </c:pt>
                <c:pt idx="411">
                  <c:v>2.2250000000000001</c:v>
                </c:pt>
                <c:pt idx="412">
                  <c:v>2.23</c:v>
                </c:pt>
                <c:pt idx="413">
                  <c:v>2.2400000000000002</c:v>
                </c:pt>
                <c:pt idx="414">
                  <c:v>2.2450000000000001</c:v>
                </c:pt>
                <c:pt idx="415">
                  <c:v>2.25</c:v>
                </c:pt>
                <c:pt idx="416">
                  <c:v>2.2549999999999999</c:v>
                </c:pt>
                <c:pt idx="417">
                  <c:v>2.2600000000000002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2.2949999999999999</c:v>
                </c:pt>
                <c:pt idx="425">
                  <c:v>2.3000000000000003</c:v>
                </c:pt>
                <c:pt idx="426">
                  <c:v>2.3050000000000002</c:v>
                </c:pt>
                <c:pt idx="427">
                  <c:v>2.31</c:v>
                </c:pt>
                <c:pt idx="428">
                  <c:v>2.3149999999999999</c:v>
                </c:pt>
                <c:pt idx="429">
                  <c:v>2.3200000000000003</c:v>
                </c:pt>
                <c:pt idx="430">
                  <c:v>2.3250000000000002</c:v>
                </c:pt>
                <c:pt idx="431">
                  <c:v>2.33</c:v>
                </c:pt>
                <c:pt idx="432">
                  <c:v>2.335</c:v>
                </c:pt>
                <c:pt idx="433">
                  <c:v>2.3400000000000003</c:v>
                </c:pt>
                <c:pt idx="434">
                  <c:v>2.3450000000000002</c:v>
                </c:pt>
                <c:pt idx="435">
                  <c:v>2.35</c:v>
                </c:pt>
                <c:pt idx="436">
                  <c:v>2.355</c:v>
                </c:pt>
                <c:pt idx="437">
                  <c:v>2.3650000000000002</c:v>
                </c:pt>
                <c:pt idx="438">
                  <c:v>2.375</c:v>
                </c:pt>
                <c:pt idx="439">
                  <c:v>2.38</c:v>
                </c:pt>
                <c:pt idx="440">
                  <c:v>2.3850000000000002</c:v>
                </c:pt>
                <c:pt idx="441">
                  <c:v>2.39</c:v>
                </c:pt>
                <c:pt idx="442">
                  <c:v>2.4</c:v>
                </c:pt>
                <c:pt idx="443">
                  <c:v>2.4050000000000002</c:v>
                </c:pt>
                <c:pt idx="444">
                  <c:v>2.41</c:v>
                </c:pt>
                <c:pt idx="445">
                  <c:v>2.415</c:v>
                </c:pt>
                <c:pt idx="446">
                  <c:v>2.42</c:v>
                </c:pt>
                <c:pt idx="447">
                  <c:v>2.4250000000000003</c:v>
                </c:pt>
                <c:pt idx="448">
                  <c:v>2.4300000000000002</c:v>
                </c:pt>
                <c:pt idx="449">
                  <c:v>2.4350000000000001</c:v>
                </c:pt>
                <c:pt idx="450">
                  <c:v>2.44</c:v>
                </c:pt>
                <c:pt idx="451">
                  <c:v>2.4450000000000003</c:v>
                </c:pt>
                <c:pt idx="452">
                  <c:v>2.4500000000000002</c:v>
                </c:pt>
                <c:pt idx="453">
                  <c:v>2.4550000000000001</c:v>
                </c:pt>
                <c:pt idx="454">
                  <c:v>2.46</c:v>
                </c:pt>
                <c:pt idx="455">
                  <c:v>2.4700000000000002</c:v>
                </c:pt>
                <c:pt idx="456">
                  <c:v>2.48</c:v>
                </c:pt>
                <c:pt idx="457">
                  <c:v>2.4900000000000002</c:v>
                </c:pt>
                <c:pt idx="458">
                  <c:v>2.4950000000000001</c:v>
                </c:pt>
                <c:pt idx="459">
                  <c:v>2.5</c:v>
                </c:pt>
                <c:pt idx="460">
                  <c:v>2.5049999999999999</c:v>
                </c:pt>
                <c:pt idx="461">
                  <c:v>2.5100000000000002</c:v>
                </c:pt>
                <c:pt idx="462">
                  <c:v>2.5150000000000001</c:v>
                </c:pt>
                <c:pt idx="463">
                  <c:v>2.52</c:v>
                </c:pt>
                <c:pt idx="464">
                  <c:v>2.5300000000000002</c:v>
                </c:pt>
                <c:pt idx="465">
                  <c:v>2.5350000000000001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2.5500000000000003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2.5649999999999999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</c:v>
                </c:pt>
                <c:pt idx="476">
                  <c:v>2.5900000000000003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2.605</c:v>
                </c:pt>
                <c:pt idx="480">
                  <c:v>2.6150000000000002</c:v>
                </c:pt>
                <c:pt idx="481">
                  <c:v>2.625</c:v>
                </c:pt>
                <c:pt idx="482">
                  <c:v>2.63</c:v>
                </c:pt>
                <c:pt idx="483">
                  <c:v>2.6350000000000002</c:v>
                </c:pt>
                <c:pt idx="484">
                  <c:v>2.64</c:v>
                </c:pt>
                <c:pt idx="485">
                  <c:v>2.645</c:v>
                </c:pt>
                <c:pt idx="486">
                  <c:v>2.65</c:v>
                </c:pt>
                <c:pt idx="487">
                  <c:v>2.6550000000000002</c:v>
                </c:pt>
                <c:pt idx="488">
                  <c:v>2.66</c:v>
                </c:pt>
                <c:pt idx="489">
                  <c:v>2.665</c:v>
                </c:pt>
                <c:pt idx="490">
                  <c:v>2.67</c:v>
                </c:pt>
                <c:pt idx="491">
                  <c:v>2.6750000000000003</c:v>
                </c:pt>
                <c:pt idx="492">
                  <c:v>2.68</c:v>
                </c:pt>
                <c:pt idx="493">
                  <c:v>2.6850000000000001</c:v>
                </c:pt>
                <c:pt idx="494">
                  <c:v>2.6950000000000003</c:v>
                </c:pt>
                <c:pt idx="495">
                  <c:v>2.7</c:v>
                </c:pt>
                <c:pt idx="496">
                  <c:v>2.7050000000000001</c:v>
                </c:pt>
                <c:pt idx="497">
                  <c:v>2.71</c:v>
                </c:pt>
                <c:pt idx="498">
                  <c:v>2.7150000000000003</c:v>
                </c:pt>
                <c:pt idx="499">
                  <c:v>2.72</c:v>
                </c:pt>
                <c:pt idx="500">
                  <c:v>2.7250000000000001</c:v>
                </c:pt>
                <c:pt idx="501">
                  <c:v>2.73</c:v>
                </c:pt>
                <c:pt idx="502">
                  <c:v>2.7349999999999999</c:v>
                </c:pt>
                <c:pt idx="503">
                  <c:v>2.74</c:v>
                </c:pt>
                <c:pt idx="504">
                  <c:v>2.7450000000000001</c:v>
                </c:pt>
                <c:pt idx="505">
                  <c:v>2.75</c:v>
                </c:pt>
                <c:pt idx="506">
                  <c:v>2.7549999999999999</c:v>
                </c:pt>
                <c:pt idx="507">
                  <c:v>2.7600000000000002</c:v>
                </c:pt>
                <c:pt idx="508">
                  <c:v>2.7650000000000001</c:v>
                </c:pt>
                <c:pt idx="509">
                  <c:v>2.77</c:v>
                </c:pt>
                <c:pt idx="510">
                  <c:v>2.7749999999999999</c:v>
                </c:pt>
                <c:pt idx="511">
                  <c:v>2.7850000000000001</c:v>
                </c:pt>
                <c:pt idx="512">
                  <c:v>2.79</c:v>
                </c:pt>
                <c:pt idx="513">
                  <c:v>2.7949999999999999</c:v>
                </c:pt>
                <c:pt idx="514">
                  <c:v>2.8050000000000002</c:v>
                </c:pt>
                <c:pt idx="515">
                  <c:v>2.8149999999999999</c:v>
                </c:pt>
                <c:pt idx="516">
                  <c:v>2.8250000000000002</c:v>
                </c:pt>
                <c:pt idx="517">
                  <c:v>2.83</c:v>
                </c:pt>
                <c:pt idx="518">
                  <c:v>2.8400000000000003</c:v>
                </c:pt>
                <c:pt idx="519">
                  <c:v>2.8450000000000002</c:v>
                </c:pt>
                <c:pt idx="520">
                  <c:v>2.855</c:v>
                </c:pt>
                <c:pt idx="521">
                  <c:v>2.86</c:v>
                </c:pt>
                <c:pt idx="522">
                  <c:v>2.8650000000000002</c:v>
                </c:pt>
                <c:pt idx="523">
                  <c:v>2.87</c:v>
                </c:pt>
                <c:pt idx="524">
                  <c:v>2.875</c:v>
                </c:pt>
                <c:pt idx="525">
                  <c:v>2.88</c:v>
                </c:pt>
                <c:pt idx="526">
                  <c:v>2.8850000000000002</c:v>
                </c:pt>
                <c:pt idx="527">
                  <c:v>2.89</c:v>
                </c:pt>
                <c:pt idx="528">
                  <c:v>2.895</c:v>
                </c:pt>
                <c:pt idx="529">
                  <c:v>2.9</c:v>
                </c:pt>
                <c:pt idx="530">
                  <c:v>2.9050000000000002</c:v>
                </c:pt>
                <c:pt idx="531">
                  <c:v>2.91</c:v>
                </c:pt>
                <c:pt idx="532">
                  <c:v>2.915</c:v>
                </c:pt>
                <c:pt idx="533">
                  <c:v>2.92</c:v>
                </c:pt>
                <c:pt idx="534">
                  <c:v>2.9250000000000003</c:v>
                </c:pt>
                <c:pt idx="535">
                  <c:v>2.93</c:v>
                </c:pt>
                <c:pt idx="536">
                  <c:v>2.9350000000000001</c:v>
                </c:pt>
                <c:pt idx="537">
                  <c:v>2.94</c:v>
                </c:pt>
                <c:pt idx="538">
                  <c:v>2.9450000000000003</c:v>
                </c:pt>
                <c:pt idx="539">
                  <c:v>2.95</c:v>
                </c:pt>
                <c:pt idx="540">
                  <c:v>2.9550000000000001</c:v>
                </c:pt>
                <c:pt idx="541">
                  <c:v>2.9650000000000003</c:v>
                </c:pt>
                <c:pt idx="542">
                  <c:v>2.97</c:v>
                </c:pt>
                <c:pt idx="543">
                  <c:v>2.9750000000000001</c:v>
                </c:pt>
                <c:pt idx="544">
                  <c:v>2.98</c:v>
                </c:pt>
                <c:pt idx="545">
                  <c:v>2.9849999999999999</c:v>
                </c:pt>
                <c:pt idx="546">
                  <c:v>2.99</c:v>
                </c:pt>
                <c:pt idx="547">
                  <c:v>2.9950000000000001</c:v>
                </c:pt>
                <c:pt idx="548">
                  <c:v>3</c:v>
                </c:pt>
                <c:pt idx="549">
                  <c:v>3.0049999999999999</c:v>
                </c:pt>
                <c:pt idx="550">
                  <c:v>3.0100000000000002</c:v>
                </c:pt>
                <c:pt idx="551">
                  <c:v>3.0150000000000001</c:v>
                </c:pt>
                <c:pt idx="552">
                  <c:v>3.02</c:v>
                </c:pt>
                <c:pt idx="553">
                  <c:v>3.0249999999999999</c:v>
                </c:pt>
                <c:pt idx="554">
                  <c:v>3.0300000000000002</c:v>
                </c:pt>
                <c:pt idx="555">
                  <c:v>3.0350000000000001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3.0500000000000003</c:v>
                </c:pt>
                <c:pt idx="559">
                  <c:v>3.0550000000000002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3.0700000000000003</c:v>
                </c:pt>
                <c:pt idx="563">
                  <c:v>3.0750000000000002</c:v>
                </c:pt>
                <c:pt idx="564">
                  <c:v>3.08</c:v>
                </c:pt>
                <c:pt idx="565">
                  <c:v>3.085</c:v>
                </c:pt>
                <c:pt idx="566">
                  <c:v>3.0900000000000003</c:v>
                </c:pt>
                <c:pt idx="567">
                  <c:v>3.0950000000000002</c:v>
                </c:pt>
                <c:pt idx="568">
                  <c:v>3.1</c:v>
                </c:pt>
                <c:pt idx="569">
                  <c:v>3.105</c:v>
                </c:pt>
                <c:pt idx="570">
                  <c:v>3.11</c:v>
                </c:pt>
                <c:pt idx="571">
                  <c:v>3.1150000000000002</c:v>
                </c:pt>
                <c:pt idx="572">
                  <c:v>3.125</c:v>
                </c:pt>
                <c:pt idx="573">
                  <c:v>3.14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3.17</c:v>
                </c:pt>
                <c:pt idx="579">
                  <c:v>3.1750000000000003</c:v>
                </c:pt>
                <c:pt idx="580">
                  <c:v>3.18</c:v>
                </c:pt>
                <c:pt idx="581">
                  <c:v>3.1850000000000001</c:v>
                </c:pt>
                <c:pt idx="582">
                  <c:v>3.19</c:v>
                </c:pt>
                <c:pt idx="583">
                  <c:v>3.1950000000000003</c:v>
                </c:pt>
                <c:pt idx="584">
                  <c:v>3.2</c:v>
                </c:pt>
                <c:pt idx="585">
                  <c:v>3.2050000000000001</c:v>
                </c:pt>
                <c:pt idx="586">
                  <c:v>3.2150000000000003</c:v>
                </c:pt>
                <c:pt idx="587">
                  <c:v>3.22</c:v>
                </c:pt>
                <c:pt idx="588">
                  <c:v>3.2250000000000001</c:v>
                </c:pt>
                <c:pt idx="589">
                  <c:v>3.23</c:v>
                </c:pt>
                <c:pt idx="590">
                  <c:v>3.2349999999999999</c:v>
                </c:pt>
                <c:pt idx="591">
                  <c:v>3.24</c:v>
                </c:pt>
                <c:pt idx="592">
                  <c:v>3.2450000000000001</c:v>
                </c:pt>
                <c:pt idx="593">
                  <c:v>3.25</c:v>
                </c:pt>
                <c:pt idx="594">
                  <c:v>3.2549999999999999</c:v>
                </c:pt>
                <c:pt idx="595">
                  <c:v>3.2600000000000002</c:v>
                </c:pt>
                <c:pt idx="596">
                  <c:v>3.2650000000000001</c:v>
                </c:pt>
                <c:pt idx="597">
                  <c:v>3.27</c:v>
                </c:pt>
                <c:pt idx="598">
                  <c:v>3.2749999999999999</c:v>
                </c:pt>
                <c:pt idx="599">
                  <c:v>3.2800000000000002</c:v>
                </c:pt>
                <c:pt idx="600">
                  <c:v>3.2850000000000001</c:v>
                </c:pt>
                <c:pt idx="601">
                  <c:v>3.29</c:v>
                </c:pt>
                <c:pt idx="602">
                  <c:v>3.2949999999999999</c:v>
                </c:pt>
                <c:pt idx="603">
                  <c:v>3.3000000000000003</c:v>
                </c:pt>
                <c:pt idx="604">
                  <c:v>3.3050000000000002</c:v>
                </c:pt>
                <c:pt idx="605">
                  <c:v>3.31</c:v>
                </c:pt>
                <c:pt idx="606">
                  <c:v>3.3149999999999999</c:v>
                </c:pt>
                <c:pt idx="607">
                  <c:v>3.3200000000000003</c:v>
                </c:pt>
                <c:pt idx="608">
                  <c:v>3.3250000000000002</c:v>
                </c:pt>
                <c:pt idx="609">
                  <c:v>3.33</c:v>
                </c:pt>
                <c:pt idx="610">
                  <c:v>3.335</c:v>
                </c:pt>
                <c:pt idx="611">
                  <c:v>3.3400000000000003</c:v>
                </c:pt>
              </c:numCache>
            </c:numRef>
          </c:xVal>
          <c:yVal>
            <c:numRef>
              <c:f>TEST!$D$7:$D$5001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6.6</c:v>
                </c:pt>
                <c:pt idx="4">
                  <c:v>11</c:v>
                </c:pt>
                <c:pt idx="5">
                  <c:v>14.8</c:v>
                </c:pt>
                <c:pt idx="6">
                  <c:v>19.899999999999999</c:v>
                </c:pt>
                <c:pt idx="7">
                  <c:v>24.6</c:v>
                </c:pt>
                <c:pt idx="8">
                  <c:v>30.9</c:v>
                </c:pt>
                <c:pt idx="9">
                  <c:v>35.200000000000003</c:v>
                </c:pt>
                <c:pt idx="10">
                  <c:v>42.6</c:v>
                </c:pt>
                <c:pt idx="11">
                  <c:v>45.1</c:v>
                </c:pt>
                <c:pt idx="12">
                  <c:v>49.4</c:v>
                </c:pt>
                <c:pt idx="13">
                  <c:v>53.1</c:v>
                </c:pt>
                <c:pt idx="14">
                  <c:v>54.5</c:v>
                </c:pt>
                <c:pt idx="15">
                  <c:v>55.4</c:v>
                </c:pt>
                <c:pt idx="16">
                  <c:v>55.9</c:v>
                </c:pt>
                <c:pt idx="17">
                  <c:v>56.3</c:v>
                </c:pt>
                <c:pt idx="18">
                  <c:v>56.3</c:v>
                </c:pt>
                <c:pt idx="19">
                  <c:v>56.5</c:v>
                </c:pt>
                <c:pt idx="20">
                  <c:v>56.6</c:v>
                </c:pt>
                <c:pt idx="21">
                  <c:v>56.9</c:v>
                </c:pt>
                <c:pt idx="22">
                  <c:v>56.9</c:v>
                </c:pt>
                <c:pt idx="23">
                  <c:v>57.1</c:v>
                </c:pt>
                <c:pt idx="24">
                  <c:v>57.2</c:v>
                </c:pt>
                <c:pt idx="25">
                  <c:v>57.5</c:v>
                </c:pt>
                <c:pt idx="26">
                  <c:v>57.8</c:v>
                </c:pt>
                <c:pt idx="27">
                  <c:v>57.5</c:v>
                </c:pt>
                <c:pt idx="28">
                  <c:v>57.5</c:v>
                </c:pt>
                <c:pt idx="29">
                  <c:v>57.8</c:v>
                </c:pt>
                <c:pt idx="30">
                  <c:v>57.9</c:v>
                </c:pt>
                <c:pt idx="31">
                  <c:v>58</c:v>
                </c:pt>
                <c:pt idx="32">
                  <c:v>58.1</c:v>
                </c:pt>
                <c:pt idx="33">
                  <c:v>58.3</c:v>
                </c:pt>
                <c:pt idx="34">
                  <c:v>58.4</c:v>
                </c:pt>
                <c:pt idx="35">
                  <c:v>58.6</c:v>
                </c:pt>
                <c:pt idx="36">
                  <c:v>58.6</c:v>
                </c:pt>
                <c:pt idx="37">
                  <c:v>58.9</c:v>
                </c:pt>
                <c:pt idx="38">
                  <c:v>59</c:v>
                </c:pt>
                <c:pt idx="39">
                  <c:v>59.1</c:v>
                </c:pt>
                <c:pt idx="40">
                  <c:v>59.2</c:v>
                </c:pt>
                <c:pt idx="41">
                  <c:v>59.5</c:v>
                </c:pt>
                <c:pt idx="42">
                  <c:v>59.7</c:v>
                </c:pt>
                <c:pt idx="43">
                  <c:v>59.9</c:v>
                </c:pt>
                <c:pt idx="44">
                  <c:v>60.1</c:v>
                </c:pt>
                <c:pt idx="45">
                  <c:v>60.1</c:v>
                </c:pt>
                <c:pt idx="46">
                  <c:v>60.3</c:v>
                </c:pt>
                <c:pt idx="47">
                  <c:v>60.6</c:v>
                </c:pt>
                <c:pt idx="48">
                  <c:v>60.7</c:v>
                </c:pt>
                <c:pt idx="49">
                  <c:v>60.7</c:v>
                </c:pt>
                <c:pt idx="50">
                  <c:v>60.8</c:v>
                </c:pt>
                <c:pt idx="51">
                  <c:v>61</c:v>
                </c:pt>
                <c:pt idx="52">
                  <c:v>61.1</c:v>
                </c:pt>
                <c:pt idx="53">
                  <c:v>61.2</c:v>
                </c:pt>
                <c:pt idx="54">
                  <c:v>61.2</c:v>
                </c:pt>
                <c:pt idx="55">
                  <c:v>61.4</c:v>
                </c:pt>
                <c:pt idx="56">
                  <c:v>61.6</c:v>
                </c:pt>
                <c:pt idx="57">
                  <c:v>61.7</c:v>
                </c:pt>
                <c:pt idx="58">
                  <c:v>61.8</c:v>
                </c:pt>
                <c:pt idx="59">
                  <c:v>61.8</c:v>
                </c:pt>
                <c:pt idx="60">
                  <c:v>62.1</c:v>
                </c:pt>
                <c:pt idx="61">
                  <c:v>62</c:v>
                </c:pt>
                <c:pt idx="62">
                  <c:v>62</c:v>
                </c:pt>
                <c:pt idx="63">
                  <c:v>62.4</c:v>
                </c:pt>
                <c:pt idx="64">
                  <c:v>62.7</c:v>
                </c:pt>
                <c:pt idx="65">
                  <c:v>62.9</c:v>
                </c:pt>
                <c:pt idx="66">
                  <c:v>63</c:v>
                </c:pt>
                <c:pt idx="67">
                  <c:v>63.3</c:v>
                </c:pt>
                <c:pt idx="68">
                  <c:v>63.3</c:v>
                </c:pt>
                <c:pt idx="69">
                  <c:v>63.4</c:v>
                </c:pt>
                <c:pt idx="70">
                  <c:v>63.5</c:v>
                </c:pt>
                <c:pt idx="71">
                  <c:v>63.5</c:v>
                </c:pt>
                <c:pt idx="72">
                  <c:v>63.7</c:v>
                </c:pt>
                <c:pt idx="73">
                  <c:v>63.9</c:v>
                </c:pt>
                <c:pt idx="74">
                  <c:v>64</c:v>
                </c:pt>
                <c:pt idx="75">
                  <c:v>64</c:v>
                </c:pt>
                <c:pt idx="76">
                  <c:v>64.099999999999994</c:v>
                </c:pt>
                <c:pt idx="77">
                  <c:v>64.2</c:v>
                </c:pt>
                <c:pt idx="78">
                  <c:v>64.099999999999994</c:v>
                </c:pt>
                <c:pt idx="79">
                  <c:v>64</c:v>
                </c:pt>
                <c:pt idx="80">
                  <c:v>63.8</c:v>
                </c:pt>
                <c:pt idx="81">
                  <c:v>64.099999999999994</c:v>
                </c:pt>
                <c:pt idx="82">
                  <c:v>64</c:v>
                </c:pt>
                <c:pt idx="83">
                  <c:v>64.099999999999994</c:v>
                </c:pt>
                <c:pt idx="84">
                  <c:v>64.3</c:v>
                </c:pt>
                <c:pt idx="85">
                  <c:v>64.3</c:v>
                </c:pt>
                <c:pt idx="86">
                  <c:v>64.3</c:v>
                </c:pt>
                <c:pt idx="87">
                  <c:v>64.2</c:v>
                </c:pt>
                <c:pt idx="88">
                  <c:v>64.099999999999994</c:v>
                </c:pt>
                <c:pt idx="89">
                  <c:v>64.2</c:v>
                </c:pt>
                <c:pt idx="90">
                  <c:v>64.2</c:v>
                </c:pt>
                <c:pt idx="91">
                  <c:v>64.099999999999994</c:v>
                </c:pt>
                <c:pt idx="92">
                  <c:v>64</c:v>
                </c:pt>
                <c:pt idx="93">
                  <c:v>63.9</c:v>
                </c:pt>
                <c:pt idx="94">
                  <c:v>63.9</c:v>
                </c:pt>
                <c:pt idx="95">
                  <c:v>64</c:v>
                </c:pt>
                <c:pt idx="96">
                  <c:v>64</c:v>
                </c:pt>
                <c:pt idx="97">
                  <c:v>63.6</c:v>
                </c:pt>
                <c:pt idx="98">
                  <c:v>63.3</c:v>
                </c:pt>
                <c:pt idx="99">
                  <c:v>63.3</c:v>
                </c:pt>
                <c:pt idx="100">
                  <c:v>63</c:v>
                </c:pt>
                <c:pt idx="101">
                  <c:v>62.6</c:v>
                </c:pt>
                <c:pt idx="102">
                  <c:v>62.6</c:v>
                </c:pt>
                <c:pt idx="103">
                  <c:v>62.5</c:v>
                </c:pt>
                <c:pt idx="104">
                  <c:v>62.4</c:v>
                </c:pt>
                <c:pt idx="105">
                  <c:v>62.3</c:v>
                </c:pt>
                <c:pt idx="106">
                  <c:v>62.2</c:v>
                </c:pt>
                <c:pt idx="107">
                  <c:v>62</c:v>
                </c:pt>
                <c:pt idx="108">
                  <c:v>62</c:v>
                </c:pt>
                <c:pt idx="109">
                  <c:v>61.7</c:v>
                </c:pt>
                <c:pt idx="110">
                  <c:v>61.6</c:v>
                </c:pt>
                <c:pt idx="111">
                  <c:v>61.6</c:v>
                </c:pt>
                <c:pt idx="112">
                  <c:v>61.4</c:v>
                </c:pt>
                <c:pt idx="113">
                  <c:v>61.3</c:v>
                </c:pt>
                <c:pt idx="114">
                  <c:v>61.2</c:v>
                </c:pt>
                <c:pt idx="115">
                  <c:v>61</c:v>
                </c:pt>
                <c:pt idx="116">
                  <c:v>60.9</c:v>
                </c:pt>
                <c:pt idx="117">
                  <c:v>60.7</c:v>
                </c:pt>
                <c:pt idx="118">
                  <c:v>60.5</c:v>
                </c:pt>
                <c:pt idx="119">
                  <c:v>60.4</c:v>
                </c:pt>
                <c:pt idx="120">
                  <c:v>60.3</c:v>
                </c:pt>
                <c:pt idx="121">
                  <c:v>60.3</c:v>
                </c:pt>
                <c:pt idx="122">
                  <c:v>60.3</c:v>
                </c:pt>
                <c:pt idx="123">
                  <c:v>60.3</c:v>
                </c:pt>
                <c:pt idx="124">
                  <c:v>60.1</c:v>
                </c:pt>
                <c:pt idx="125">
                  <c:v>59.9</c:v>
                </c:pt>
                <c:pt idx="126">
                  <c:v>59.5</c:v>
                </c:pt>
                <c:pt idx="127">
                  <c:v>59.4</c:v>
                </c:pt>
                <c:pt idx="128">
                  <c:v>59.2</c:v>
                </c:pt>
                <c:pt idx="129">
                  <c:v>59.1</c:v>
                </c:pt>
                <c:pt idx="130">
                  <c:v>58.9</c:v>
                </c:pt>
                <c:pt idx="131">
                  <c:v>58.8</c:v>
                </c:pt>
                <c:pt idx="132">
                  <c:v>58.6</c:v>
                </c:pt>
                <c:pt idx="133">
                  <c:v>58.4</c:v>
                </c:pt>
                <c:pt idx="134">
                  <c:v>58.4</c:v>
                </c:pt>
                <c:pt idx="135">
                  <c:v>58.3</c:v>
                </c:pt>
                <c:pt idx="136">
                  <c:v>58.3</c:v>
                </c:pt>
                <c:pt idx="137">
                  <c:v>58.2</c:v>
                </c:pt>
                <c:pt idx="138">
                  <c:v>58</c:v>
                </c:pt>
                <c:pt idx="139">
                  <c:v>57.9</c:v>
                </c:pt>
                <c:pt idx="140">
                  <c:v>57.6</c:v>
                </c:pt>
                <c:pt idx="141">
                  <c:v>57.4</c:v>
                </c:pt>
                <c:pt idx="142">
                  <c:v>57.1</c:v>
                </c:pt>
                <c:pt idx="143">
                  <c:v>56.9</c:v>
                </c:pt>
                <c:pt idx="144">
                  <c:v>56.8</c:v>
                </c:pt>
                <c:pt idx="145">
                  <c:v>56.6</c:v>
                </c:pt>
                <c:pt idx="146">
                  <c:v>56.5</c:v>
                </c:pt>
                <c:pt idx="147">
                  <c:v>56.3</c:v>
                </c:pt>
                <c:pt idx="148">
                  <c:v>56.1</c:v>
                </c:pt>
                <c:pt idx="149">
                  <c:v>56.1</c:v>
                </c:pt>
                <c:pt idx="150">
                  <c:v>56</c:v>
                </c:pt>
                <c:pt idx="151">
                  <c:v>56</c:v>
                </c:pt>
                <c:pt idx="152">
                  <c:v>55.8</c:v>
                </c:pt>
                <c:pt idx="153">
                  <c:v>55.6</c:v>
                </c:pt>
                <c:pt idx="154">
                  <c:v>55.3</c:v>
                </c:pt>
                <c:pt idx="155">
                  <c:v>55.2</c:v>
                </c:pt>
                <c:pt idx="156">
                  <c:v>55</c:v>
                </c:pt>
                <c:pt idx="157">
                  <c:v>54.8</c:v>
                </c:pt>
                <c:pt idx="158">
                  <c:v>54.8</c:v>
                </c:pt>
                <c:pt idx="159">
                  <c:v>54.7</c:v>
                </c:pt>
                <c:pt idx="160">
                  <c:v>54.5</c:v>
                </c:pt>
                <c:pt idx="161">
                  <c:v>54.4</c:v>
                </c:pt>
                <c:pt idx="162">
                  <c:v>54.3</c:v>
                </c:pt>
                <c:pt idx="163">
                  <c:v>54.1</c:v>
                </c:pt>
                <c:pt idx="164">
                  <c:v>54.1</c:v>
                </c:pt>
                <c:pt idx="165">
                  <c:v>54.1</c:v>
                </c:pt>
                <c:pt idx="166">
                  <c:v>53.9</c:v>
                </c:pt>
                <c:pt idx="167">
                  <c:v>53.8</c:v>
                </c:pt>
                <c:pt idx="168">
                  <c:v>53.7</c:v>
                </c:pt>
                <c:pt idx="169">
                  <c:v>53.7</c:v>
                </c:pt>
                <c:pt idx="170">
                  <c:v>53.5</c:v>
                </c:pt>
                <c:pt idx="171">
                  <c:v>53.6</c:v>
                </c:pt>
                <c:pt idx="172">
                  <c:v>53.4</c:v>
                </c:pt>
                <c:pt idx="173">
                  <c:v>53.2</c:v>
                </c:pt>
                <c:pt idx="174">
                  <c:v>53</c:v>
                </c:pt>
                <c:pt idx="175">
                  <c:v>53</c:v>
                </c:pt>
                <c:pt idx="176">
                  <c:v>52.7</c:v>
                </c:pt>
                <c:pt idx="177">
                  <c:v>52.4</c:v>
                </c:pt>
                <c:pt idx="178">
                  <c:v>52.4</c:v>
                </c:pt>
                <c:pt idx="179">
                  <c:v>52.3</c:v>
                </c:pt>
                <c:pt idx="180">
                  <c:v>52.2</c:v>
                </c:pt>
                <c:pt idx="181">
                  <c:v>51.9</c:v>
                </c:pt>
                <c:pt idx="182">
                  <c:v>51.6</c:v>
                </c:pt>
                <c:pt idx="183">
                  <c:v>51.4</c:v>
                </c:pt>
                <c:pt idx="184">
                  <c:v>51.4</c:v>
                </c:pt>
                <c:pt idx="185">
                  <c:v>51.2</c:v>
                </c:pt>
                <c:pt idx="186">
                  <c:v>51.1</c:v>
                </c:pt>
                <c:pt idx="187">
                  <c:v>51</c:v>
                </c:pt>
                <c:pt idx="188">
                  <c:v>51</c:v>
                </c:pt>
                <c:pt idx="189">
                  <c:v>50.6</c:v>
                </c:pt>
                <c:pt idx="190">
                  <c:v>50.3</c:v>
                </c:pt>
                <c:pt idx="191">
                  <c:v>50.2</c:v>
                </c:pt>
                <c:pt idx="192">
                  <c:v>49.9</c:v>
                </c:pt>
                <c:pt idx="193">
                  <c:v>49.6</c:v>
                </c:pt>
                <c:pt idx="194">
                  <c:v>49.5</c:v>
                </c:pt>
                <c:pt idx="195">
                  <c:v>49.2</c:v>
                </c:pt>
                <c:pt idx="196">
                  <c:v>49</c:v>
                </c:pt>
                <c:pt idx="197">
                  <c:v>48.9</c:v>
                </c:pt>
                <c:pt idx="198">
                  <c:v>48.8</c:v>
                </c:pt>
                <c:pt idx="199">
                  <c:v>48.6</c:v>
                </c:pt>
                <c:pt idx="200">
                  <c:v>48.7</c:v>
                </c:pt>
                <c:pt idx="201">
                  <c:v>48.5</c:v>
                </c:pt>
                <c:pt idx="202">
                  <c:v>48.2</c:v>
                </c:pt>
                <c:pt idx="203">
                  <c:v>47.9</c:v>
                </c:pt>
                <c:pt idx="204">
                  <c:v>47.7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47.4</c:v>
                </c:pt>
                <c:pt idx="209">
                  <c:v>47.4</c:v>
                </c:pt>
                <c:pt idx="210">
                  <c:v>47.1</c:v>
                </c:pt>
                <c:pt idx="211">
                  <c:v>47</c:v>
                </c:pt>
                <c:pt idx="212">
                  <c:v>46.9</c:v>
                </c:pt>
                <c:pt idx="213">
                  <c:v>46.7</c:v>
                </c:pt>
                <c:pt idx="214">
                  <c:v>46.4</c:v>
                </c:pt>
                <c:pt idx="215">
                  <c:v>46</c:v>
                </c:pt>
                <c:pt idx="216">
                  <c:v>45.7</c:v>
                </c:pt>
                <c:pt idx="217">
                  <c:v>45.6</c:v>
                </c:pt>
                <c:pt idx="218">
                  <c:v>45.5</c:v>
                </c:pt>
                <c:pt idx="219">
                  <c:v>45.4</c:v>
                </c:pt>
                <c:pt idx="220">
                  <c:v>45.2</c:v>
                </c:pt>
                <c:pt idx="221">
                  <c:v>45.1</c:v>
                </c:pt>
                <c:pt idx="222">
                  <c:v>44.9</c:v>
                </c:pt>
                <c:pt idx="223">
                  <c:v>44.9</c:v>
                </c:pt>
                <c:pt idx="224">
                  <c:v>44.8</c:v>
                </c:pt>
                <c:pt idx="225">
                  <c:v>44.6</c:v>
                </c:pt>
                <c:pt idx="226">
                  <c:v>44.7</c:v>
                </c:pt>
                <c:pt idx="227">
                  <c:v>44.6</c:v>
                </c:pt>
                <c:pt idx="228">
                  <c:v>44.4</c:v>
                </c:pt>
                <c:pt idx="229">
                  <c:v>44.2</c:v>
                </c:pt>
                <c:pt idx="230">
                  <c:v>44.2</c:v>
                </c:pt>
                <c:pt idx="231">
                  <c:v>44.3</c:v>
                </c:pt>
                <c:pt idx="232">
                  <c:v>44.3</c:v>
                </c:pt>
                <c:pt idx="233">
                  <c:v>44.2</c:v>
                </c:pt>
                <c:pt idx="234">
                  <c:v>44.3</c:v>
                </c:pt>
                <c:pt idx="235">
                  <c:v>44.1</c:v>
                </c:pt>
                <c:pt idx="236">
                  <c:v>43.9</c:v>
                </c:pt>
                <c:pt idx="237">
                  <c:v>43.8</c:v>
                </c:pt>
                <c:pt idx="238">
                  <c:v>43.9</c:v>
                </c:pt>
                <c:pt idx="239">
                  <c:v>43.8</c:v>
                </c:pt>
                <c:pt idx="240">
                  <c:v>43.5</c:v>
                </c:pt>
                <c:pt idx="241">
                  <c:v>43.4</c:v>
                </c:pt>
                <c:pt idx="242">
                  <c:v>43.5</c:v>
                </c:pt>
                <c:pt idx="243">
                  <c:v>43.4</c:v>
                </c:pt>
                <c:pt idx="244">
                  <c:v>43.5</c:v>
                </c:pt>
                <c:pt idx="245">
                  <c:v>43.6</c:v>
                </c:pt>
                <c:pt idx="246">
                  <c:v>43.4</c:v>
                </c:pt>
                <c:pt idx="247">
                  <c:v>43.5</c:v>
                </c:pt>
                <c:pt idx="248">
                  <c:v>43.4</c:v>
                </c:pt>
                <c:pt idx="249">
                  <c:v>43.5</c:v>
                </c:pt>
                <c:pt idx="250">
                  <c:v>43.7</c:v>
                </c:pt>
                <c:pt idx="251">
                  <c:v>43.8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44.2</c:v>
                </c:pt>
                <c:pt idx="265">
                  <c:v>44.5</c:v>
                </c:pt>
                <c:pt idx="266">
                  <c:v>44.8</c:v>
                </c:pt>
                <c:pt idx="267">
                  <c:v>44.5</c:v>
                </c:pt>
                <c:pt idx="268">
                  <c:v>44.5</c:v>
                </c:pt>
                <c:pt idx="269">
                  <c:v>44.6</c:v>
                </c:pt>
                <c:pt idx="270">
                  <c:v>44.8</c:v>
                </c:pt>
                <c:pt idx="271">
                  <c:v>44.7</c:v>
                </c:pt>
                <c:pt idx="272">
                  <c:v>44.9</c:v>
                </c:pt>
                <c:pt idx="273">
                  <c:v>44.9</c:v>
                </c:pt>
                <c:pt idx="274">
                  <c:v>45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45.3</c:v>
                </c:pt>
                <c:pt idx="279">
                  <c:v>45.3</c:v>
                </c:pt>
                <c:pt idx="280">
                  <c:v>45.2</c:v>
                </c:pt>
                <c:pt idx="281">
                  <c:v>45.3</c:v>
                </c:pt>
                <c:pt idx="282">
                  <c:v>45.3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45.2</c:v>
                </c:pt>
                <c:pt idx="287">
                  <c:v>45.1</c:v>
                </c:pt>
                <c:pt idx="288">
                  <c:v>45</c:v>
                </c:pt>
                <c:pt idx="289">
                  <c:v>45</c:v>
                </c:pt>
                <c:pt idx="290">
                  <c:v>45.3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45.4</c:v>
                </c:pt>
                <c:pt idx="295">
                  <c:v>45.3</c:v>
                </c:pt>
                <c:pt idx="296">
                  <c:v>45.1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45.3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45.3</c:v>
                </c:pt>
                <c:pt idx="307">
                  <c:v>45.4</c:v>
                </c:pt>
                <c:pt idx="308">
                  <c:v>45.4</c:v>
                </c:pt>
                <c:pt idx="309">
                  <c:v>45.3</c:v>
                </c:pt>
                <c:pt idx="310">
                  <c:v>45.5</c:v>
                </c:pt>
                <c:pt idx="311">
                  <c:v>45.6</c:v>
                </c:pt>
                <c:pt idx="312">
                  <c:v>45.5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45.5</c:v>
                </c:pt>
                <c:pt idx="317">
                  <c:v>45.6</c:v>
                </c:pt>
                <c:pt idx="318">
                  <c:v>45.6</c:v>
                </c:pt>
                <c:pt idx="319">
                  <c:v>45.7</c:v>
                </c:pt>
                <c:pt idx="320">
                  <c:v>45.8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45.9</c:v>
                </c:pt>
                <c:pt idx="329">
                  <c:v>46.1</c:v>
                </c:pt>
                <c:pt idx="330">
                  <c:v>46.1</c:v>
                </c:pt>
                <c:pt idx="331">
                  <c:v>46.2</c:v>
                </c:pt>
                <c:pt idx="332">
                  <c:v>46.1</c:v>
                </c:pt>
                <c:pt idx="333">
                  <c:v>46.3</c:v>
                </c:pt>
                <c:pt idx="334">
                  <c:v>46.3</c:v>
                </c:pt>
                <c:pt idx="335">
                  <c:v>46</c:v>
                </c:pt>
                <c:pt idx="336">
                  <c:v>46.2</c:v>
                </c:pt>
                <c:pt idx="337">
                  <c:v>46.2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</c:v>
                </c:pt>
                <c:pt idx="343">
                  <c:v>46.1</c:v>
                </c:pt>
                <c:pt idx="344">
                  <c:v>46.1</c:v>
                </c:pt>
                <c:pt idx="345">
                  <c:v>46.2</c:v>
                </c:pt>
                <c:pt idx="346">
                  <c:v>46.2</c:v>
                </c:pt>
                <c:pt idx="347">
                  <c:v>46.3</c:v>
                </c:pt>
                <c:pt idx="348">
                  <c:v>46.4</c:v>
                </c:pt>
                <c:pt idx="349">
                  <c:v>46.5</c:v>
                </c:pt>
                <c:pt idx="350">
                  <c:v>46.5</c:v>
                </c:pt>
                <c:pt idx="351">
                  <c:v>46.4</c:v>
                </c:pt>
                <c:pt idx="352">
                  <c:v>46.4</c:v>
                </c:pt>
                <c:pt idx="353">
                  <c:v>46.4</c:v>
                </c:pt>
                <c:pt idx="354">
                  <c:v>46.3</c:v>
                </c:pt>
                <c:pt idx="355">
                  <c:v>46.3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46.5</c:v>
                </c:pt>
                <c:pt idx="360">
                  <c:v>46.6</c:v>
                </c:pt>
                <c:pt idx="361">
                  <c:v>46.6</c:v>
                </c:pt>
                <c:pt idx="362">
                  <c:v>46.7</c:v>
                </c:pt>
                <c:pt idx="363">
                  <c:v>46.8</c:v>
                </c:pt>
                <c:pt idx="364">
                  <c:v>46.9</c:v>
                </c:pt>
                <c:pt idx="365">
                  <c:v>47</c:v>
                </c:pt>
                <c:pt idx="366">
                  <c:v>47</c:v>
                </c:pt>
                <c:pt idx="367">
                  <c:v>47.2</c:v>
                </c:pt>
                <c:pt idx="368">
                  <c:v>47.2</c:v>
                </c:pt>
                <c:pt idx="369">
                  <c:v>47.1</c:v>
                </c:pt>
                <c:pt idx="370">
                  <c:v>47.3</c:v>
                </c:pt>
                <c:pt idx="371">
                  <c:v>47.1</c:v>
                </c:pt>
                <c:pt idx="372">
                  <c:v>47.2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47.4</c:v>
                </c:pt>
                <c:pt idx="378">
                  <c:v>47.4</c:v>
                </c:pt>
                <c:pt idx="379">
                  <c:v>47.2</c:v>
                </c:pt>
                <c:pt idx="380">
                  <c:v>47.1</c:v>
                </c:pt>
                <c:pt idx="381">
                  <c:v>47</c:v>
                </c:pt>
                <c:pt idx="382">
                  <c:v>47</c:v>
                </c:pt>
                <c:pt idx="383">
                  <c:v>47.2</c:v>
                </c:pt>
                <c:pt idx="384">
                  <c:v>47</c:v>
                </c:pt>
                <c:pt idx="385">
                  <c:v>47</c:v>
                </c:pt>
                <c:pt idx="386">
                  <c:v>46.9</c:v>
                </c:pt>
                <c:pt idx="387">
                  <c:v>47</c:v>
                </c:pt>
                <c:pt idx="388">
                  <c:v>47</c:v>
                </c:pt>
                <c:pt idx="389">
                  <c:v>47.2</c:v>
                </c:pt>
                <c:pt idx="390">
                  <c:v>47.4</c:v>
                </c:pt>
                <c:pt idx="391">
                  <c:v>47.6</c:v>
                </c:pt>
                <c:pt idx="392">
                  <c:v>47.7</c:v>
                </c:pt>
                <c:pt idx="393">
                  <c:v>47.7</c:v>
                </c:pt>
                <c:pt idx="394">
                  <c:v>47.8</c:v>
                </c:pt>
                <c:pt idx="395">
                  <c:v>47.9</c:v>
                </c:pt>
                <c:pt idx="396">
                  <c:v>48.1</c:v>
                </c:pt>
                <c:pt idx="397">
                  <c:v>48.2</c:v>
                </c:pt>
                <c:pt idx="398">
                  <c:v>48.5</c:v>
                </c:pt>
                <c:pt idx="399">
                  <c:v>48.5</c:v>
                </c:pt>
                <c:pt idx="400">
                  <c:v>48.8</c:v>
                </c:pt>
                <c:pt idx="401">
                  <c:v>49</c:v>
                </c:pt>
                <c:pt idx="402">
                  <c:v>49.2</c:v>
                </c:pt>
                <c:pt idx="403">
                  <c:v>49.5</c:v>
                </c:pt>
                <c:pt idx="404">
                  <c:v>49.7</c:v>
                </c:pt>
                <c:pt idx="405">
                  <c:v>50.1</c:v>
                </c:pt>
                <c:pt idx="406">
                  <c:v>50.5</c:v>
                </c:pt>
                <c:pt idx="407">
                  <c:v>50.9</c:v>
                </c:pt>
                <c:pt idx="408">
                  <c:v>51.2</c:v>
                </c:pt>
                <c:pt idx="409">
                  <c:v>51.3</c:v>
                </c:pt>
                <c:pt idx="410">
                  <c:v>51.5</c:v>
                </c:pt>
                <c:pt idx="411">
                  <c:v>51.8</c:v>
                </c:pt>
                <c:pt idx="412">
                  <c:v>51.9</c:v>
                </c:pt>
                <c:pt idx="413">
                  <c:v>52.1</c:v>
                </c:pt>
                <c:pt idx="414">
                  <c:v>52.3</c:v>
                </c:pt>
                <c:pt idx="415">
                  <c:v>52.5</c:v>
                </c:pt>
                <c:pt idx="416">
                  <c:v>52.6</c:v>
                </c:pt>
                <c:pt idx="417">
                  <c:v>52.7</c:v>
                </c:pt>
                <c:pt idx="418">
                  <c:v>52.9</c:v>
                </c:pt>
                <c:pt idx="419">
                  <c:v>52.9</c:v>
                </c:pt>
                <c:pt idx="420">
                  <c:v>53.1</c:v>
                </c:pt>
                <c:pt idx="421">
                  <c:v>53.1</c:v>
                </c:pt>
                <c:pt idx="422">
                  <c:v>53.1</c:v>
                </c:pt>
                <c:pt idx="423">
                  <c:v>53.2</c:v>
                </c:pt>
                <c:pt idx="424">
                  <c:v>53.2</c:v>
                </c:pt>
                <c:pt idx="425">
                  <c:v>53.2</c:v>
                </c:pt>
                <c:pt idx="426">
                  <c:v>53.3</c:v>
                </c:pt>
                <c:pt idx="427">
                  <c:v>53.3</c:v>
                </c:pt>
                <c:pt idx="428">
                  <c:v>53.4</c:v>
                </c:pt>
                <c:pt idx="429">
                  <c:v>53.4</c:v>
                </c:pt>
                <c:pt idx="430">
                  <c:v>53.4</c:v>
                </c:pt>
                <c:pt idx="431">
                  <c:v>53.5</c:v>
                </c:pt>
                <c:pt idx="432">
                  <c:v>53.5</c:v>
                </c:pt>
                <c:pt idx="433">
                  <c:v>53.5</c:v>
                </c:pt>
                <c:pt idx="434">
                  <c:v>53.5</c:v>
                </c:pt>
                <c:pt idx="435">
                  <c:v>53.6</c:v>
                </c:pt>
                <c:pt idx="436">
                  <c:v>53.6</c:v>
                </c:pt>
                <c:pt idx="437">
                  <c:v>53.7</c:v>
                </c:pt>
                <c:pt idx="438">
                  <c:v>53.7</c:v>
                </c:pt>
                <c:pt idx="439">
                  <c:v>53.8</c:v>
                </c:pt>
                <c:pt idx="440">
                  <c:v>53.7</c:v>
                </c:pt>
                <c:pt idx="441">
                  <c:v>53.7</c:v>
                </c:pt>
                <c:pt idx="442">
                  <c:v>53.8</c:v>
                </c:pt>
                <c:pt idx="443">
                  <c:v>53.8</c:v>
                </c:pt>
                <c:pt idx="444">
                  <c:v>53.8</c:v>
                </c:pt>
                <c:pt idx="445">
                  <c:v>53.8</c:v>
                </c:pt>
                <c:pt idx="446">
                  <c:v>53.8</c:v>
                </c:pt>
                <c:pt idx="447">
                  <c:v>53.9</c:v>
                </c:pt>
                <c:pt idx="448">
                  <c:v>53.9</c:v>
                </c:pt>
                <c:pt idx="449">
                  <c:v>54</c:v>
                </c:pt>
                <c:pt idx="450">
                  <c:v>54</c:v>
                </c:pt>
                <c:pt idx="451">
                  <c:v>54</c:v>
                </c:pt>
                <c:pt idx="452">
                  <c:v>54.1</c:v>
                </c:pt>
                <c:pt idx="453">
                  <c:v>54.1</c:v>
                </c:pt>
                <c:pt idx="454">
                  <c:v>54.1</c:v>
                </c:pt>
                <c:pt idx="455">
                  <c:v>54.2</c:v>
                </c:pt>
                <c:pt idx="456">
                  <c:v>54.2</c:v>
                </c:pt>
                <c:pt idx="457">
                  <c:v>54.3</c:v>
                </c:pt>
                <c:pt idx="458">
                  <c:v>54.3</c:v>
                </c:pt>
                <c:pt idx="459">
                  <c:v>54.4</c:v>
                </c:pt>
                <c:pt idx="460">
                  <c:v>54.4</c:v>
                </c:pt>
                <c:pt idx="461">
                  <c:v>54.4</c:v>
                </c:pt>
                <c:pt idx="462">
                  <c:v>54.5</c:v>
                </c:pt>
                <c:pt idx="463">
                  <c:v>54.5</c:v>
                </c:pt>
                <c:pt idx="464">
                  <c:v>54.5</c:v>
                </c:pt>
                <c:pt idx="465">
                  <c:v>54.5</c:v>
                </c:pt>
                <c:pt idx="466">
                  <c:v>54.6</c:v>
                </c:pt>
                <c:pt idx="467">
                  <c:v>54.6</c:v>
                </c:pt>
                <c:pt idx="468">
                  <c:v>54.6</c:v>
                </c:pt>
                <c:pt idx="469">
                  <c:v>54.6</c:v>
                </c:pt>
                <c:pt idx="470">
                  <c:v>54.7</c:v>
                </c:pt>
                <c:pt idx="471">
                  <c:v>54.7</c:v>
                </c:pt>
                <c:pt idx="472">
                  <c:v>54.7</c:v>
                </c:pt>
                <c:pt idx="473">
                  <c:v>54.7</c:v>
                </c:pt>
                <c:pt idx="474">
                  <c:v>54.8</c:v>
                </c:pt>
                <c:pt idx="475">
                  <c:v>54.8</c:v>
                </c:pt>
                <c:pt idx="476">
                  <c:v>54.8</c:v>
                </c:pt>
                <c:pt idx="477">
                  <c:v>54.9</c:v>
                </c:pt>
                <c:pt idx="478">
                  <c:v>54.9</c:v>
                </c:pt>
                <c:pt idx="479">
                  <c:v>54.9</c:v>
                </c:pt>
                <c:pt idx="480">
                  <c:v>55</c:v>
                </c:pt>
                <c:pt idx="481">
                  <c:v>55</c:v>
                </c:pt>
                <c:pt idx="482">
                  <c:v>55.1</c:v>
                </c:pt>
                <c:pt idx="483">
                  <c:v>55.1</c:v>
                </c:pt>
                <c:pt idx="484">
                  <c:v>55.2</c:v>
                </c:pt>
                <c:pt idx="485">
                  <c:v>55.2</c:v>
                </c:pt>
                <c:pt idx="486">
                  <c:v>55.2</c:v>
                </c:pt>
                <c:pt idx="487">
                  <c:v>55.2</c:v>
                </c:pt>
                <c:pt idx="488">
                  <c:v>55.2</c:v>
                </c:pt>
                <c:pt idx="489">
                  <c:v>55.2</c:v>
                </c:pt>
                <c:pt idx="490">
                  <c:v>55.2</c:v>
                </c:pt>
                <c:pt idx="491">
                  <c:v>55.3</c:v>
                </c:pt>
                <c:pt idx="492">
                  <c:v>55.4</c:v>
                </c:pt>
                <c:pt idx="493">
                  <c:v>55.4</c:v>
                </c:pt>
                <c:pt idx="494">
                  <c:v>55.5</c:v>
                </c:pt>
                <c:pt idx="495">
                  <c:v>55.4</c:v>
                </c:pt>
                <c:pt idx="496">
                  <c:v>55.5</c:v>
                </c:pt>
                <c:pt idx="497">
                  <c:v>55.5</c:v>
                </c:pt>
                <c:pt idx="498">
                  <c:v>55.5</c:v>
                </c:pt>
                <c:pt idx="499">
                  <c:v>55.6</c:v>
                </c:pt>
                <c:pt idx="500">
                  <c:v>55.6</c:v>
                </c:pt>
                <c:pt idx="501">
                  <c:v>55.7</c:v>
                </c:pt>
                <c:pt idx="502">
                  <c:v>55.7</c:v>
                </c:pt>
                <c:pt idx="503">
                  <c:v>55.7</c:v>
                </c:pt>
                <c:pt idx="504">
                  <c:v>55.7</c:v>
                </c:pt>
                <c:pt idx="505">
                  <c:v>55.8</c:v>
                </c:pt>
                <c:pt idx="506">
                  <c:v>55.8</c:v>
                </c:pt>
                <c:pt idx="507">
                  <c:v>55.9</c:v>
                </c:pt>
                <c:pt idx="508">
                  <c:v>55.9</c:v>
                </c:pt>
                <c:pt idx="509">
                  <c:v>56</c:v>
                </c:pt>
                <c:pt idx="510">
                  <c:v>56</c:v>
                </c:pt>
                <c:pt idx="511">
                  <c:v>56</c:v>
                </c:pt>
                <c:pt idx="512">
                  <c:v>56.2</c:v>
                </c:pt>
                <c:pt idx="513">
                  <c:v>56.2</c:v>
                </c:pt>
                <c:pt idx="514">
                  <c:v>56.2</c:v>
                </c:pt>
                <c:pt idx="515">
                  <c:v>56.3</c:v>
                </c:pt>
                <c:pt idx="516">
                  <c:v>56.3</c:v>
                </c:pt>
                <c:pt idx="517">
                  <c:v>56.4</c:v>
                </c:pt>
                <c:pt idx="518">
                  <c:v>56.4</c:v>
                </c:pt>
                <c:pt idx="519">
                  <c:v>56.5</c:v>
                </c:pt>
                <c:pt idx="520">
                  <c:v>56.6</c:v>
                </c:pt>
                <c:pt idx="521">
                  <c:v>56.6</c:v>
                </c:pt>
                <c:pt idx="522">
                  <c:v>56.7</c:v>
                </c:pt>
                <c:pt idx="523">
                  <c:v>56.7</c:v>
                </c:pt>
                <c:pt idx="524">
                  <c:v>56.7</c:v>
                </c:pt>
                <c:pt idx="525">
                  <c:v>56.7</c:v>
                </c:pt>
                <c:pt idx="526">
                  <c:v>56.7</c:v>
                </c:pt>
                <c:pt idx="527">
                  <c:v>56.8</c:v>
                </c:pt>
                <c:pt idx="528">
                  <c:v>56.8</c:v>
                </c:pt>
                <c:pt idx="529">
                  <c:v>56.8</c:v>
                </c:pt>
                <c:pt idx="530">
                  <c:v>56.9</c:v>
                </c:pt>
                <c:pt idx="531">
                  <c:v>56.9</c:v>
                </c:pt>
                <c:pt idx="532">
                  <c:v>56.9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57.1</c:v>
                </c:pt>
                <c:pt idx="537">
                  <c:v>57.1</c:v>
                </c:pt>
                <c:pt idx="538">
                  <c:v>57.1</c:v>
                </c:pt>
                <c:pt idx="539">
                  <c:v>57.1</c:v>
                </c:pt>
                <c:pt idx="540">
                  <c:v>57.1</c:v>
                </c:pt>
                <c:pt idx="541">
                  <c:v>57.2</c:v>
                </c:pt>
                <c:pt idx="542">
                  <c:v>57.2</c:v>
                </c:pt>
                <c:pt idx="543">
                  <c:v>57.3</c:v>
                </c:pt>
                <c:pt idx="544">
                  <c:v>57.3</c:v>
                </c:pt>
                <c:pt idx="545">
                  <c:v>57.3</c:v>
                </c:pt>
                <c:pt idx="546">
                  <c:v>57.3</c:v>
                </c:pt>
                <c:pt idx="547">
                  <c:v>57.4</c:v>
                </c:pt>
                <c:pt idx="548">
                  <c:v>57.4</c:v>
                </c:pt>
                <c:pt idx="549">
                  <c:v>57.5</c:v>
                </c:pt>
                <c:pt idx="550">
                  <c:v>57.5</c:v>
                </c:pt>
                <c:pt idx="551">
                  <c:v>57.5</c:v>
                </c:pt>
                <c:pt idx="552">
                  <c:v>57.5</c:v>
                </c:pt>
                <c:pt idx="553">
                  <c:v>57.5</c:v>
                </c:pt>
                <c:pt idx="554">
                  <c:v>57.6</c:v>
                </c:pt>
                <c:pt idx="555">
                  <c:v>57.6</c:v>
                </c:pt>
                <c:pt idx="556">
                  <c:v>57.6</c:v>
                </c:pt>
                <c:pt idx="557">
                  <c:v>57.7</c:v>
                </c:pt>
                <c:pt idx="558">
                  <c:v>57.7</c:v>
                </c:pt>
                <c:pt idx="559">
                  <c:v>57.7</c:v>
                </c:pt>
                <c:pt idx="560">
                  <c:v>57.7</c:v>
                </c:pt>
                <c:pt idx="561">
                  <c:v>57.8</c:v>
                </c:pt>
                <c:pt idx="562">
                  <c:v>57.8</c:v>
                </c:pt>
                <c:pt idx="563">
                  <c:v>57.8</c:v>
                </c:pt>
                <c:pt idx="564">
                  <c:v>57.9</c:v>
                </c:pt>
                <c:pt idx="565">
                  <c:v>57.9</c:v>
                </c:pt>
                <c:pt idx="566">
                  <c:v>57.9</c:v>
                </c:pt>
                <c:pt idx="567">
                  <c:v>57.9</c:v>
                </c:pt>
                <c:pt idx="568">
                  <c:v>57.9</c:v>
                </c:pt>
                <c:pt idx="569">
                  <c:v>58</c:v>
                </c:pt>
                <c:pt idx="570">
                  <c:v>58</c:v>
                </c:pt>
                <c:pt idx="571">
                  <c:v>58</c:v>
                </c:pt>
                <c:pt idx="572">
                  <c:v>58.2</c:v>
                </c:pt>
                <c:pt idx="573">
                  <c:v>58.2</c:v>
                </c:pt>
                <c:pt idx="574">
                  <c:v>58.3</c:v>
                </c:pt>
                <c:pt idx="575">
                  <c:v>58.3</c:v>
                </c:pt>
                <c:pt idx="576">
                  <c:v>58.3</c:v>
                </c:pt>
                <c:pt idx="577">
                  <c:v>58.4</c:v>
                </c:pt>
                <c:pt idx="578">
                  <c:v>58.4</c:v>
                </c:pt>
                <c:pt idx="579">
                  <c:v>58.5</c:v>
                </c:pt>
                <c:pt idx="580">
                  <c:v>58.5</c:v>
                </c:pt>
                <c:pt idx="581">
                  <c:v>58.5</c:v>
                </c:pt>
                <c:pt idx="582">
                  <c:v>58.5</c:v>
                </c:pt>
                <c:pt idx="583">
                  <c:v>58.5</c:v>
                </c:pt>
                <c:pt idx="584">
                  <c:v>58.6</c:v>
                </c:pt>
                <c:pt idx="585">
                  <c:v>58.6</c:v>
                </c:pt>
                <c:pt idx="586">
                  <c:v>58.7</c:v>
                </c:pt>
                <c:pt idx="587">
                  <c:v>58.7</c:v>
                </c:pt>
                <c:pt idx="588">
                  <c:v>58.7</c:v>
                </c:pt>
                <c:pt idx="589">
                  <c:v>58.6</c:v>
                </c:pt>
                <c:pt idx="590">
                  <c:v>61.8</c:v>
                </c:pt>
                <c:pt idx="591">
                  <c:v>66.900000000000006</c:v>
                </c:pt>
                <c:pt idx="592">
                  <c:v>71.3</c:v>
                </c:pt>
                <c:pt idx="593">
                  <c:v>74.8</c:v>
                </c:pt>
                <c:pt idx="594">
                  <c:v>81.099999999999994</c:v>
                </c:pt>
                <c:pt idx="595">
                  <c:v>84.5</c:v>
                </c:pt>
                <c:pt idx="596">
                  <c:v>90.7</c:v>
                </c:pt>
                <c:pt idx="597">
                  <c:v>94.6</c:v>
                </c:pt>
                <c:pt idx="598">
                  <c:v>100.3</c:v>
                </c:pt>
                <c:pt idx="599">
                  <c:v>106.9</c:v>
                </c:pt>
                <c:pt idx="600">
                  <c:v>109.7</c:v>
                </c:pt>
                <c:pt idx="601">
                  <c:v>114.5</c:v>
                </c:pt>
                <c:pt idx="602">
                  <c:v>121.5</c:v>
                </c:pt>
                <c:pt idx="603">
                  <c:v>125.1</c:v>
                </c:pt>
                <c:pt idx="604">
                  <c:v>130</c:v>
                </c:pt>
                <c:pt idx="605">
                  <c:v>135.6</c:v>
                </c:pt>
                <c:pt idx="606">
                  <c:v>141.5</c:v>
                </c:pt>
                <c:pt idx="607">
                  <c:v>148.6</c:v>
                </c:pt>
                <c:pt idx="608">
                  <c:v>151.4</c:v>
                </c:pt>
                <c:pt idx="609">
                  <c:v>155.80000000000001</c:v>
                </c:pt>
                <c:pt idx="610">
                  <c:v>161.9</c:v>
                </c:pt>
                <c:pt idx="611">
                  <c:v>167.2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0-43D3-BB7E-2696D0AAA008}"/>
            </c:ext>
          </c:extLst>
        </c:ser>
        <c:ser>
          <c:idx val="1"/>
          <c:order val="1"/>
          <c:tx>
            <c:v>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TEST!$M$21:$M$1001</c:f>
              <c:numCache>
                <c:formatCode>0.000</c:formatCode>
                <c:ptCount val="981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0.12000000000000002</c:v>
                </c:pt>
                <c:pt idx="11">
                  <c:v>0.12500000000000003</c:v>
                </c:pt>
                <c:pt idx="12">
                  <c:v>0.13000000000000003</c:v>
                </c:pt>
                <c:pt idx="13">
                  <c:v>0.13499999999999998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0.19000000000000003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0.31500000000000006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0.41499999999999992</c:v>
                </c:pt>
                <c:pt idx="66">
                  <c:v>0.42499999999999993</c:v>
                </c:pt>
                <c:pt idx="67">
                  <c:v>0.42999999999999994</c:v>
                </c:pt>
                <c:pt idx="68">
                  <c:v>0.43499999999999994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0.53999999999999992</c:v>
                </c:pt>
                <c:pt idx="88">
                  <c:v>0.54499999999999993</c:v>
                </c:pt>
                <c:pt idx="89">
                  <c:v>0.54999999999999993</c:v>
                </c:pt>
                <c:pt idx="90">
                  <c:v>0.55499999999999994</c:v>
                </c:pt>
                <c:pt idx="91">
                  <c:v>0.55999999999999994</c:v>
                </c:pt>
                <c:pt idx="92">
                  <c:v>0.56499999999999995</c:v>
                </c:pt>
                <c:pt idx="93">
                  <c:v>0.56999999999999995</c:v>
                </c:pt>
                <c:pt idx="94">
                  <c:v>0.57499999999999996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0.745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0.78500000000000003</c:v>
                </c:pt>
                <c:pt idx="136">
                  <c:v>0.78999999999999992</c:v>
                </c:pt>
                <c:pt idx="137">
                  <c:v>0.79499999999999993</c:v>
                </c:pt>
                <c:pt idx="138">
                  <c:v>0.79999999999999993</c:v>
                </c:pt>
                <c:pt idx="139">
                  <c:v>0.80499999999999994</c:v>
                </c:pt>
                <c:pt idx="140">
                  <c:v>0.80999999999999994</c:v>
                </c:pt>
                <c:pt idx="141">
                  <c:v>0.81499999999999995</c:v>
                </c:pt>
                <c:pt idx="142">
                  <c:v>0.82</c:v>
                </c:pt>
                <c:pt idx="143">
                  <c:v>0.82499999999999996</c:v>
                </c:pt>
                <c:pt idx="144">
                  <c:v>0.83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</c:v>
                </c:pt>
                <c:pt idx="149">
                  <c:v>0.85499999999999987</c:v>
                </c:pt>
                <c:pt idx="150">
                  <c:v>0.86</c:v>
                </c:pt>
                <c:pt idx="151">
                  <c:v>0.86499999999999988</c:v>
                </c:pt>
                <c:pt idx="152">
                  <c:v>0.87</c:v>
                </c:pt>
                <c:pt idx="153">
                  <c:v>0.87499999999999989</c:v>
                </c:pt>
                <c:pt idx="154">
                  <c:v>0.88</c:v>
                </c:pt>
                <c:pt idx="155">
                  <c:v>0.8849999999999999</c:v>
                </c:pt>
                <c:pt idx="156">
                  <c:v>0.89</c:v>
                </c:pt>
                <c:pt idx="157">
                  <c:v>0.89499999999999991</c:v>
                </c:pt>
                <c:pt idx="158">
                  <c:v>0.9</c:v>
                </c:pt>
                <c:pt idx="159">
                  <c:v>0.90499999999999992</c:v>
                </c:pt>
                <c:pt idx="160">
                  <c:v>0.91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0.94499999999999995</c:v>
                </c:pt>
                <c:pt idx="167">
                  <c:v>0.95000000000000007</c:v>
                </c:pt>
                <c:pt idx="168">
                  <c:v>0.95499999999999996</c:v>
                </c:pt>
                <c:pt idx="169">
                  <c:v>0.96000000000000008</c:v>
                </c:pt>
                <c:pt idx="170">
                  <c:v>0.96499999999999997</c:v>
                </c:pt>
                <c:pt idx="171">
                  <c:v>0.97000000000000008</c:v>
                </c:pt>
                <c:pt idx="172">
                  <c:v>0.97499999999999998</c:v>
                </c:pt>
                <c:pt idx="173">
                  <c:v>0.97999999999999987</c:v>
                </c:pt>
                <c:pt idx="174">
                  <c:v>0.98499999999999999</c:v>
                </c:pt>
                <c:pt idx="175">
                  <c:v>0.98999999999999988</c:v>
                </c:pt>
                <c:pt idx="176">
                  <c:v>0.995</c:v>
                </c:pt>
                <c:pt idx="177">
                  <c:v>0.99999999999999989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1.0850000000000002</c:v>
                </c:pt>
                <c:pt idx="194">
                  <c:v>1.0900000000000001</c:v>
                </c:pt>
                <c:pt idx="195">
                  <c:v>1.0950000000000002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1.125</c:v>
                </c:pt>
                <c:pt idx="201">
                  <c:v>1.1300000000000001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1.1500000000000001</c:v>
                </c:pt>
                <c:pt idx="205">
                  <c:v>1.155</c:v>
                </c:pt>
                <c:pt idx="206">
                  <c:v>1.165</c:v>
                </c:pt>
                <c:pt idx="207">
                  <c:v>1.1700000000000002</c:v>
                </c:pt>
                <c:pt idx="208">
                  <c:v>1.175</c:v>
                </c:pt>
                <c:pt idx="209">
                  <c:v>1.1800000000000002</c:v>
                </c:pt>
                <c:pt idx="210">
                  <c:v>1.1850000000000001</c:v>
                </c:pt>
                <c:pt idx="211">
                  <c:v>1.1900000000000002</c:v>
                </c:pt>
                <c:pt idx="212">
                  <c:v>1.1950000000000001</c:v>
                </c:pt>
                <c:pt idx="213">
                  <c:v>1.2000000000000002</c:v>
                </c:pt>
                <c:pt idx="214">
                  <c:v>1.2050000000000001</c:v>
                </c:pt>
                <c:pt idx="215">
                  <c:v>1.2100000000000002</c:v>
                </c:pt>
                <c:pt idx="216">
                  <c:v>1.2150000000000001</c:v>
                </c:pt>
                <c:pt idx="217">
                  <c:v>1.2200000000000002</c:v>
                </c:pt>
                <c:pt idx="218">
                  <c:v>1.2250000000000001</c:v>
                </c:pt>
                <c:pt idx="219">
                  <c:v>1.23</c:v>
                </c:pt>
                <c:pt idx="220">
                  <c:v>1.2350000000000001</c:v>
                </c:pt>
                <c:pt idx="221">
                  <c:v>1.24</c:v>
                </c:pt>
                <c:pt idx="222">
                  <c:v>1.2450000000000001</c:v>
                </c:pt>
                <c:pt idx="223">
                  <c:v>1.2550000000000001</c:v>
                </c:pt>
                <c:pt idx="224">
                  <c:v>1.26</c:v>
                </c:pt>
                <c:pt idx="225">
                  <c:v>1.2650000000000001</c:v>
                </c:pt>
                <c:pt idx="226">
                  <c:v>1.27</c:v>
                </c:pt>
                <c:pt idx="227">
                  <c:v>1.2750000000000001</c:v>
                </c:pt>
                <c:pt idx="228">
                  <c:v>1.28</c:v>
                </c:pt>
                <c:pt idx="229">
                  <c:v>1.2850000000000001</c:v>
                </c:pt>
                <c:pt idx="230">
                  <c:v>1.29</c:v>
                </c:pt>
                <c:pt idx="231">
                  <c:v>1.2950000000000002</c:v>
                </c:pt>
                <c:pt idx="232">
                  <c:v>1.3</c:v>
                </c:pt>
                <c:pt idx="233">
                  <c:v>1.3050000000000002</c:v>
                </c:pt>
                <c:pt idx="234">
                  <c:v>1.31</c:v>
                </c:pt>
                <c:pt idx="235">
                  <c:v>1.3150000000000002</c:v>
                </c:pt>
                <c:pt idx="236">
                  <c:v>1.32</c:v>
                </c:pt>
                <c:pt idx="237">
                  <c:v>1.3250000000000002</c:v>
                </c:pt>
                <c:pt idx="238">
                  <c:v>1.33</c:v>
                </c:pt>
                <c:pt idx="239">
                  <c:v>1.3350000000000002</c:v>
                </c:pt>
                <c:pt idx="240">
                  <c:v>1.34</c:v>
                </c:pt>
                <c:pt idx="241">
                  <c:v>1.3450000000000002</c:v>
                </c:pt>
                <c:pt idx="242">
                  <c:v>1.35</c:v>
                </c:pt>
                <c:pt idx="243">
                  <c:v>1.36</c:v>
                </c:pt>
                <c:pt idx="244">
                  <c:v>1.365</c:v>
                </c:pt>
                <c:pt idx="245">
                  <c:v>1.37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1.3900000000000001</c:v>
                </c:pt>
                <c:pt idx="249">
                  <c:v>1.395</c:v>
                </c:pt>
                <c:pt idx="250">
                  <c:v>1.4000000000000001</c:v>
                </c:pt>
                <c:pt idx="251">
                  <c:v>1.405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1.4200000000000002</c:v>
                </c:pt>
                <c:pt idx="255">
                  <c:v>1.425</c:v>
                </c:pt>
                <c:pt idx="256">
                  <c:v>1.4350000000000001</c:v>
                </c:pt>
                <c:pt idx="257">
                  <c:v>1.4400000000000002</c:v>
                </c:pt>
                <c:pt idx="258">
                  <c:v>1.4450000000000001</c:v>
                </c:pt>
                <c:pt idx="259">
                  <c:v>1.4500000000000002</c:v>
                </c:pt>
                <c:pt idx="260">
                  <c:v>1.4550000000000001</c:v>
                </c:pt>
                <c:pt idx="261">
                  <c:v>1.4600000000000002</c:v>
                </c:pt>
                <c:pt idx="262">
                  <c:v>1.4650000000000001</c:v>
                </c:pt>
                <c:pt idx="263">
                  <c:v>1.4700000000000002</c:v>
                </c:pt>
                <c:pt idx="264">
                  <c:v>1.4750000000000001</c:v>
                </c:pt>
                <c:pt idx="265">
                  <c:v>1.48</c:v>
                </c:pt>
                <c:pt idx="266">
                  <c:v>1.4850000000000001</c:v>
                </c:pt>
                <c:pt idx="267">
                  <c:v>1.49</c:v>
                </c:pt>
                <c:pt idx="268">
                  <c:v>1.4950000000000001</c:v>
                </c:pt>
                <c:pt idx="269">
                  <c:v>1.5</c:v>
                </c:pt>
                <c:pt idx="270">
                  <c:v>1.5050000000000001</c:v>
                </c:pt>
                <c:pt idx="271">
                  <c:v>1.51</c:v>
                </c:pt>
                <c:pt idx="272">
                  <c:v>1.5150000000000001</c:v>
                </c:pt>
                <c:pt idx="273">
                  <c:v>1.52</c:v>
                </c:pt>
                <c:pt idx="274">
                  <c:v>1.5250000000000001</c:v>
                </c:pt>
                <c:pt idx="275">
                  <c:v>1.53</c:v>
                </c:pt>
                <c:pt idx="276">
                  <c:v>1.5350000000000001</c:v>
                </c:pt>
                <c:pt idx="277">
                  <c:v>1.54</c:v>
                </c:pt>
                <c:pt idx="278">
                  <c:v>1.5450000000000002</c:v>
                </c:pt>
                <c:pt idx="279">
                  <c:v>1.55</c:v>
                </c:pt>
                <c:pt idx="280">
                  <c:v>1.5550000000000002</c:v>
                </c:pt>
                <c:pt idx="281">
                  <c:v>1.5650000000000002</c:v>
                </c:pt>
                <c:pt idx="282">
                  <c:v>1.5750000000000002</c:v>
                </c:pt>
                <c:pt idx="283">
                  <c:v>1.5850000000000002</c:v>
                </c:pt>
                <c:pt idx="284">
                  <c:v>1.5950000000000002</c:v>
                </c:pt>
                <c:pt idx="285">
                  <c:v>1.6</c:v>
                </c:pt>
                <c:pt idx="286">
                  <c:v>1.605</c:v>
                </c:pt>
                <c:pt idx="287">
                  <c:v>1.61</c:v>
                </c:pt>
                <c:pt idx="288">
                  <c:v>1.615</c:v>
                </c:pt>
                <c:pt idx="289">
                  <c:v>1.62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1.6400000000000001</c:v>
                </c:pt>
                <c:pt idx="294">
                  <c:v>1.645</c:v>
                </c:pt>
                <c:pt idx="295">
                  <c:v>1.6500000000000001</c:v>
                </c:pt>
                <c:pt idx="296">
                  <c:v>1.655</c:v>
                </c:pt>
                <c:pt idx="297">
                  <c:v>1.6600000000000001</c:v>
                </c:pt>
                <c:pt idx="298">
                  <c:v>1.665</c:v>
                </c:pt>
                <c:pt idx="299">
                  <c:v>1.6700000000000002</c:v>
                </c:pt>
                <c:pt idx="300">
                  <c:v>1.675</c:v>
                </c:pt>
                <c:pt idx="301">
                  <c:v>1.6800000000000002</c:v>
                </c:pt>
                <c:pt idx="302">
                  <c:v>1.6850000000000001</c:v>
                </c:pt>
                <c:pt idx="303">
                  <c:v>1.6900000000000002</c:v>
                </c:pt>
                <c:pt idx="304">
                  <c:v>1.6950000000000001</c:v>
                </c:pt>
                <c:pt idx="305">
                  <c:v>1.7000000000000002</c:v>
                </c:pt>
                <c:pt idx="306">
                  <c:v>1.7050000000000001</c:v>
                </c:pt>
                <c:pt idx="307">
                  <c:v>1.7100000000000002</c:v>
                </c:pt>
                <c:pt idx="308">
                  <c:v>1.7150000000000001</c:v>
                </c:pt>
                <c:pt idx="309">
                  <c:v>1.7250000000000001</c:v>
                </c:pt>
                <c:pt idx="310">
                  <c:v>1.73</c:v>
                </c:pt>
                <c:pt idx="311">
                  <c:v>1.7350000000000001</c:v>
                </c:pt>
                <c:pt idx="312">
                  <c:v>1.74</c:v>
                </c:pt>
                <c:pt idx="313">
                  <c:v>1.7450000000000001</c:v>
                </c:pt>
                <c:pt idx="314">
                  <c:v>1.75</c:v>
                </c:pt>
                <c:pt idx="315">
                  <c:v>1.7550000000000001</c:v>
                </c:pt>
                <c:pt idx="316">
                  <c:v>1.76</c:v>
                </c:pt>
                <c:pt idx="317">
                  <c:v>1.7650000000000001</c:v>
                </c:pt>
                <c:pt idx="318">
                  <c:v>1.77</c:v>
                </c:pt>
                <c:pt idx="319">
                  <c:v>1.7750000000000001</c:v>
                </c:pt>
                <c:pt idx="320">
                  <c:v>1.78</c:v>
                </c:pt>
                <c:pt idx="321">
                  <c:v>1.7850000000000001</c:v>
                </c:pt>
                <c:pt idx="322">
                  <c:v>1.79</c:v>
                </c:pt>
                <c:pt idx="323">
                  <c:v>1.7950000000000002</c:v>
                </c:pt>
                <c:pt idx="324">
                  <c:v>1.8</c:v>
                </c:pt>
                <c:pt idx="325">
                  <c:v>1.8050000000000002</c:v>
                </c:pt>
                <c:pt idx="326">
                  <c:v>1.81</c:v>
                </c:pt>
                <c:pt idx="327">
                  <c:v>1.82</c:v>
                </c:pt>
                <c:pt idx="328">
                  <c:v>1.8250000000000002</c:v>
                </c:pt>
                <c:pt idx="329">
                  <c:v>1.83</c:v>
                </c:pt>
                <c:pt idx="330">
                  <c:v>1.84</c:v>
                </c:pt>
                <c:pt idx="331">
                  <c:v>1.8450000000000002</c:v>
                </c:pt>
                <c:pt idx="332">
                  <c:v>1.85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1.8650000000000002</c:v>
                </c:pt>
                <c:pt idx="336">
                  <c:v>1.87</c:v>
                </c:pt>
                <c:pt idx="337">
                  <c:v>1.875</c:v>
                </c:pt>
                <c:pt idx="338">
                  <c:v>1.88</c:v>
                </c:pt>
                <c:pt idx="339">
                  <c:v>1.8900000000000001</c:v>
                </c:pt>
                <c:pt idx="340">
                  <c:v>1.895</c:v>
                </c:pt>
                <c:pt idx="341">
                  <c:v>1.9</c:v>
                </c:pt>
                <c:pt idx="342">
                  <c:v>1.9050000000000002</c:v>
                </c:pt>
                <c:pt idx="343">
                  <c:v>1.9100000000000001</c:v>
                </c:pt>
                <c:pt idx="344">
                  <c:v>1.915</c:v>
                </c:pt>
                <c:pt idx="345">
                  <c:v>1.92</c:v>
                </c:pt>
                <c:pt idx="346">
                  <c:v>1.9250000000000003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1.94</c:v>
                </c:pt>
                <c:pt idx="350">
                  <c:v>1.9450000000000003</c:v>
                </c:pt>
                <c:pt idx="351">
                  <c:v>1.9500000000000002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1.9650000000000003</c:v>
                </c:pt>
                <c:pt idx="355">
                  <c:v>1.9700000000000002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2.0100000000000002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2.0300000000000002</c:v>
                </c:pt>
                <c:pt idx="368">
                  <c:v>2.0350000000000001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2.0500000000000003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2.0700000000000003</c:v>
                </c:pt>
                <c:pt idx="376">
                  <c:v>2.0750000000000002</c:v>
                </c:pt>
                <c:pt idx="377">
                  <c:v>2.08</c:v>
                </c:pt>
                <c:pt idx="378">
                  <c:v>2.085</c:v>
                </c:pt>
                <c:pt idx="379">
                  <c:v>2.0900000000000003</c:v>
                </c:pt>
                <c:pt idx="380">
                  <c:v>2.0950000000000002</c:v>
                </c:pt>
                <c:pt idx="381">
                  <c:v>2.1</c:v>
                </c:pt>
                <c:pt idx="382">
                  <c:v>2.105</c:v>
                </c:pt>
                <c:pt idx="383">
                  <c:v>2.11</c:v>
                </c:pt>
                <c:pt idx="384">
                  <c:v>2.1150000000000002</c:v>
                </c:pt>
                <c:pt idx="385">
                  <c:v>2.12</c:v>
                </c:pt>
                <c:pt idx="386">
                  <c:v>2.13</c:v>
                </c:pt>
                <c:pt idx="387">
                  <c:v>2.1350000000000002</c:v>
                </c:pt>
                <c:pt idx="388">
                  <c:v>2.145</c:v>
                </c:pt>
                <c:pt idx="389">
                  <c:v>2.1550000000000002</c:v>
                </c:pt>
                <c:pt idx="390">
                  <c:v>2.165</c:v>
                </c:pt>
                <c:pt idx="391">
                  <c:v>2.1750000000000003</c:v>
                </c:pt>
                <c:pt idx="392">
                  <c:v>2.19</c:v>
                </c:pt>
                <c:pt idx="393">
                  <c:v>2.2000000000000002</c:v>
                </c:pt>
                <c:pt idx="394">
                  <c:v>2.2050000000000001</c:v>
                </c:pt>
                <c:pt idx="395">
                  <c:v>2.2150000000000003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2.3050000000000002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2.3200000000000003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2.3400000000000003</c:v>
                </c:pt>
                <c:pt idx="420">
                  <c:v>2.3450000000000002</c:v>
                </c:pt>
                <c:pt idx="421">
                  <c:v>2.35</c:v>
                </c:pt>
                <c:pt idx="422">
                  <c:v>2.355</c:v>
                </c:pt>
                <c:pt idx="423">
                  <c:v>2.3650000000000002</c:v>
                </c:pt>
                <c:pt idx="424">
                  <c:v>2.375</c:v>
                </c:pt>
                <c:pt idx="425">
                  <c:v>2.38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2.4</c:v>
                </c:pt>
                <c:pt idx="429">
                  <c:v>2.4050000000000002</c:v>
                </c:pt>
                <c:pt idx="430">
                  <c:v>2.41</c:v>
                </c:pt>
                <c:pt idx="431">
                  <c:v>2.415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</c:v>
                </c:pt>
                <c:pt idx="437">
                  <c:v>2.4450000000000003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</c:v>
                </c:pt>
                <c:pt idx="441">
                  <c:v>2.4700000000000002</c:v>
                </c:pt>
                <c:pt idx="442">
                  <c:v>2.48</c:v>
                </c:pt>
                <c:pt idx="443">
                  <c:v>2.4900000000000002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2.5049999999999999</c:v>
                </c:pt>
                <c:pt idx="447">
                  <c:v>2.5100000000000002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2.5300000000000002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2.5449999999999999</c:v>
                </c:pt>
                <c:pt idx="454">
                  <c:v>2.5500000000000003</c:v>
                </c:pt>
                <c:pt idx="455">
                  <c:v>2.5550000000000002</c:v>
                </c:pt>
                <c:pt idx="456">
                  <c:v>2.56</c:v>
                </c:pt>
                <c:pt idx="457">
                  <c:v>2.5649999999999999</c:v>
                </c:pt>
                <c:pt idx="458">
                  <c:v>2.5700000000000003</c:v>
                </c:pt>
                <c:pt idx="459">
                  <c:v>2.5750000000000002</c:v>
                </c:pt>
                <c:pt idx="460">
                  <c:v>2.58</c:v>
                </c:pt>
                <c:pt idx="461">
                  <c:v>2.585</c:v>
                </c:pt>
                <c:pt idx="462">
                  <c:v>2.5900000000000003</c:v>
                </c:pt>
                <c:pt idx="463">
                  <c:v>2.5950000000000002</c:v>
                </c:pt>
                <c:pt idx="464">
                  <c:v>2.6</c:v>
                </c:pt>
                <c:pt idx="465">
                  <c:v>2.605</c:v>
                </c:pt>
                <c:pt idx="466">
                  <c:v>2.6150000000000002</c:v>
                </c:pt>
                <c:pt idx="467">
                  <c:v>2.625</c:v>
                </c:pt>
                <c:pt idx="468">
                  <c:v>2.63</c:v>
                </c:pt>
                <c:pt idx="469">
                  <c:v>2.6350000000000002</c:v>
                </c:pt>
                <c:pt idx="470">
                  <c:v>2.64</c:v>
                </c:pt>
                <c:pt idx="471">
                  <c:v>2.645</c:v>
                </c:pt>
                <c:pt idx="472">
                  <c:v>2.65</c:v>
                </c:pt>
                <c:pt idx="473">
                  <c:v>2.6550000000000002</c:v>
                </c:pt>
                <c:pt idx="474">
                  <c:v>2.66</c:v>
                </c:pt>
                <c:pt idx="475">
                  <c:v>2.665</c:v>
                </c:pt>
                <c:pt idx="476">
                  <c:v>2.67</c:v>
                </c:pt>
                <c:pt idx="477">
                  <c:v>2.6750000000000003</c:v>
                </c:pt>
                <c:pt idx="478">
                  <c:v>2.68</c:v>
                </c:pt>
                <c:pt idx="479">
                  <c:v>2.6850000000000001</c:v>
                </c:pt>
                <c:pt idx="480">
                  <c:v>2.6950000000000003</c:v>
                </c:pt>
                <c:pt idx="481">
                  <c:v>2.7</c:v>
                </c:pt>
                <c:pt idx="482">
                  <c:v>2.7050000000000001</c:v>
                </c:pt>
                <c:pt idx="483">
                  <c:v>2.71</c:v>
                </c:pt>
                <c:pt idx="484">
                  <c:v>2.7150000000000003</c:v>
                </c:pt>
                <c:pt idx="485">
                  <c:v>2.72</c:v>
                </c:pt>
                <c:pt idx="486">
                  <c:v>2.7250000000000001</c:v>
                </c:pt>
                <c:pt idx="487">
                  <c:v>2.73</c:v>
                </c:pt>
                <c:pt idx="488">
                  <c:v>2.7349999999999999</c:v>
                </c:pt>
                <c:pt idx="489">
                  <c:v>2.74</c:v>
                </c:pt>
                <c:pt idx="490">
                  <c:v>2.7450000000000001</c:v>
                </c:pt>
                <c:pt idx="491">
                  <c:v>2.75</c:v>
                </c:pt>
                <c:pt idx="492">
                  <c:v>2.7549999999999999</c:v>
                </c:pt>
                <c:pt idx="493">
                  <c:v>2.7600000000000002</c:v>
                </c:pt>
                <c:pt idx="494">
                  <c:v>2.7650000000000001</c:v>
                </c:pt>
                <c:pt idx="495">
                  <c:v>2.77</c:v>
                </c:pt>
                <c:pt idx="496">
                  <c:v>2.7749999999999999</c:v>
                </c:pt>
                <c:pt idx="497">
                  <c:v>2.7850000000000001</c:v>
                </c:pt>
                <c:pt idx="498">
                  <c:v>2.79</c:v>
                </c:pt>
                <c:pt idx="499">
                  <c:v>2.7949999999999999</c:v>
                </c:pt>
                <c:pt idx="500">
                  <c:v>2.8050000000000002</c:v>
                </c:pt>
                <c:pt idx="501">
                  <c:v>2.8149999999999999</c:v>
                </c:pt>
                <c:pt idx="502">
                  <c:v>2.8250000000000002</c:v>
                </c:pt>
                <c:pt idx="503">
                  <c:v>2.83</c:v>
                </c:pt>
                <c:pt idx="504">
                  <c:v>2.8400000000000003</c:v>
                </c:pt>
                <c:pt idx="505">
                  <c:v>2.8450000000000002</c:v>
                </c:pt>
                <c:pt idx="506">
                  <c:v>2.855</c:v>
                </c:pt>
                <c:pt idx="507">
                  <c:v>2.86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2.875</c:v>
                </c:pt>
                <c:pt idx="511">
                  <c:v>2.88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2.9050000000000002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2.9250000000000003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2.9450000000000003</c:v>
                </c:pt>
                <c:pt idx="525">
                  <c:v>2.95</c:v>
                </c:pt>
                <c:pt idx="526">
                  <c:v>2.9550000000000001</c:v>
                </c:pt>
                <c:pt idx="527">
                  <c:v>2.9650000000000003</c:v>
                </c:pt>
                <c:pt idx="528">
                  <c:v>2.97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2.99</c:v>
                </c:pt>
                <c:pt idx="533">
                  <c:v>2.9950000000000001</c:v>
                </c:pt>
                <c:pt idx="534">
                  <c:v>3</c:v>
                </c:pt>
                <c:pt idx="535">
                  <c:v>3.0049999999999999</c:v>
                </c:pt>
                <c:pt idx="536">
                  <c:v>3.0100000000000002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3.0300000000000002</c:v>
                </c:pt>
                <c:pt idx="541">
                  <c:v>3.0350000000000001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3.0500000000000003</c:v>
                </c:pt>
                <c:pt idx="545">
                  <c:v>3.0550000000000002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3.0700000000000003</c:v>
                </c:pt>
                <c:pt idx="549">
                  <c:v>3.0750000000000002</c:v>
                </c:pt>
                <c:pt idx="550">
                  <c:v>3.08</c:v>
                </c:pt>
                <c:pt idx="551">
                  <c:v>3.085</c:v>
                </c:pt>
                <c:pt idx="552">
                  <c:v>3.0900000000000003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3.105</c:v>
                </c:pt>
                <c:pt idx="556">
                  <c:v>3.11</c:v>
                </c:pt>
                <c:pt idx="557">
                  <c:v>3.1150000000000002</c:v>
                </c:pt>
                <c:pt idx="558">
                  <c:v>3.125</c:v>
                </c:pt>
                <c:pt idx="559">
                  <c:v>3.14</c:v>
                </c:pt>
                <c:pt idx="560">
                  <c:v>3.15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3.1850000000000001</c:v>
                </c:pt>
                <c:pt idx="568">
                  <c:v>3.19</c:v>
                </c:pt>
                <c:pt idx="569">
                  <c:v>3.1950000000000003</c:v>
                </c:pt>
                <c:pt idx="570">
                  <c:v>3.2</c:v>
                </c:pt>
                <c:pt idx="571">
                  <c:v>3.2050000000000001</c:v>
                </c:pt>
                <c:pt idx="572">
                  <c:v>3.2150000000000003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3.2600000000000002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3.2749999999999999</c:v>
                </c:pt>
                <c:pt idx="585">
                  <c:v>3.2800000000000002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3.2949999999999999</c:v>
                </c:pt>
                <c:pt idx="589">
                  <c:v>3.3000000000000003</c:v>
                </c:pt>
                <c:pt idx="590">
                  <c:v>3.3050000000000002</c:v>
                </c:pt>
                <c:pt idx="591">
                  <c:v>3.31</c:v>
                </c:pt>
                <c:pt idx="592">
                  <c:v>3.3149999999999999</c:v>
                </c:pt>
                <c:pt idx="593">
                  <c:v>3.3200000000000003</c:v>
                </c:pt>
                <c:pt idx="594">
                  <c:v>3.3250000000000002</c:v>
                </c:pt>
                <c:pt idx="595">
                  <c:v>3.33</c:v>
                </c:pt>
                <c:pt idx="596">
                  <c:v>3.335</c:v>
                </c:pt>
                <c:pt idx="597">
                  <c:v>3.3400000000000003</c:v>
                </c:pt>
              </c:numCache>
            </c:numRef>
          </c:xVal>
          <c:yVal>
            <c:numRef>
              <c:f>TEST!$P$21:$P$1001</c:f>
              <c:numCache>
                <c:formatCode>0.000</c:formatCode>
                <c:ptCount val="981"/>
                <c:pt idx="0">
                  <c:v>54.493502377179084</c:v>
                </c:pt>
                <c:pt idx="1">
                  <c:v>54.5</c:v>
                </c:pt>
                <c:pt idx="2">
                  <c:v>54.506497622820916</c:v>
                </c:pt>
                <c:pt idx="3">
                  <c:v>54.512995245641839</c:v>
                </c:pt>
                <c:pt idx="4">
                  <c:v>54.519492868462756</c:v>
                </c:pt>
                <c:pt idx="5">
                  <c:v>54.525990491283679</c:v>
                </c:pt>
                <c:pt idx="6">
                  <c:v>54.532488114104595</c:v>
                </c:pt>
                <c:pt idx="7">
                  <c:v>54.538985736925518</c:v>
                </c:pt>
                <c:pt idx="8">
                  <c:v>54.545483359746434</c:v>
                </c:pt>
                <c:pt idx="9">
                  <c:v>54.551980982567351</c:v>
                </c:pt>
                <c:pt idx="10">
                  <c:v>54.558478605388274</c:v>
                </c:pt>
                <c:pt idx="11">
                  <c:v>54.56497622820919</c:v>
                </c:pt>
                <c:pt idx="12">
                  <c:v>54.571473851030113</c:v>
                </c:pt>
                <c:pt idx="13">
                  <c:v>54.577971473851029</c:v>
                </c:pt>
                <c:pt idx="14">
                  <c:v>54.584469096671953</c:v>
                </c:pt>
                <c:pt idx="15">
                  <c:v>54.590966719492869</c:v>
                </c:pt>
                <c:pt idx="16">
                  <c:v>54.597464342313785</c:v>
                </c:pt>
                <c:pt idx="17">
                  <c:v>54.603961965134708</c:v>
                </c:pt>
                <c:pt idx="18">
                  <c:v>54.610459587955624</c:v>
                </c:pt>
                <c:pt idx="19">
                  <c:v>54.616957210776548</c:v>
                </c:pt>
                <c:pt idx="20">
                  <c:v>54.623454833597464</c:v>
                </c:pt>
                <c:pt idx="21">
                  <c:v>54.629952456418387</c:v>
                </c:pt>
                <c:pt idx="22">
                  <c:v>54.636450079239303</c:v>
                </c:pt>
                <c:pt idx="23">
                  <c:v>54.642947702060219</c:v>
                </c:pt>
                <c:pt idx="24">
                  <c:v>54.649445324881142</c:v>
                </c:pt>
                <c:pt idx="25">
                  <c:v>54.655942947702059</c:v>
                </c:pt>
                <c:pt idx="26">
                  <c:v>54.662440570522982</c:v>
                </c:pt>
                <c:pt idx="27">
                  <c:v>54.668938193343898</c:v>
                </c:pt>
                <c:pt idx="28">
                  <c:v>54.675435816164821</c:v>
                </c:pt>
                <c:pt idx="29">
                  <c:v>54.681933438985737</c:v>
                </c:pt>
                <c:pt idx="30">
                  <c:v>54.688431061806654</c:v>
                </c:pt>
                <c:pt idx="31">
                  <c:v>54.694928684627577</c:v>
                </c:pt>
                <c:pt idx="32">
                  <c:v>54.701426307448493</c:v>
                </c:pt>
                <c:pt idx="33">
                  <c:v>54.707923930269416</c:v>
                </c:pt>
                <c:pt idx="34">
                  <c:v>54.714421553090332</c:v>
                </c:pt>
                <c:pt idx="35">
                  <c:v>54.720919175911256</c:v>
                </c:pt>
                <c:pt idx="36">
                  <c:v>54.727416798732172</c:v>
                </c:pt>
                <c:pt idx="37">
                  <c:v>54.733914421553088</c:v>
                </c:pt>
                <c:pt idx="38">
                  <c:v>54.740412044374011</c:v>
                </c:pt>
                <c:pt idx="39">
                  <c:v>54.746909667194927</c:v>
                </c:pt>
                <c:pt idx="40">
                  <c:v>54.753407290015851</c:v>
                </c:pt>
                <c:pt idx="41">
                  <c:v>54.759904912836767</c:v>
                </c:pt>
                <c:pt idx="42">
                  <c:v>54.766402535657683</c:v>
                </c:pt>
                <c:pt idx="43">
                  <c:v>54.779397781299522</c:v>
                </c:pt>
                <c:pt idx="44">
                  <c:v>54.785895404120446</c:v>
                </c:pt>
                <c:pt idx="45">
                  <c:v>54.792393026941362</c:v>
                </c:pt>
                <c:pt idx="46">
                  <c:v>54.798890649762285</c:v>
                </c:pt>
                <c:pt idx="47">
                  <c:v>54.811885895404117</c:v>
                </c:pt>
                <c:pt idx="48">
                  <c:v>54.818383518225041</c:v>
                </c:pt>
                <c:pt idx="49">
                  <c:v>54.824881141045957</c:v>
                </c:pt>
                <c:pt idx="50">
                  <c:v>54.837876386687796</c:v>
                </c:pt>
                <c:pt idx="51">
                  <c:v>54.844374009508719</c:v>
                </c:pt>
                <c:pt idx="52">
                  <c:v>54.850871632329635</c:v>
                </c:pt>
                <c:pt idx="53">
                  <c:v>54.857369255150552</c:v>
                </c:pt>
                <c:pt idx="54">
                  <c:v>54.870364500792391</c:v>
                </c:pt>
                <c:pt idx="55">
                  <c:v>54.876862123613314</c:v>
                </c:pt>
                <c:pt idx="56">
                  <c:v>54.88335974643423</c:v>
                </c:pt>
                <c:pt idx="57">
                  <c:v>54.889857369255154</c:v>
                </c:pt>
                <c:pt idx="58">
                  <c:v>54.89635499207607</c:v>
                </c:pt>
                <c:pt idx="59">
                  <c:v>54.902852614896986</c:v>
                </c:pt>
                <c:pt idx="60">
                  <c:v>54.909350237717909</c:v>
                </c:pt>
                <c:pt idx="61">
                  <c:v>54.915847860538825</c:v>
                </c:pt>
                <c:pt idx="62">
                  <c:v>54.922345483359749</c:v>
                </c:pt>
                <c:pt idx="63">
                  <c:v>54.928843106180665</c:v>
                </c:pt>
                <c:pt idx="64">
                  <c:v>54.935340729001588</c:v>
                </c:pt>
                <c:pt idx="65">
                  <c:v>54.941838351822504</c:v>
                </c:pt>
                <c:pt idx="66">
                  <c:v>54.954833597464344</c:v>
                </c:pt>
                <c:pt idx="67">
                  <c:v>54.96133122028526</c:v>
                </c:pt>
                <c:pt idx="68">
                  <c:v>54.967828843106183</c:v>
                </c:pt>
                <c:pt idx="69">
                  <c:v>54.974326465927099</c:v>
                </c:pt>
                <c:pt idx="70">
                  <c:v>54.980824088748022</c:v>
                </c:pt>
                <c:pt idx="71">
                  <c:v>54.987321711568939</c:v>
                </c:pt>
                <c:pt idx="72">
                  <c:v>54.993819334389855</c:v>
                </c:pt>
                <c:pt idx="73">
                  <c:v>55.000316957210778</c:v>
                </c:pt>
                <c:pt idx="74">
                  <c:v>55.013312202852617</c:v>
                </c:pt>
                <c:pt idx="75">
                  <c:v>55.019809825673534</c:v>
                </c:pt>
                <c:pt idx="76">
                  <c:v>55.026307448494457</c:v>
                </c:pt>
                <c:pt idx="77">
                  <c:v>55.032805071315373</c:v>
                </c:pt>
                <c:pt idx="78">
                  <c:v>55.039302694136289</c:v>
                </c:pt>
                <c:pt idx="79">
                  <c:v>55.045800316957212</c:v>
                </c:pt>
                <c:pt idx="80">
                  <c:v>55.052297939778128</c:v>
                </c:pt>
                <c:pt idx="81">
                  <c:v>55.058795562599052</c:v>
                </c:pt>
                <c:pt idx="82">
                  <c:v>55.065293185419968</c:v>
                </c:pt>
                <c:pt idx="83">
                  <c:v>55.071790808240891</c:v>
                </c:pt>
                <c:pt idx="84">
                  <c:v>55.078288431061807</c:v>
                </c:pt>
                <c:pt idx="85">
                  <c:v>55.084786053882723</c:v>
                </c:pt>
                <c:pt idx="86">
                  <c:v>55.097781299524563</c:v>
                </c:pt>
                <c:pt idx="87">
                  <c:v>55.104278922345486</c:v>
                </c:pt>
                <c:pt idx="88">
                  <c:v>55.110776545166402</c:v>
                </c:pt>
                <c:pt idx="89">
                  <c:v>55.117274167987318</c:v>
                </c:pt>
                <c:pt idx="90">
                  <c:v>55.123771790808242</c:v>
                </c:pt>
                <c:pt idx="91">
                  <c:v>55.130269413629158</c:v>
                </c:pt>
                <c:pt idx="92">
                  <c:v>55.136767036450081</c:v>
                </c:pt>
                <c:pt idx="93">
                  <c:v>55.143264659270997</c:v>
                </c:pt>
                <c:pt idx="94">
                  <c:v>55.14976228209192</c:v>
                </c:pt>
                <c:pt idx="95">
                  <c:v>55.156259904912837</c:v>
                </c:pt>
                <c:pt idx="96">
                  <c:v>55.16275752773376</c:v>
                </c:pt>
                <c:pt idx="97">
                  <c:v>55.169255150554676</c:v>
                </c:pt>
                <c:pt idx="98">
                  <c:v>55.175752773375592</c:v>
                </c:pt>
                <c:pt idx="99">
                  <c:v>55.182250396196515</c:v>
                </c:pt>
                <c:pt idx="100">
                  <c:v>55.188748019017432</c:v>
                </c:pt>
                <c:pt idx="101">
                  <c:v>55.195245641838355</c:v>
                </c:pt>
                <c:pt idx="102">
                  <c:v>55.201743264659271</c:v>
                </c:pt>
                <c:pt idx="103">
                  <c:v>55.208240887480187</c:v>
                </c:pt>
                <c:pt idx="104">
                  <c:v>55.21473851030111</c:v>
                </c:pt>
                <c:pt idx="105">
                  <c:v>55.221236133122027</c:v>
                </c:pt>
                <c:pt idx="106">
                  <c:v>55.22773375594295</c:v>
                </c:pt>
                <c:pt idx="107">
                  <c:v>55.234231378763866</c:v>
                </c:pt>
                <c:pt idx="108">
                  <c:v>55.240729001584789</c:v>
                </c:pt>
                <c:pt idx="109">
                  <c:v>55.247226624405705</c:v>
                </c:pt>
                <c:pt idx="110">
                  <c:v>55.253724247226621</c:v>
                </c:pt>
                <c:pt idx="111">
                  <c:v>55.260221870047545</c:v>
                </c:pt>
                <c:pt idx="112">
                  <c:v>55.266719492868461</c:v>
                </c:pt>
                <c:pt idx="113">
                  <c:v>55.273217115689384</c:v>
                </c:pt>
                <c:pt idx="114">
                  <c:v>55.2797147385103</c:v>
                </c:pt>
                <c:pt idx="115">
                  <c:v>55.286212361331224</c:v>
                </c:pt>
                <c:pt idx="116">
                  <c:v>55.29270998415214</c:v>
                </c:pt>
                <c:pt idx="117">
                  <c:v>55.299207606973056</c:v>
                </c:pt>
                <c:pt idx="118">
                  <c:v>55.305705229793979</c:v>
                </c:pt>
                <c:pt idx="119">
                  <c:v>55.312202852614895</c:v>
                </c:pt>
                <c:pt idx="120">
                  <c:v>55.318700475435818</c:v>
                </c:pt>
                <c:pt idx="121">
                  <c:v>55.325198098256735</c:v>
                </c:pt>
                <c:pt idx="122">
                  <c:v>55.331695721077658</c:v>
                </c:pt>
                <c:pt idx="123">
                  <c:v>55.338193343898574</c:v>
                </c:pt>
                <c:pt idx="124">
                  <c:v>55.34469096671949</c:v>
                </c:pt>
                <c:pt idx="125">
                  <c:v>55.351188589540413</c:v>
                </c:pt>
                <c:pt idx="126">
                  <c:v>55.35768621236133</c:v>
                </c:pt>
                <c:pt idx="127">
                  <c:v>55.370681458003169</c:v>
                </c:pt>
                <c:pt idx="128">
                  <c:v>55.377179080824092</c:v>
                </c:pt>
                <c:pt idx="129">
                  <c:v>55.383676703645008</c:v>
                </c:pt>
                <c:pt idx="130">
                  <c:v>55.390174326465925</c:v>
                </c:pt>
                <c:pt idx="131">
                  <c:v>55.396671949286848</c:v>
                </c:pt>
                <c:pt idx="132">
                  <c:v>55.403169572107764</c:v>
                </c:pt>
                <c:pt idx="133">
                  <c:v>55.409667194928687</c:v>
                </c:pt>
                <c:pt idx="134">
                  <c:v>55.416164817749603</c:v>
                </c:pt>
                <c:pt idx="135">
                  <c:v>55.422662440570527</c:v>
                </c:pt>
                <c:pt idx="136">
                  <c:v>55.429160063391443</c:v>
                </c:pt>
                <c:pt idx="137">
                  <c:v>55.435657686212359</c:v>
                </c:pt>
                <c:pt idx="138">
                  <c:v>55.442155309033282</c:v>
                </c:pt>
                <c:pt idx="139">
                  <c:v>55.448652931854198</c:v>
                </c:pt>
                <c:pt idx="140">
                  <c:v>55.455150554675122</c:v>
                </c:pt>
                <c:pt idx="141">
                  <c:v>55.461648177496038</c:v>
                </c:pt>
                <c:pt idx="142">
                  <c:v>55.468145800316961</c:v>
                </c:pt>
                <c:pt idx="143">
                  <c:v>55.474643423137877</c:v>
                </c:pt>
                <c:pt idx="144">
                  <c:v>55.481141045958793</c:v>
                </c:pt>
                <c:pt idx="145">
                  <c:v>55.487638668779717</c:v>
                </c:pt>
                <c:pt idx="146">
                  <c:v>55.494136291600633</c:v>
                </c:pt>
                <c:pt idx="147">
                  <c:v>55.500633914421556</c:v>
                </c:pt>
                <c:pt idx="148">
                  <c:v>55.507131537242472</c:v>
                </c:pt>
                <c:pt idx="149">
                  <c:v>55.513629160063388</c:v>
                </c:pt>
                <c:pt idx="150">
                  <c:v>55.520126782884311</c:v>
                </c:pt>
                <c:pt idx="151">
                  <c:v>55.526624405705228</c:v>
                </c:pt>
                <c:pt idx="152">
                  <c:v>55.533122028526151</c:v>
                </c:pt>
                <c:pt idx="153">
                  <c:v>55.539619651347067</c:v>
                </c:pt>
                <c:pt idx="154">
                  <c:v>55.54611727416799</c:v>
                </c:pt>
                <c:pt idx="155">
                  <c:v>55.552614896988906</c:v>
                </c:pt>
                <c:pt idx="156">
                  <c:v>55.55911251980983</c:v>
                </c:pt>
                <c:pt idx="157">
                  <c:v>55.565610142630746</c:v>
                </c:pt>
                <c:pt idx="158">
                  <c:v>55.572107765451662</c:v>
                </c:pt>
                <c:pt idx="159">
                  <c:v>55.578605388272585</c:v>
                </c:pt>
                <c:pt idx="160">
                  <c:v>55.585103011093501</c:v>
                </c:pt>
                <c:pt idx="161">
                  <c:v>55.591600633914425</c:v>
                </c:pt>
                <c:pt idx="162">
                  <c:v>55.598098256735341</c:v>
                </c:pt>
                <c:pt idx="163">
                  <c:v>55.604595879556257</c:v>
                </c:pt>
                <c:pt idx="164">
                  <c:v>55.61109350237718</c:v>
                </c:pt>
                <c:pt idx="165">
                  <c:v>55.617591125198096</c:v>
                </c:pt>
                <c:pt idx="166">
                  <c:v>55.630586370839936</c:v>
                </c:pt>
                <c:pt idx="167">
                  <c:v>55.637083993660859</c:v>
                </c:pt>
                <c:pt idx="168">
                  <c:v>55.643581616481775</c:v>
                </c:pt>
                <c:pt idx="169">
                  <c:v>55.650079239302698</c:v>
                </c:pt>
                <c:pt idx="170">
                  <c:v>55.656576862123615</c:v>
                </c:pt>
                <c:pt idx="171">
                  <c:v>55.663074484944531</c:v>
                </c:pt>
                <c:pt idx="172">
                  <c:v>55.669572107765454</c:v>
                </c:pt>
                <c:pt idx="173">
                  <c:v>55.67606973058637</c:v>
                </c:pt>
                <c:pt idx="174">
                  <c:v>55.682567353407293</c:v>
                </c:pt>
                <c:pt idx="175">
                  <c:v>55.68906497622821</c:v>
                </c:pt>
                <c:pt idx="176">
                  <c:v>55.695562599049126</c:v>
                </c:pt>
                <c:pt idx="177">
                  <c:v>55.702060221870049</c:v>
                </c:pt>
                <c:pt idx="178">
                  <c:v>55.708557844690965</c:v>
                </c:pt>
                <c:pt idx="179">
                  <c:v>55.715055467511888</c:v>
                </c:pt>
                <c:pt idx="180">
                  <c:v>55.728050713153728</c:v>
                </c:pt>
                <c:pt idx="181">
                  <c:v>55.734548335974644</c:v>
                </c:pt>
                <c:pt idx="182">
                  <c:v>55.74104595879556</c:v>
                </c:pt>
                <c:pt idx="183">
                  <c:v>55.747543581616483</c:v>
                </c:pt>
                <c:pt idx="184">
                  <c:v>55.754041204437399</c:v>
                </c:pt>
                <c:pt idx="185">
                  <c:v>55.760538827258323</c:v>
                </c:pt>
                <c:pt idx="186">
                  <c:v>55.767036450079239</c:v>
                </c:pt>
                <c:pt idx="187">
                  <c:v>55.773534072900162</c:v>
                </c:pt>
                <c:pt idx="188">
                  <c:v>55.780031695721078</c:v>
                </c:pt>
                <c:pt idx="189">
                  <c:v>55.786529318541994</c:v>
                </c:pt>
                <c:pt idx="190">
                  <c:v>55.793026941362918</c:v>
                </c:pt>
                <c:pt idx="191">
                  <c:v>55.799524564183834</c:v>
                </c:pt>
                <c:pt idx="192">
                  <c:v>55.806022187004757</c:v>
                </c:pt>
                <c:pt idx="193">
                  <c:v>55.812519809825673</c:v>
                </c:pt>
                <c:pt idx="194">
                  <c:v>55.819017432646596</c:v>
                </c:pt>
                <c:pt idx="195">
                  <c:v>55.825515055467513</c:v>
                </c:pt>
                <c:pt idx="196">
                  <c:v>55.832012678288429</c:v>
                </c:pt>
                <c:pt idx="197">
                  <c:v>55.838510301109352</c:v>
                </c:pt>
                <c:pt idx="198">
                  <c:v>55.845007923930268</c:v>
                </c:pt>
                <c:pt idx="199">
                  <c:v>55.851505546751191</c:v>
                </c:pt>
                <c:pt idx="200">
                  <c:v>55.864500792393031</c:v>
                </c:pt>
                <c:pt idx="201">
                  <c:v>55.870998415213947</c:v>
                </c:pt>
                <c:pt idx="202">
                  <c:v>55.883993660855786</c:v>
                </c:pt>
                <c:pt idx="203">
                  <c:v>55.890491283676702</c:v>
                </c:pt>
                <c:pt idx="204">
                  <c:v>55.896988906497626</c:v>
                </c:pt>
                <c:pt idx="205">
                  <c:v>55.903486529318542</c:v>
                </c:pt>
                <c:pt idx="206">
                  <c:v>55.916481774960381</c:v>
                </c:pt>
                <c:pt idx="207">
                  <c:v>55.922979397781297</c:v>
                </c:pt>
                <c:pt idx="208">
                  <c:v>55.929477020602221</c:v>
                </c:pt>
                <c:pt idx="209">
                  <c:v>55.935974643423137</c:v>
                </c:pt>
                <c:pt idx="210">
                  <c:v>55.94247226624406</c:v>
                </c:pt>
                <c:pt idx="211">
                  <c:v>55.948969889064976</c:v>
                </c:pt>
                <c:pt idx="212">
                  <c:v>55.9554675118859</c:v>
                </c:pt>
                <c:pt idx="213">
                  <c:v>55.961965134706816</c:v>
                </c:pt>
                <c:pt idx="214">
                  <c:v>55.968462757527732</c:v>
                </c:pt>
                <c:pt idx="215">
                  <c:v>55.974960380348655</c:v>
                </c:pt>
                <c:pt idx="216">
                  <c:v>55.981458003169571</c:v>
                </c:pt>
                <c:pt idx="217">
                  <c:v>55.987955625990494</c:v>
                </c:pt>
                <c:pt idx="218">
                  <c:v>55.994453248811411</c:v>
                </c:pt>
                <c:pt idx="219">
                  <c:v>56.000950871632327</c:v>
                </c:pt>
                <c:pt idx="220">
                  <c:v>56.00744849445325</c:v>
                </c:pt>
                <c:pt idx="221">
                  <c:v>56.013946117274166</c:v>
                </c:pt>
                <c:pt idx="222">
                  <c:v>56.020443740095089</c:v>
                </c:pt>
                <c:pt idx="223">
                  <c:v>56.033438985736929</c:v>
                </c:pt>
                <c:pt idx="224">
                  <c:v>56.039936608557845</c:v>
                </c:pt>
                <c:pt idx="225">
                  <c:v>56.046434231378768</c:v>
                </c:pt>
                <c:pt idx="226">
                  <c:v>56.052931854199684</c:v>
                </c:pt>
                <c:pt idx="227">
                  <c:v>56.059429477020601</c:v>
                </c:pt>
                <c:pt idx="228">
                  <c:v>56.065927099841524</c:v>
                </c:pt>
                <c:pt idx="229">
                  <c:v>56.07242472266244</c:v>
                </c:pt>
                <c:pt idx="230">
                  <c:v>56.078922345483363</c:v>
                </c:pt>
                <c:pt idx="231">
                  <c:v>56.085419968304279</c:v>
                </c:pt>
                <c:pt idx="232">
                  <c:v>56.091917591125195</c:v>
                </c:pt>
                <c:pt idx="233">
                  <c:v>56.098415213946119</c:v>
                </c:pt>
                <c:pt idx="234">
                  <c:v>56.104912836767035</c:v>
                </c:pt>
                <c:pt idx="235">
                  <c:v>56.111410459587958</c:v>
                </c:pt>
                <c:pt idx="236">
                  <c:v>56.117908082408874</c:v>
                </c:pt>
                <c:pt idx="237">
                  <c:v>56.124405705229798</c:v>
                </c:pt>
                <c:pt idx="238">
                  <c:v>56.130903328050714</c:v>
                </c:pt>
                <c:pt idx="239">
                  <c:v>56.137400950871637</c:v>
                </c:pt>
                <c:pt idx="240">
                  <c:v>56.143898573692553</c:v>
                </c:pt>
                <c:pt idx="241">
                  <c:v>56.150396196513469</c:v>
                </c:pt>
                <c:pt idx="242">
                  <c:v>56.156893819334393</c:v>
                </c:pt>
                <c:pt idx="243">
                  <c:v>56.169889064976232</c:v>
                </c:pt>
                <c:pt idx="244">
                  <c:v>56.176386687797148</c:v>
                </c:pt>
                <c:pt idx="245">
                  <c:v>56.182884310618064</c:v>
                </c:pt>
                <c:pt idx="246">
                  <c:v>56.195879556259904</c:v>
                </c:pt>
                <c:pt idx="247">
                  <c:v>56.202377179080827</c:v>
                </c:pt>
                <c:pt idx="248">
                  <c:v>56.208874801901743</c:v>
                </c:pt>
                <c:pt idx="249">
                  <c:v>56.215372424722666</c:v>
                </c:pt>
                <c:pt idx="250">
                  <c:v>56.221870047543582</c:v>
                </c:pt>
                <c:pt idx="251">
                  <c:v>56.228367670364499</c:v>
                </c:pt>
                <c:pt idx="252">
                  <c:v>56.234865293185422</c:v>
                </c:pt>
                <c:pt idx="253">
                  <c:v>56.241362916006338</c:v>
                </c:pt>
                <c:pt idx="254">
                  <c:v>56.247860538827261</c:v>
                </c:pt>
                <c:pt idx="255">
                  <c:v>56.254358161648177</c:v>
                </c:pt>
                <c:pt idx="256">
                  <c:v>56.267353407290017</c:v>
                </c:pt>
                <c:pt idx="257">
                  <c:v>56.273851030110933</c:v>
                </c:pt>
                <c:pt idx="258">
                  <c:v>56.280348652931856</c:v>
                </c:pt>
                <c:pt idx="259">
                  <c:v>56.286846275752772</c:v>
                </c:pt>
                <c:pt idx="260">
                  <c:v>56.293343898573696</c:v>
                </c:pt>
                <c:pt idx="261">
                  <c:v>56.299841521394612</c:v>
                </c:pt>
                <c:pt idx="262">
                  <c:v>56.306339144215535</c:v>
                </c:pt>
                <c:pt idx="263">
                  <c:v>56.312836767036451</c:v>
                </c:pt>
                <c:pt idx="264">
                  <c:v>56.319334389857367</c:v>
                </c:pt>
                <c:pt idx="265">
                  <c:v>56.325832012678291</c:v>
                </c:pt>
                <c:pt idx="266">
                  <c:v>56.332329635499207</c:v>
                </c:pt>
                <c:pt idx="267">
                  <c:v>56.33882725832013</c:v>
                </c:pt>
                <c:pt idx="268">
                  <c:v>56.345324881141046</c:v>
                </c:pt>
                <c:pt idx="269">
                  <c:v>56.351822503961969</c:v>
                </c:pt>
                <c:pt idx="270">
                  <c:v>56.358320126782885</c:v>
                </c:pt>
                <c:pt idx="271">
                  <c:v>56.364817749603802</c:v>
                </c:pt>
                <c:pt idx="272">
                  <c:v>56.371315372424725</c:v>
                </c:pt>
                <c:pt idx="273">
                  <c:v>56.377812995245641</c:v>
                </c:pt>
                <c:pt idx="274">
                  <c:v>56.384310618066564</c:v>
                </c:pt>
                <c:pt idx="275">
                  <c:v>56.39080824088748</c:v>
                </c:pt>
                <c:pt idx="276">
                  <c:v>56.397305863708404</c:v>
                </c:pt>
                <c:pt idx="277">
                  <c:v>56.40380348652932</c:v>
                </c:pt>
                <c:pt idx="278">
                  <c:v>56.410301109350236</c:v>
                </c:pt>
                <c:pt idx="279">
                  <c:v>56.416798732171159</c:v>
                </c:pt>
                <c:pt idx="280">
                  <c:v>56.423296354992075</c:v>
                </c:pt>
                <c:pt idx="281">
                  <c:v>56.436291600633915</c:v>
                </c:pt>
                <c:pt idx="282">
                  <c:v>56.449286846275754</c:v>
                </c:pt>
                <c:pt idx="283">
                  <c:v>56.462282091917594</c:v>
                </c:pt>
                <c:pt idx="284">
                  <c:v>56.475277337559433</c:v>
                </c:pt>
                <c:pt idx="285">
                  <c:v>56.481774960380349</c:v>
                </c:pt>
                <c:pt idx="286">
                  <c:v>56.488272583201265</c:v>
                </c:pt>
                <c:pt idx="287">
                  <c:v>56.494770206022189</c:v>
                </c:pt>
                <c:pt idx="288">
                  <c:v>56.501267828843105</c:v>
                </c:pt>
                <c:pt idx="289">
                  <c:v>56.507765451664028</c:v>
                </c:pt>
                <c:pt idx="290">
                  <c:v>56.514263074484944</c:v>
                </c:pt>
                <c:pt idx="291">
                  <c:v>56.520760697305867</c:v>
                </c:pt>
                <c:pt idx="292">
                  <c:v>56.527258320126784</c:v>
                </c:pt>
                <c:pt idx="293">
                  <c:v>56.533755942947707</c:v>
                </c:pt>
                <c:pt idx="294">
                  <c:v>56.540253565768623</c:v>
                </c:pt>
                <c:pt idx="295">
                  <c:v>56.546751188589539</c:v>
                </c:pt>
                <c:pt idx="296">
                  <c:v>56.553248811410462</c:v>
                </c:pt>
                <c:pt idx="297">
                  <c:v>56.559746434231378</c:v>
                </c:pt>
                <c:pt idx="298">
                  <c:v>56.566244057052302</c:v>
                </c:pt>
                <c:pt idx="299">
                  <c:v>56.572741679873218</c:v>
                </c:pt>
                <c:pt idx="300">
                  <c:v>56.579239302694134</c:v>
                </c:pt>
                <c:pt idx="301">
                  <c:v>56.585736925515057</c:v>
                </c:pt>
                <c:pt idx="302">
                  <c:v>56.592234548335973</c:v>
                </c:pt>
                <c:pt idx="303">
                  <c:v>56.598732171156897</c:v>
                </c:pt>
                <c:pt idx="304">
                  <c:v>56.605229793977813</c:v>
                </c:pt>
                <c:pt idx="305">
                  <c:v>56.611727416798736</c:v>
                </c:pt>
                <c:pt idx="306">
                  <c:v>56.618225039619652</c:v>
                </c:pt>
                <c:pt idx="307">
                  <c:v>56.624722662440576</c:v>
                </c:pt>
                <c:pt idx="308">
                  <c:v>56.631220285261492</c:v>
                </c:pt>
                <c:pt idx="309">
                  <c:v>56.644215530903331</c:v>
                </c:pt>
                <c:pt idx="310">
                  <c:v>56.650713153724247</c:v>
                </c:pt>
                <c:pt idx="311">
                  <c:v>56.65721077654517</c:v>
                </c:pt>
                <c:pt idx="312">
                  <c:v>56.663708399366087</c:v>
                </c:pt>
                <c:pt idx="313">
                  <c:v>56.670206022187003</c:v>
                </c:pt>
                <c:pt idx="314">
                  <c:v>56.676703645007926</c:v>
                </c:pt>
                <c:pt idx="315">
                  <c:v>56.683201267828842</c:v>
                </c:pt>
                <c:pt idx="316">
                  <c:v>56.689698890649765</c:v>
                </c:pt>
                <c:pt idx="317">
                  <c:v>56.696196513470682</c:v>
                </c:pt>
                <c:pt idx="318">
                  <c:v>56.702694136291605</c:v>
                </c:pt>
                <c:pt idx="319">
                  <c:v>56.709191759112521</c:v>
                </c:pt>
                <c:pt idx="320">
                  <c:v>56.715689381933437</c:v>
                </c:pt>
                <c:pt idx="321">
                  <c:v>56.72218700475436</c:v>
                </c:pt>
                <c:pt idx="322">
                  <c:v>56.728684627575277</c:v>
                </c:pt>
                <c:pt idx="323">
                  <c:v>56.7351822503962</c:v>
                </c:pt>
                <c:pt idx="324">
                  <c:v>56.741679873217116</c:v>
                </c:pt>
                <c:pt idx="325">
                  <c:v>56.748177496038039</c:v>
                </c:pt>
                <c:pt idx="326">
                  <c:v>56.754675118858955</c:v>
                </c:pt>
                <c:pt idx="327">
                  <c:v>56.767670364500795</c:v>
                </c:pt>
                <c:pt idx="328">
                  <c:v>56.774167987321711</c:v>
                </c:pt>
                <c:pt idx="329">
                  <c:v>56.780665610142634</c:v>
                </c:pt>
                <c:pt idx="330">
                  <c:v>56.793660855784474</c:v>
                </c:pt>
                <c:pt idx="331">
                  <c:v>56.80015847860539</c:v>
                </c:pt>
                <c:pt idx="332">
                  <c:v>56.806656101426306</c:v>
                </c:pt>
                <c:pt idx="333">
                  <c:v>56.813153724247229</c:v>
                </c:pt>
                <c:pt idx="334">
                  <c:v>56.819651347068145</c:v>
                </c:pt>
                <c:pt idx="335">
                  <c:v>56.826148969889068</c:v>
                </c:pt>
                <c:pt idx="336">
                  <c:v>56.832646592709985</c:v>
                </c:pt>
                <c:pt idx="337">
                  <c:v>56.839144215530908</c:v>
                </c:pt>
                <c:pt idx="338">
                  <c:v>56.845641838351824</c:v>
                </c:pt>
                <c:pt idx="339">
                  <c:v>56.858637083993663</c:v>
                </c:pt>
                <c:pt idx="340">
                  <c:v>56.86513470681458</c:v>
                </c:pt>
                <c:pt idx="341">
                  <c:v>56.871632329635503</c:v>
                </c:pt>
                <c:pt idx="342">
                  <c:v>56.878129952456419</c:v>
                </c:pt>
                <c:pt idx="343">
                  <c:v>56.884627575277335</c:v>
                </c:pt>
                <c:pt idx="344">
                  <c:v>56.891125198098258</c:v>
                </c:pt>
                <c:pt idx="345">
                  <c:v>56.897622820919175</c:v>
                </c:pt>
                <c:pt idx="346">
                  <c:v>56.904120443740098</c:v>
                </c:pt>
                <c:pt idx="347">
                  <c:v>56.910618066561014</c:v>
                </c:pt>
                <c:pt idx="348">
                  <c:v>56.917115689381937</c:v>
                </c:pt>
                <c:pt idx="349">
                  <c:v>56.923613312202853</c:v>
                </c:pt>
                <c:pt idx="350">
                  <c:v>56.930110935023777</c:v>
                </c:pt>
                <c:pt idx="351">
                  <c:v>56.936608557844693</c:v>
                </c:pt>
                <c:pt idx="352">
                  <c:v>56.943106180665609</c:v>
                </c:pt>
                <c:pt idx="353">
                  <c:v>56.949603803486532</c:v>
                </c:pt>
                <c:pt idx="354">
                  <c:v>56.956101426307448</c:v>
                </c:pt>
                <c:pt idx="355">
                  <c:v>56.962599049128372</c:v>
                </c:pt>
                <c:pt idx="356">
                  <c:v>56.969096671949288</c:v>
                </c:pt>
                <c:pt idx="357">
                  <c:v>56.975594294770204</c:v>
                </c:pt>
                <c:pt idx="358">
                  <c:v>56.982091917591127</c:v>
                </c:pt>
                <c:pt idx="359">
                  <c:v>56.988589540412043</c:v>
                </c:pt>
                <c:pt idx="360">
                  <c:v>56.995087163232967</c:v>
                </c:pt>
                <c:pt idx="361">
                  <c:v>57.001584786053883</c:v>
                </c:pt>
                <c:pt idx="362">
                  <c:v>57.008082408874806</c:v>
                </c:pt>
                <c:pt idx="363">
                  <c:v>57.014580031695722</c:v>
                </c:pt>
                <c:pt idx="364">
                  <c:v>57.021077654516645</c:v>
                </c:pt>
                <c:pt idx="365">
                  <c:v>57.027575277337561</c:v>
                </c:pt>
                <c:pt idx="366">
                  <c:v>57.034072900158478</c:v>
                </c:pt>
                <c:pt idx="367">
                  <c:v>57.040570522979401</c:v>
                </c:pt>
                <c:pt idx="368">
                  <c:v>57.047068145800317</c:v>
                </c:pt>
                <c:pt idx="369">
                  <c:v>57.05356576862124</c:v>
                </c:pt>
                <c:pt idx="370">
                  <c:v>57.060063391442156</c:v>
                </c:pt>
                <c:pt idx="371">
                  <c:v>57.066561014263073</c:v>
                </c:pt>
                <c:pt idx="372">
                  <c:v>57.073058637083996</c:v>
                </c:pt>
                <c:pt idx="373">
                  <c:v>57.079556259904912</c:v>
                </c:pt>
                <c:pt idx="374">
                  <c:v>57.086053882725835</c:v>
                </c:pt>
                <c:pt idx="375">
                  <c:v>57.092551505546751</c:v>
                </c:pt>
                <c:pt idx="376">
                  <c:v>57.099049128367675</c:v>
                </c:pt>
                <c:pt idx="377">
                  <c:v>57.105546751188591</c:v>
                </c:pt>
                <c:pt idx="378">
                  <c:v>57.112044374009507</c:v>
                </c:pt>
                <c:pt idx="379">
                  <c:v>57.11854199683043</c:v>
                </c:pt>
                <c:pt idx="380">
                  <c:v>57.125039619651346</c:v>
                </c:pt>
                <c:pt idx="381">
                  <c:v>57.13153724247227</c:v>
                </c:pt>
                <c:pt idx="382">
                  <c:v>57.138034865293186</c:v>
                </c:pt>
                <c:pt idx="383">
                  <c:v>57.144532488114109</c:v>
                </c:pt>
                <c:pt idx="384">
                  <c:v>57.151030110935025</c:v>
                </c:pt>
                <c:pt idx="385">
                  <c:v>57.157527733755941</c:v>
                </c:pt>
                <c:pt idx="386">
                  <c:v>57.170522979397781</c:v>
                </c:pt>
                <c:pt idx="387">
                  <c:v>57.177020602218704</c:v>
                </c:pt>
                <c:pt idx="388">
                  <c:v>57.190015847860536</c:v>
                </c:pt>
                <c:pt idx="389">
                  <c:v>57.203011093502376</c:v>
                </c:pt>
                <c:pt idx="390">
                  <c:v>57.216006339144215</c:v>
                </c:pt>
                <c:pt idx="391">
                  <c:v>57.229001584786054</c:v>
                </c:pt>
                <c:pt idx="392">
                  <c:v>57.24849445324881</c:v>
                </c:pt>
                <c:pt idx="393">
                  <c:v>57.261489698890649</c:v>
                </c:pt>
                <c:pt idx="394">
                  <c:v>57.267987321711573</c:v>
                </c:pt>
                <c:pt idx="395">
                  <c:v>57.280982567353405</c:v>
                </c:pt>
                <c:pt idx="396">
                  <c:v>57.287480190174328</c:v>
                </c:pt>
                <c:pt idx="397">
                  <c:v>57.293977812995244</c:v>
                </c:pt>
                <c:pt idx="398">
                  <c:v>57.300475435816168</c:v>
                </c:pt>
                <c:pt idx="399">
                  <c:v>57.313470681458007</c:v>
                </c:pt>
                <c:pt idx="400">
                  <c:v>57.319968304278923</c:v>
                </c:pt>
                <c:pt idx="401">
                  <c:v>57.326465927099839</c:v>
                </c:pt>
                <c:pt idx="402">
                  <c:v>57.332963549920763</c:v>
                </c:pt>
                <c:pt idx="403">
                  <c:v>57.339461172741679</c:v>
                </c:pt>
                <c:pt idx="404">
                  <c:v>57.345958795562602</c:v>
                </c:pt>
                <c:pt idx="405">
                  <c:v>57.352456418383518</c:v>
                </c:pt>
                <c:pt idx="406">
                  <c:v>57.358954041204441</c:v>
                </c:pt>
                <c:pt idx="407">
                  <c:v>57.365451664025358</c:v>
                </c:pt>
                <c:pt idx="408">
                  <c:v>57.371949286846274</c:v>
                </c:pt>
                <c:pt idx="409">
                  <c:v>57.378446909667197</c:v>
                </c:pt>
                <c:pt idx="410">
                  <c:v>57.384944532488113</c:v>
                </c:pt>
                <c:pt idx="411">
                  <c:v>57.391442155309036</c:v>
                </c:pt>
                <c:pt idx="412">
                  <c:v>57.397939778129953</c:v>
                </c:pt>
                <c:pt idx="413">
                  <c:v>57.404437400950876</c:v>
                </c:pt>
                <c:pt idx="414">
                  <c:v>57.410935023771792</c:v>
                </c:pt>
                <c:pt idx="415">
                  <c:v>57.417432646592715</c:v>
                </c:pt>
                <c:pt idx="416">
                  <c:v>57.423930269413631</c:v>
                </c:pt>
                <c:pt idx="417">
                  <c:v>57.430427892234547</c:v>
                </c:pt>
                <c:pt idx="418">
                  <c:v>57.436925515055471</c:v>
                </c:pt>
                <c:pt idx="419">
                  <c:v>57.443423137876387</c:v>
                </c:pt>
                <c:pt idx="420">
                  <c:v>57.44992076069731</c:v>
                </c:pt>
                <c:pt idx="421">
                  <c:v>57.456418383518226</c:v>
                </c:pt>
                <c:pt idx="422">
                  <c:v>57.462916006339142</c:v>
                </c:pt>
                <c:pt idx="423">
                  <c:v>57.475911251980982</c:v>
                </c:pt>
                <c:pt idx="424">
                  <c:v>57.488906497622821</c:v>
                </c:pt>
                <c:pt idx="425">
                  <c:v>57.495404120443737</c:v>
                </c:pt>
                <c:pt idx="426">
                  <c:v>57.501901743264661</c:v>
                </c:pt>
                <c:pt idx="427">
                  <c:v>57.508399366085577</c:v>
                </c:pt>
                <c:pt idx="428">
                  <c:v>57.521394611727416</c:v>
                </c:pt>
                <c:pt idx="429">
                  <c:v>57.527892234548339</c:v>
                </c:pt>
                <c:pt idx="430">
                  <c:v>57.534389857369256</c:v>
                </c:pt>
                <c:pt idx="431">
                  <c:v>57.540887480190179</c:v>
                </c:pt>
                <c:pt idx="432">
                  <c:v>57.547385103011095</c:v>
                </c:pt>
                <c:pt idx="433">
                  <c:v>57.553882725832011</c:v>
                </c:pt>
                <c:pt idx="434">
                  <c:v>57.560380348652934</c:v>
                </c:pt>
                <c:pt idx="435">
                  <c:v>57.566877971473851</c:v>
                </c:pt>
                <c:pt idx="436">
                  <c:v>57.573375594294774</c:v>
                </c:pt>
                <c:pt idx="437">
                  <c:v>57.57987321711569</c:v>
                </c:pt>
                <c:pt idx="438">
                  <c:v>57.586370839936613</c:v>
                </c:pt>
                <c:pt idx="439">
                  <c:v>57.592868462757529</c:v>
                </c:pt>
                <c:pt idx="440">
                  <c:v>57.599366085578446</c:v>
                </c:pt>
                <c:pt idx="441">
                  <c:v>57.612361331220285</c:v>
                </c:pt>
                <c:pt idx="442">
                  <c:v>57.625356576862124</c:v>
                </c:pt>
                <c:pt idx="443">
                  <c:v>57.638351822503964</c:v>
                </c:pt>
                <c:pt idx="444">
                  <c:v>57.64484944532488</c:v>
                </c:pt>
                <c:pt idx="445">
                  <c:v>57.651347068145803</c:v>
                </c:pt>
                <c:pt idx="446">
                  <c:v>57.657844690966719</c:v>
                </c:pt>
                <c:pt idx="447">
                  <c:v>57.664342313787643</c:v>
                </c:pt>
                <c:pt idx="448">
                  <c:v>57.670839936608559</c:v>
                </c:pt>
                <c:pt idx="449">
                  <c:v>57.677337559429475</c:v>
                </c:pt>
                <c:pt idx="450">
                  <c:v>57.690332805071314</c:v>
                </c:pt>
                <c:pt idx="451">
                  <c:v>57.696830427892237</c:v>
                </c:pt>
                <c:pt idx="452">
                  <c:v>57.703328050713154</c:v>
                </c:pt>
                <c:pt idx="453">
                  <c:v>57.709825673534077</c:v>
                </c:pt>
                <c:pt idx="454">
                  <c:v>57.716323296354993</c:v>
                </c:pt>
                <c:pt idx="455">
                  <c:v>57.722820919175916</c:v>
                </c:pt>
                <c:pt idx="456">
                  <c:v>57.729318541996832</c:v>
                </c:pt>
                <c:pt idx="457">
                  <c:v>57.735816164817749</c:v>
                </c:pt>
                <c:pt idx="458">
                  <c:v>57.742313787638672</c:v>
                </c:pt>
                <c:pt idx="459">
                  <c:v>57.748811410459588</c:v>
                </c:pt>
                <c:pt idx="460">
                  <c:v>57.755309033280511</c:v>
                </c:pt>
                <c:pt idx="461">
                  <c:v>57.761806656101427</c:v>
                </c:pt>
                <c:pt idx="462">
                  <c:v>57.768304278922344</c:v>
                </c:pt>
                <c:pt idx="463">
                  <c:v>57.774801901743267</c:v>
                </c:pt>
                <c:pt idx="464">
                  <c:v>57.781299524564183</c:v>
                </c:pt>
                <c:pt idx="465">
                  <c:v>57.787797147385106</c:v>
                </c:pt>
                <c:pt idx="466">
                  <c:v>57.800792393026946</c:v>
                </c:pt>
                <c:pt idx="467">
                  <c:v>57.813787638668778</c:v>
                </c:pt>
                <c:pt idx="468">
                  <c:v>57.820285261489701</c:v>
                </c:pt>
                <c:pt idx="469">
                  <c:v>57.826782884310617</c:v>
                </c:pt>
                <c:pt idx="470">
                  <c:v>57.833280507131541</c:v>
                </c:pt>
                <c:pt idx="471">
                  <c:v>57.839778129952457</c:v>
                </c:pt>
                <c:pt idx="472">
                  <c:v>57.84627575277338</c:v>
                </c:pt>
                <c:pt idx="473">
                  <c:v>57.852773375594296</c:v>
                </c:pt>
                <c:pt idx="474">
                  <c:v>57.859270998415212</c:v>
                </c:pt>
                <c:pt idx="475">
                  <c:v>57.865768621236136</c:v>
                </c:pt>
                <c:pt idx="476">
                  <c:v>57.872266244057052</c:v>
                </c:pt>
                <c:pt idx="477">
                  <c:v>57.878763866877975</c:v>
                </c:pt>
                <c:pt idx="478">
                  <c:v>57.885261489698891</c:v>
                </c:pt>
                <c:pt idx="479">
                  <c:v>57.891759112519814</c:v>
                </c:pt>
                <c:pt idx="480">
                  <c:v>57.904754358161647</c:v>
                </c:pt>
                <c:pt idx="481">
                  <c:v>57.91125198098257</c:v>
                </c:pt>
                <c:pt idx="482">
                  <c:v>57.917749603803486</c:v>
                </c:pt>
                <c:pt idx="483">
                  <c:v>57.924247226624409</c:v>
                </c:pt>
                <c:pt idx="484">
                  <c:v>57.930744849445325</c:v>
                </c:pt>
                <c:pt idx="485">
                  <c:v>57.937242472266249</c:v>
                </c:pt>
                <c:pt idx="486">
                  <c:v>57.943740095087165</c:v>
                </c:pt>
                <c:pt idx="487">
                  <c:v>57.950237717908081</c:v>
                </c:pt>
                <c:pt idx="488">
                  <c:v>57.956735340729004</c:v>
                </c:pt>
                <c:pt idx="489">
                  <c:v>57.96323296354992</c:v>
                </c:pt>
                <c:pt idx="490">
                  <c:v>57.969730586370844</c:v>
                </c:pt>
                <c:pt idx="491">
                  <c:v>57.97622820919176</c:v>
                </c:pt>
                <c:pt idx="492">
                  <c:v>57.982725832012676</c:v>
                </c:pt>
                <c:pt idx="493">
                  <c:v>57.989223454833599</c:v>
                </c:pt>
                <c:pt idx="494">
                  <c:v>57.995721077654515</c:v>
                </c:pt>
                <c:pt idx="495">
                  <c:v>58.002218700475439</c:v>
                </c:pt>
                <c:pt idx="496">
                  <c:v>58.008716323296355</c:v>
                </c:pt>
                <c:pt idx="497">
                  <c:v>58.021711568938194</c:v>
                </c:pt>
                <c:pt idx="498">
                  <c:v>58.028209191759117</c:v>
                </c:pt>
                <c:pt idx="499">
                  <c:v>58.034706814580034</c:v>
                </c:pt>
                <c:pt idx="500">
                  <c:v>58.047702060221873</c:v>
                </c:pt>
                <c:pt idx="501">
                  <c:v>58.060697305863712</c:v>
                </c:pt>
                <c:pt idx="502">
                  <c:v>58.073692551505545</c:v>
                </c:pt>
                <c:pt idx="503">
                  <c:v>58.080190174326468</c:v>
                </c:pt>
                <c:pt idx="504">
                  <c:v>58.093185419968307</c:v>
                </c:pt>
                <c:pt idx="505">
                  <c:v>58.099683042789223</c:v>
                </c:pt>
                <c:pt idx="506">
                  <c:v>58.112678288431063</c:v>
                </c:pt>
                <c:pt idx="507">
                  <c:v>58.119175911251979</c:v>
                </c:pt>
                <c:pt idx="508">
                  <c:v>58.125673534072902</c:v>
                </c:pt>
                <c:pt idx="509">
                  <c:v>58.132171156893818</c:v>
                </c:pt>
                <c:pt idx="510">
                  <c:v>58.138668779714742</c:v>
                </c:pt>
                <c:pt idx="511">
                  <c:v>58.145166402535658</c:v>
                </c:pt>
                <c:pt idx="512">
                  <c:v>58.151664025356581</c:v>
                </c:pt>
                <c:pt idx="513">
                  <c:v>58.158161648177497</c:v>
                </c:pt>
                <c:pt idx="514">
                  <c:v>58.164659270998413</c:v>
                </c:pt>
                <c:pt idx="515">
                  <c:v>58.171156893819337</c:v>
                </c:pt>
                <c:pt idx="516">
                  <c:v>58.177654516640253</c:v>
                </c:pt>
                <c:pt idx="517">
                  <c:v>58.184152139461176</c:v>
                </c:pt>
                <c:pt idx="518">
                  <c:v>58.190649762282092</c:v>
                </c:pt>
                <c:pt idx="519">
                  <c:v>58.197147385103015</c:v>
                </c:pt>
                <c:pt idx="520">
                  <c:v>58.203645007923932</c:v>
                </c:pt>
                <c:pt idx="521">
                  <c:v>58.210142630744855</c:v>
                </c:pt>
                <c:pt idx="522">
                  <c:v>58.216640253565771</c:v>
                </c:pt>
                <c:pt idx="523">
                  <c:v>58.223137876386687</c:v>
                </c:pt>
                <c:pt idx="524">
                  <c:v>58.22963549920761</c:v>
                </c:pt>
                <c:pt idx="525">
                  <c:v>58.236133122028527</c:v>
                </c:pt>
                <c:pt idx="526">
                  <c:v>58.24263074484945</c:v>
                </c:pt>
                <c:pt idx="527">
                  <c:v>58.255625990491282</c:v>
                </c:pt>
                <c:pt idx="528">
                  <c:v>58.262123613312205</c:v>
                </c:pt>
                <c:pt idx="529">
                  <c:v>58.268621236133121</c:v>
                </c:pt>
                <c:pt idx="530">
                  <c:v>58.275118858954045</c:v>
                </c:pt>
                <c:pt idx="531">
                  <c:v>58.281616481774961</c:v>
                </c:pt>
                <c:pt idx="532">
                  <c:v>58.288114104595884</c:v>
                </c:pt>
                <c:pt idx="533">
                  <c:v>58.2946117274168</c:v>
                </c:pt>
                <c:pt idx="534">
                  <c:v>58.301109350237716</c:v>
                </c:pt>
                <c:pt idx="535">
                  <c:v>58.30760697305864</c:v>
                </c:pt>
                <c:pt idx="536">
                  <c:v>58.314104595879556</c:v>
                </c:pt>
                <c:pt idx="537">
                  <c:v>58.320602218700479</c:v>
                </c:pt>
                <c:pt idx="538">
                  <c:v>58.327099841521395</c:v>
                </c:pt>
                <c:pt idx="539">
                  <c:v>58.333597464342319</c:v>
                </c:pt>
                <c:pt idx="540">
                  <c:v>58.340095087163235</c:v>
                </c:pt>
                <c:pt idx="541">
                  <c:v>58.346592709984151</c:v>
                </c:pt>
                <c:pt idx="542">
                  <c:v>58.353090332805074</c:v>
                </c:pt>
                <c:pt idx="543">
                  <c:v>58.35958795562599</c:v>
                </c:pt>
                <c:pt idx="544">
                  <c:v>58.366085578446913</c:v>
                </c:pt>
                <c:pt idx="545">
                  <c:v>58.37258320126783</c:v>
                </c:pt>
                <c:pt idx="546">
                  <c:v>58.379080824088753</c:v>
                </c:pt>
                <c:pt idx="547">
                  <c:v>58.385578446909669</c:v>
                </c:pt>
                <c:pt idx="548">
                  <c:v>58.392076069730585</c:v>
                </c:pt>
                <c:pt idx="549">
                  <c:v>58.398573692551508</c:v>
                </c:pt>
                <c:pt idx="550">
                  <c:v>58.405071315372425</c:v>
                </c:pt>
                <c:pt idx="551">
                  <c:v>58.411568938193348</c:v>
                </c:pt>
                <c:pt idx="552">
                  <c:v>58.418066561014264</c:v>
                </c:pt>
                <c:pt idx="553">
                  <c:v>58.424564183835187</c:v>
                </c:pt>
                <c:pt idx="554">
                  <c:v>58.431061806656103</c:v>
                </c:pt>
                <c:pt idx="555">
                  <c:v>58.43755942947702</c:v>
                </c:pt>
                <c:pt idx="556">
                  <c:v>58.444057052297943</c:v>
                </c:pt>
                <c:pt idx="557">
                  <c:v>58.450554675118859</c:v>
                </c:pt>
                <c:pt idx="558">
                  <c:v>58.463549920760698</c:v>
                </c:pt>
                <c:pt idx="559">
                  <c:v>58.483042789223454</c:v>
                </c:pt>
                <c:pt idx="560">
                  <c:v>58.496038034865293</c:v>
                </c:pt>
                <c:pt idx="561">
                  <c:v>58.502535657686217</c:v>
                </c:pt>
                <c:pt idx="562">
                  <c:v>58.509033280507133</c:v>
                </c:pt>
                <c:pt idx="563">
                  <c:v>58.515530903328056</c:v>
                </c:pt>
                <c:pt idx="564">
                  <c:v>58.522028526148972</c:v>
                </c:pt>
                <c:pt idx="565">
                  <c:v>58.528526148969888</c:v>
                </c:pt>
                <c:pt idx="566">
                  <c:v>58.535023771790812</c:v>
                </c:pt>
                <c:pt idx="567">
                  <c:v>58.541521394611728</c:v>
                </c:pt>
                <c:pt idx="568">
                  <c:v>58.548019017432651</c:v>
                </c:pt>
                <c:pt idx="569">
                  <c:v>58.554516640253567</c:v>
                </c:pt>
                <c:pt idx="570">
                  <c:v>58.561014263074483</c:v>
                </c:pt>
                <c:pt idx="571">
                  <c:v>58.567511885895406</c:v>
                </c:pt>
                <c:pt idx="572">
                  <c:v>58.580507131537246</c:v>
                </c:pt>
                <c:pt idx="573">
                  <c:v>58.587004754358162</c:v>
                </c:pt>
                <c:pt idx="574">
                  <c:v>58.593502377179085</c:v>
                </c:pt>
                <c:pt idx="575">
                  <c:v>58.6</c:v>
                </c:pt>
                <c:pt idx="576">
                  <c:v>58.606497622820918</c:v>
                </c:pt>
                <c:pt idx="577">
                  <c:v>58.612995245641841</c:v>
                </c:pt>
                <c:pt idx="578">
                  <c:v>58.619492868462757</c:v>
                </c:pt>
                <c:pt idx="579">
                  <c:v>58.62599049128368</c:v>
                </c:pt>
                <c:pt idx="580">
                  <c:v>58.632488114104596</c:v>
                </c:pt>
                <c:pt idx="581">
                  <c:v>58.63898573692552</c:v>
                </c:pt>
                <c:pt idx="582">
                  <c:v>58.645483359746436</c:v>
                </c:pt>
                <c:pt idx="583">
                  <c:v>58.651980982567352</c:v>
                </c:pt>
                <c:pt idx="584">
                  <c:v>58.658478605388275</c:v>
                </c:pt>
                <c:pt idx="585">
                  <c:v>58.664976228209191</c:v>
                </c:pt>
                <c:pt idx="586">
                  <c:v>58.671473851030115</c:v>
                </c:pt>
                <c:pt idx="587">
                  <c:v>58.677971473851031</c:v>
                </c:pt>
                <c:pt idx="588">
                  <c:v>58.684469096671947</c:v>
                </c:pt>
                <c:pt idx="589">
                  <c:v>58.69096671949287</c:v>
                </c:pt>
                <c:pt idx="590">
                  <c:v>58.697464342313793</c:v>
                </c:pt>
                <c:pt idx="591">
                  <c:v>58.70396196513471</c:v>
                </c:pt>
                <c:pt idx="592">
                  <c:v>58.710459587955626</c:v>
                </c:pt>
                <c:pt idx="593">
                  <c:v>58.716957210776549</c:v>
                </c:pt>
                <c:pt idx="594">
                  <c:v>58.723454833597465</c:v>
                </c:pt>
                <c:pt idx="595">
                  <c:v>58.729952456418388</c:v>
                </c:pt>
                <c:pt idx="596">
                  <c:v>58.736450079239305</c:v>
                </c:pt>
                <c:pt idx="597">
                  <c:v>58.742947702060221</c:v>
                </c:pt>
                <c:pt idx="598">
                  <c:v>54.402535657686215</c:v>
                </c:pt>
                <c:pt idx="599">
                  <c:v>54.402535657686215</c:v>
                </c:pt>
                <c:pt idx="600">
                  <c:v>54.402535657686215</c:v>
                </c:pt>
                <c:pt idx="601">
                  <c:v>54.402535657686215</c:v>
                </c:pt>
                <c:pt idx="602">
                  <c:v>54.402535657686215</c:v>
                </c:pt>
                <c:pt idx="603">
                  <c:v>54.402535657686215</c:v>
                </c:pt>
                <c:pt idx="604">
                  <c:v>54.402535657686215</c:v>
                </c:pt>
                <c:pt idx="605">
                  <c:v>54.402535657686215</c:v>
                </c:pt>
                <c:pt idx="606">
                  <c:v>54.402535657686215</c:v>
                </c:pt>
                <c:pt idx="607">
                  <c:v>54.402535657686215</c:v>
                </c:pt>
                <c:pt idx="608">
                  <c:v>54.402535657686215</c:v>
                </c:pt>
                <c:pt idx="609">
                  <c:v>54.402535657686215</c:v>
                </c:pt>
                <c:pt idx="610">
                  <c:v>54.402535657686215</c:v>
                </c:pt>
                <c:pt idx="611">
                  <c:v>54.402535657686215</c:v>
                </c:pt>
                <c:pt idx="612">
                  <c:v>54.402535657686215</c:v>
                </c:pt>
                <c:pt idx="613">
                  <c:v>54.402535657686215</c:v>
                </c:pt>
                <c:pt idx="614">
                  <c:v>54.402535657686215</c:v>
                </c:pt>
                <c:pt idx="615">
                  <c:v>54.402535657686215</c:v>
                </c:pt>
                <c:pt idx="616">
                  <c:v>54.402535657686215</c:v>
                </c:pt>
                <c:pt idx="617">
                  <c:v>54.402535657686215</c:v>
                </c:pt>
                <c:pt idx="618">
                  <c:v>54.402535657686215</c:v>
                </c:pt>
                <c:pt idx="619">
                  <c:v>54.402535657686215</c:v>
                </c:pt>
                <c:pt idx="620">
                  <c:v>54.402535657686215</c:v>
                </c:pt>
                <c:pt idx="621">
                  <c:v>54.402535657686215</c:v>
                </c:pt>
                <c:pt idx="622">
                  <c:v>54.402535657686215</c:v>
                </c:pt>
                <c:pt idx="623">
                  <c:v>54.402535657686215</c:v>
                </c:pt>
                <c:pt idx="624">
                  <c:v>54.402535657686215</c:v>
                </c:pt>
                <c:pt idx="625">
                  <c:v>54.402535657686215</c:v>
                </c:pt>
                <c:pt idx="626">
                  <c:v>54.402535657686215</c:v>
                </c:pt>
                <c:pt idx="627">
                  <c:v>54.402535657686215</c:v>
                </c:pt>
                <c:pt idx="628">
                  <c:v>54.402535657686215</c:v>
                </c:pt>
                <c:pt idx="629">
                  <c:v>54.402535657686215</c:v>
                </c:pt>
                <c:pt idx="630">
                  <c:v>54.402535657686215</c:v>
                </c:pt>
                <c:pt idx="631">
                  <c:v>54.402535657686215</c:v>
                </c:pt>
                <c:pt idx="632">
                  <c:v>54.402535657686215</c:v>
                </c:pt>
                <c:pt idx="633">
                  <c:v>54.402535657686215</c:v>
                </c:pt>
                <c:pt idx="634">
                  <c:v>54.402535657686215</c:v>
                </c:pt>
                <c:pt idx="635">
                  <c:v>54.402535657686215</c:v>
                </c:pt>
                <c:pt idx="636">
                  <c:v>54.402535657686215</c:v>
                </c:pt>
                <c:pt idx="637">
                  <c:v>54.402535657686215</c:v>
                </c:pt>
                <c:pt idx="638">
                  <c:v>54.402535657686215</c:v>
                </c:pt>
                <c:pt idx="639">
                  <c:v>54.402535657686215</c:v>
                </c:pt>
                <c:pt idx="640">
                  <c:v>54.402535657686215</c:v>
                </c:pt>
                <c:pt idx="641">
                  <c:v>54.402535657686215</c:v>
                </c:pt>
                <c:pt idx="642">
                  <c:v>54.402535657686215</c:v>
                </c:pt>
                <c:pt idx="643">
                  <c:v>54.402535657686215</c:v>
                </c:pt>
                <c:pt idx="644">
                  <c:v>54.402535657686215</c:v>
                </c:pt>
                <c:pt idx="645">
                  <c:v>54.402535657686215</c:v>
                </c:pt>
                <c:pt idx="646">
                  <c:v>54.402535657686215</c:v>
                </c:pt>
                <c:pt idx="647">
                  <c:v>54.402535657686215</c:v>
                </c:pt>
                <c:pt idx="648">
                  <c:v>54.402535657686215</c:v>
                </c:pt>
                <c:pt idx="649">
                  <c:v>54.402535657686215</c:v>
                </c:pt>
                <c:pt idx="650">
                  <c:v>54.402535657686215</c:v>
                </c:pt>
                <c:pt idx="651">
                  <c:v>54.402535657686215</c:v>
                </c:pt>
                <c:pt idx="652">
                  <c:v>54.402535657686215</c:v>
                </c:pt>
                <c:pt idx="653">
                  <c:v>54.402535657686215</c:v>
                </c:pt>
                <c:pt idx="654">
                  <c:v>54.402535657686215</c:v>
                </c:pt>
                <c:pt idx="655">
                  <c:v>54.402535657686215</c:v>
                </c:pt>
                <c:pt idx="656">
                  <c:v>54.402535657686215</c:v>
                </c:pt>
                <c:pt idx="657">
                  <c:v>54.402535657686215</c:v>
                </c:pt>
                <c:pt idx="658">
                  <c:v>54.402535657686215</c:v>
                </c:pt>
                <c:pt idx="659">
                  <c:v>54.402535657686215</c:v>
                </c:pt>
                <c:pt idx="660">
                  <c:v>54.402535657686215</c:v>
                </c:pt>
                <c:pt idx="661">
                  <c:v>54.402535657686215</c:v>
                </c:pt>
                <c:pt idx="662">
                  <c:v>54.402535657686215</c:v>
                </c:pt>
                <c:pt idx="663">
                  <c:v>54.402535657686215</c:v>
                </c:pt>
                <c:pt idx="664">
                  <c:v>54.402535657686215</c:v>
                </c:pt>
                <c:pt idx="665">
                  <c:v>54.402535657686215</c:v>
                </c:pt>
                <c:pt idx="666">
                  <c:v>54.402535657686215</c:v>
                </c:pt>
                <c:pt idx="667">
                  <c:v>54.402535657686215</c:v>
                </c:pt>
                <c:pt idx="668">
                  <c:v>54.402535657686215</c:v>
                </c:pt>
                <c:pt idx="669">
                  <c:v>54.402535657686215</c:v>
                </c:pt>
                <c:pt idx="670">
                  <c:v>54.402535657686215</c:v>
                </c:pt>
                <c:pt idx="671">
                  <c:v>54.402535657686215</c:v>
                </c:pt>
                <c:pt idx="672">
                  <c:v>54.402535657686215</c:v>
                </c:pt>
                <c:pt idx="673">
                  <c:v>54.402535657686215</c:v>
                </c:pt>
                <c:pt idx="674">
                  <c:v>54.402535657686215</c:v>
                </c:pt>
                <c:pt idx="675">
                  <c:v>54.402535657686215</c:v>
                </c:pt>
                <c:pt idx="676">
                  <c:v>54.402535657686215</c:v>
                </c:pt>
                <c:pt idx="677">
                  <c:v>54.402535657686215</c:v>
                </c:pt>
                <c:pt idx="678">
                  <c:v>54.402535657686215</c:v>
                </c:pt>
                <c:pt idx="679">
                  <c:v>54.402535657686215</c:v>
                </c:pt>
                <c:pt idx="680">
                  <c:v>54.402535657686215</c:v>
                </c:pt>
                <c:pt idx="681">
                  <c:v>54.402535657686215</c:v>
                </c:pt>
                <c:pt idx="682">
                  <c:v>54.402535657686215</c:v>
                </c:pt>
                <c:pt idx="683">
                  <c:v>54.402535657686215</c:v>
                </c:pt>
                <c:pt idx="684">
                  <c:v>54.402535657686215</c:v>
                </c:pt>
                <c:pt idx="685">
                  <c:v>54.402535657686215</c:v>
                </c:pt>
                <c:pt idx="686">
                  <c:v>54.402535657686215</c:v>
                </c:pt>
                <c:pt idx="687">
                  <c:v>54.402535657686215</c:v>
                </c:pt>
                <c:pt idx="688">
                  <c:v>54.402535657686215</c:v>
                </c:pt>
                <c:pt idx="689">
                  <c:v>54.402535657686215</c:v>
                </c:pt>
                <c:pt idx="690">
                  <c:v>54.402535657686215</c:v>
                </c:pt>
                <c:pt idx="691">
                  <c:v>54.402535657686215</c:v>
                </c:pt>
                <c:pt idx="692">
                  <c:v>54.402535657686215</c:v>
                </c:pt>
                <c:pt idx="693">
                  <c:v>54.402535657686215</c:v>
                </c:pt>
                <c:pt idx="694">
                  <c:v>54.402535657686215</c:v>
                </c:pt>
                <c:pt idx="695">
                  <c:v>54.402535657686215</c:v>
                </c:pt>
                <c:pt idx="696">
                  <c:v>54.402535657686215</c:v>
                </c:pt>
                <c:pt idx="697">
                  <c:v>54.402535657686215</c:v>
                </c:pt>
                <c:pt idx="698">
                  <c:v>54.402535657686215</c:v>
                </c:pt>
                <c:pt idx="699">
                  <c:v>54.402535657686215</c:v>
                </c:pt>
                <c:pt idx="700">
                  <c:v>54.402535657686215</c:v>
                </c:pt>
                <c:pt idx="701">
                  <c:v>54.402535657686215</c:v>
                </c:pt>
                <c:pt idx="702">
                  <c:v>54.402535657686215</c:v>
                </c:pt>
                <c:pt idx="703">
                  <c:v>54.402535657686215</c:v>
                </c:pt>
                <c:pt idx="704">
                  <c:v>54.402535657686215</c:v>
                </c:pt>
                <c:pt idx="705">
                  <c:v>54.402535657686215</c:v>
                </c:pt>
                <c:pt idx="706">
                  <c:v>54.402535657686215</c:v>
                </c:pt>
                <c:pt idx="707">
                  <c:v>54.402535657686215</c:v>
                </c:pt>
                <c:pt idx="708">
                  <c:v>54.402535657686215</c:v>
                </c:pt>
                <c:pt idx="709">
                  <c:v>54.402535657686215</c:v>
                </c:pt>
                <c:pt idx="710">
                  <c:v>54.402535657686215</c:v>
                </c:pt>
                <c:pt idx="711">
                  <c:v>54.402535657686215</c:v>
                </c:pt>
                <c:pt idx="712">
                  <c:v>54.402535657686215</c:v>
                </c:pt>
                <c:pt idx="713">
                  <c:v>54.402535657686215</c:v>
                </c:pt>
                <c:pt idx="714">
                  <c:v>54.402535657686215</c:v>
                </c:pt>
                <c:pt idx="715">
                  <c:v>54.402535657686215</c:v>
                </c:pt>
                <c:pt idx="716">
                  <c:v>54.402535657686215</c:v>
                </c:pt>
                <c:pt idx="717">
                  <c:v>54.402535657686215</c:v>
                </c:pt>
                <c:pt idx="718">
                  <c:v>54.402535657686215</c:v>
                </c:pt>
                <c:pt idx="719">
                  <c:v>54.402535657686215</c:v>
                </c:pt>
                <c:pt idx="720">
                  <c:v>54.402535657686215</c:v>
                </c:pt>
                <c:pt idx="721">
                  <c:v>54.402535657686215</c:v>
                </c:pt>
                <c:pt idx="722">
                  <c:v>54.402535657686215</c:v>
                </c:pt>
                <c:pt idx="723">
                  <c:v>54.402535657686215</c:v>
                </c:pt>
                <c:pt idx="724">
                  <c:v>54.402535657686215</c:v>
                </c:pt>
                <c:pt idx="725">
                  <c:v>54.402535657686215</c:v>
                </c:pt>
                <c:pt idx="726">
                  <c:v>54.402535657686215</c:v>
                </c:pt>
                <c:pt idx="727">
                  <c:v>54.402535657686215</c:v>
                </c:pt>
                <c:pt idx="728">
                  <c:v>54.402535657686215</c:v>
                </c:pt>
                <c:pt idx="729">
                  <c:v>54.402535657686215</c:v>
                </c:pt>
                <c:pt idx="730">
                  <c:v>54.402535657686215</c:v>
                </c:pt>
                <c:pt idx="731">
                  <c:v>54.402535657686215</c:v>
                </c:pt>
                <c:pt idx="732">
                  <c:v>54.402535657686215</c:v>
                </c:pt>
                <c:pt idx="733">
                  <c:v>54.402535657686215</c:v>
                </c:pt>
                <c:pt idx="734">
                  <c:v>54.402535657686215</c:v>
                </c:pt>
                <c:pt idx="735">
                  <c:v>54.402535657686215</c:v>
                </c:pt>
                <c:pt idx="736">
                  <c:v>54.402535657686215</c:v>
                </c:pt>
                <c:pt idx="737">
                  <c:v>54.402535657686215</c:v>
                </c:pt>
                <c:pt idx="738">
                  <c:v>54.402535657686215</c:v>
                </c:pt>
                <c:pt idx="739">
                  <c:v>54.402535657686215</c:v>
                </c:pt>
                <c:pt idx="740">
                  <c:v>54.402535657686215</c:v>
                </c:pt>
                <c:pt idx="741">
                  <c:v>54.402535657686215</c:v>
                </c:pt>
                <c:pt idx="742">
                  <c:v>54.402535657686215</c:v>
                </c:pt>
                <c:pt idx="743">
                  <c:v>54.402535657686215</c:v>
                </c:pt>
                <c:pt idx="744">
                  <c:v>54.402535657686215</c:v>
                </c:pt>
                <c:pt idx="745">
                  <c:v>54.402535657686215</c:v>
                </c:pt>
                <c:pt idx="746">
                  <c:v>54.402535657686215</c:v>
                </c:pt>
                <c:pt idx="747">
                  <c:v>54.402535657686215</c:v>
                </c:pt>
                <c:pt idx="748">
                  <c:v>54.402535657686215</c:v>
                </c:pt>
                <c:pt idx="749">
                  <c:v>54.402535657686215</c:v>
                </c:pt>
                <c:pt idx="750">
                  <c:v>54.402535657686215</c:v>
                </c:pt>
                <c:pt idx="751">
                  <c:v>54.402535657686215</c:v>
                </c:pt>
                <c:pt idx="752">
                  <c:v>54.402535657686215</c:v>
                </c:pt>
                <c:pt idx="753">
                  <c:v>54.402535657686215</c:v>
                </c:pt>
                <c:pt idx="754">
                  <c:v>54.402535657686215</c:v>
                </c:pt>
                <c:pt idx="755">
                  <c:v>54.402535657686215</c:v>
                </c:pt>
                <c:pt idx="756">
                  <c:v>54.402535657686215</c:v>
                </c:pt>
                <c:pt idx="757">
                  <c:v>54.402535657686215</c:v>
                </c:pt>
                <c:pt idx="758">
                  <c:v>54.402535657686215</c:v>
                </c:pt>
                <c:pt idx="759">
                  <c:v>54.402535657686215</c:v>
                </c:pt>
                <c:pt idx="760">
                  <c:v>54.402535657686215</c:v>
                </c:pt>
                <c:pt idx="761">
                  <c:v>54.402535657686215</c:v>
                </c:pt>
                <c:pt idx="762">
                  <c:v>54.402535657686215</c:v>
                </c:pt>
                <c:pt idx="763">
                  <c:v>54.402535657686215</c:v>
                </c:pt>
                <c:pt idx="764">
                  <c:v>54.402535657686215</c:v>
                </c:pt>
                <c:pt idx="765">
                  <c:v>54.402535657686215</c:v>
                </c:pt>
                <c:pt idx="766">
                  <c:v>54.402535657686215</c:v>
                </c:pt>
                <c:pt idx="767">
                  <c:v>54.402535657686215</c:v>
                </c:pt>
                <c:pt idx="768">
                  <c:v>54.402535657686215</c:v>
                </c:pt>
                <c:pt idx="769">
                  <c:v>54.402535657686215</c:v>
                </c:pt>
                <c:pt idx="770">
                  <c:v>54.402535657686215</c:v>
                </c:pt>
                <c:pt idx="771">
                  <c:v>54.402535657686215</c:v>
                </c:pt>
                <c:pt idx="772">
                  <c:v>54.402535657686215</c:v>
                </c:pt>
                <c:pt idx="773">
                  <c:v>54.402535657686215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90-43D3-BB7E-2696D0AAA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Zealio V2 AC (78g)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TEST2!$M$7:$M$5001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0.72499999999999998</c:v>
                </c:pt>
                <c:pt idx="144">
                  <c:v>0.73</c:v>
                </c:pt>
                <c:pt idx="145">
                  <c:v>0.74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0.76500000000000001</c:v>
                </c:pt>
                <c:pt idx="151">
                  <c:v>0.77</c:v>
                </c:pt>
                <c:pt idx="152">
                  <c:v>0.77500000000000002</c:v>
                </c:pt>
                <c:pt idx="153">
                  <c:v>0.78</c:v>
                </c:pt>
                <c:pt idx="154">
                  <c:v>0.78500000000000003</c:v>
                </c:pt>
                <c:pt idx="155">
                  <c:v>0.79</c:v>
                </c:pt>
                <c:pt idx="156">
                  <c:v>0.79500000000000004</c:v>
                </c:pt>
                <c:pt idx="157">
                  <c:v>0.8</c:v>
                </c:pt>
                <c:pt idx="158">
                  <c:v>0.80500000000000005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0.83</c:v>
                </c:pt>
                <c:pt idx="164">
                  <c:v>0.83499999999999996</c:v>
                </c:pt>
                <c:pt idx="165">
                  <c:v>0.84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0.85499999999999998</c:v>
                </c:pt>
                <c:pt idx="169">
                  <c:v>0.86</c:v>
                </c:pt>
                <c:pt idx="170">
                  <c:v>0.86499999999999999</c:v>
                </c:pt>
                <c:pt idx="171">
                  <c:v>0.87</c:v>
                </c:pt>
                <c:pt idx="172">
                  <c:v>0.875</c:v>
                </c:pt>
                <c:pt idx="173">
                  <c:v>0.88</c:v>
                </c:pt>
                <c:pt idx="174">
                  <c:v>0.88500000000000001</c:v>
                </c:pt>
                <c:pt idx="175">
                  <c:v>0.89</c:v>
                </c:pt>
                <c:pt idx="176">
                  <c:v>0.89500000000000002</c:v>
                </c:pt>
                <c:pt idx="177">
                  <c:v>0.9</c:v>
                </c:pt>
                <c:pt idx="178">
                  <c:v>0.90500000000000003</c:v>
                </c:pt>
                <c:pt idx="179">
                  <c:v>0.91</c:v>
                </c:pt>
                <c:pt idx="180">
                  <c:v>0.91500000000000004</c:v>
                </c:pt>
                <c:pt idx="181">
                  <c:v>0.92</c:v>
                </c:pt>
                <c:pt idx="182">
                  <c:v>0.92500000000000004</c:v>
                </c:pt>
                <c:pt idx="183">
                  <c:v>0.93</c:v>
                </c:pt>
                <c:pt idx="184">
                  <c:v>0.93500000000000005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</c:v>
                </c:pt>
                <c:pt idx="188">
                  <c:v>0.95499999999999996</c:v>
                </c:pt>
                <c:pt idx="189">
                  <c:v>0.96</c:v>
                </c:pt>
                <c:pt idx="190">
                  <c:v>0.96499999999999997</c:v>
                </c:pt>
                <c:pt idx="191">
                  <c:v>0.97</c:v>
                </c:pt>
                <c:pt idx="192">
                  <c:v>0.97499999999999998</c:v>
                </c:pt>
                <c:pt idx="193">
                  <c:v>0.98</c:v>
                </c:pt>
                <c:pt idx="194">
                  <c:v>0.98499999999999999</c:v>
                </c:pt>
                <c:pt idx="195">
                  <c:v>0.99</c:v>
                </c:pt>
                <c:pt idx="196">
                  <c:v>0.995</c:v>
                </c:pt>
                <c:pt idx="197">
                  <c:v>1</c:v>
                </c:pt>
                <c:pt idx="198">
                  <c:v>1.01</c:v>
                </c:pt>
                <c:pt idx="199">
                  <c:v>1.0149999999999999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1.04</c:v>
                </c:pt>
                <c:pt idx="205">
                  <c:v>1.05</c:v>
                </c:pt>
                <c:pt idx="206">
                  <c:v>1.0549999999999999</c:v>
                </c:pt>
                <c:pt idx="207">
                  <c:v>1.0649999999999999</c:v>
                </c:pt>
                <c:pt idx="208">
                  <c:v>1.08</c:v>
                </c:pt>
                <c:pt idx="209">
                  <c:v>1.0900000000000001</c:v>
                </c:pt>
                <c:pt idx="210">
                  <c:v>1.095</c:v>
                </c:pt>
                <c:pt idx="211">
                  <c:v>1.105</c:v>
                </c:pt>
                <c:pt idx="212">
                  <c:v>1.115</c:v>
                </c:pt>
                <c:pt idx="213">
                  <c:v>1.125</c:v>
                </c:pt>
                <c:pt idx="214">
                  <c:v>1.1399999999999999</c:v>
                </c:pt>
                <c:pt idx="215">
                  <c:v>1.155</c:v>
                </c:pt>
                <c:pt idx="216">
                  <c:v>1.17</c:v>
                </c:pt>
                <c:pt idx="217">
                  <c:v>1.18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1.22</c:v>
                </c:pt>
                <c:pt idx="225">
                  <c:v>1.23</c:v>
                </c:pt>
                <c:pt idx="226">
                  <c:v>1.24</c:v>
                </c:pt>
                <c:pt idx="227">
                  <c:v>1.25</c:v>
                </c:pt>
                <c:pt idx="228">
                  <c:v>1.26</c:v>
                </c:pt>
                <c:pt idx="229">
                  <c:v>1.2749999999999999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1.44</c:v>
                </c:pt>
                <c:pt idx="261">
                  <c:v>1.4450000000000001</c:v>
                </c:pt>
                <c:pt idx="262">
                  <c:v>1.45</c:v>
                </c:pt>
                <c:pt idx="263">
                  <c:v>1.4550000000000001</c:v>
                </c:pt>
                <c:pt idx="264">
                  <c:v>1.46</c:v>
                </c:pt>
                <c:pt idx="265">
                  <c:v>1.4650000000000001</c:v>
                </c:pt>
                <c:pt idx="266">
                  <c:v>1.47</c:v>
                </c:pt>
                <c:pt idx="267">
                  <c:v>1.4750000000000001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1.49</c:v>
                </c:pt>
                <c:pt idx="271">
                  <c:v>1.5</c:v>
                </c:pt>
                <c:pt idx="272">
                  <c:v>1.5049999999999999</c:v>
                </c:pt>
                <c:pt idx="273">
                  <c:v>1.5149999999999999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1.56</c:v>
                </c:pt>
                <c:pt idx="282">
                  <c:v>1.5649999999999999</c:v>
                </c:pt>
                <c:pt idx="283">
                  <c:v>1.57</c:v>
                </c:pt>
                <c:pt idx="284">
                  <c:v>1.575</c:v>
                </c:pt>
                <c:pt idx="285">
                  <c:v>1.58</c:v>
                </c:pt>
                <c:pt idx="286">
                  <c:v>1.585</c:v>
                </c:pt>
                <c:pt idx="287">
                  <c:v>1.595</c:v>
                </c:pt>
                <c:pt idx="288">
                  <c:v>1.6</c:v>
                </c:pt>
                <c:pt idx="289">
                  <c:v>1.61</c:v>
                </c:pt>
                <c:pt idx="290">
                  <c:v>1.615</c:v>
                </c:pt>
                <c:pt idx="291">
                  <c:v>1.62</c:v>
                </c:pt>
                <c:pt idx="292">
                  <c:v>1.625</c:v>
                </c:pt>
                <c:pt idx="293">
                  <c:v>1.635</c:v>
                </c:pt>
                <c:pt idx="294">
                  <c:v>1.64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1.665</c:v>
                </c:pt>
                <c:pt idx="299">
                  <c:v>1.67</c:v>
                </c:pt>
                <c:pt idx="300">
                  <c:v>1.675</c:v>
                </c:pt>
                <c:pt idx="301">
                  <c:v>1.68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1.7050000000000001</c:v>
                </c:pt>
                <c:pt idx="307">
                  <c:v>1.71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1.7250000000000001</c:v>
                </c:pt>
                <c:pt idx="311">
                  <c:v>1.73</c:v>
                </c:pt>
                <c:pt idx="312">
                  <c:v>1.7350000000000001</c:v>
                </c:pt>
                <c:pt idx="313">
                  <c:v>1.74</c:v>
                </c:pt>
                <c:pt idx="314">
                  <c:v>1.7450000000000001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1.78</c:v>
                </c:pt>
                <c:pt idx="322">
                  <c:v>1.7849999999999999</c:v>
                </c:pt>
                <c:pt idx="323">
                  <c:v>1.79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1.8149999999999999</c:v>
                </c:pt>
                <c:pt idx="329">
                  <c:v>1.82</c:v>
                </c:pt>
                <c:pt idx="330">
                  <c:v>1.825</c:v>
                </c:pt>
                <c:pt idx="331">
                  <c:v>1.83</c:v>
                </c:pt>
                <c:pt idx="332">
                  <c:v>1.835</c:v>
                </c:pt>
                <c:pt idx="333">
                  <c:v>1.84</c:v>
                </c:pt>
                <c:pt idx="334">
                  <c:v>1.845</c:v>
                </c:pt>
                <c:pt idx="335">
                  <c:v>1.85</c:v>
                </c:pt>
                <c:pt idx="336">
                  <c:v>1.855</c:v>
                </c:pt>
                <c:pt idx="337">
                  <c:v>1.86</c:v>
                </c:pt>
                <c:pt idx="338">
                  <c:v>1.865</c:v>
                </c:pt>
                <c:pt idx="339">
                  <c:v>1.87</c:v>
                </c:pt>
                <c:pt idx="340">
                  <c:v>1.88</c:v>
                </c:pt>
                <c:pt idx="341">
                  <c:v>1.89</c:v>
                </c:pt>
                <c:pt idx="342">
                  <c:v>1.9</c:v>
                </c:pt>
                <c:pt idx="343">
                  <c:v>1.905</c:v>
                </c:pt>
                <c:pt idx="344">
                  <c:v>1.915</c:v>
                </c:pt>
                <c:pt idx="345">
                  <c:v>1.92</c:v>
                </c:pt>
                <c:pt idx="346">
                  <c:v>1.925</c:v>
                </c:pt>
                <c:pt idx="347">
                  <c:v>1.93</c:v>
                </c:pt>
                <c:pt idx="348">
                  <c:v>1.94</c:v>
                </c:pt>
                <c:pt idx="349">
                  <c:v>1.9450000000000001</c:v>
                </c:pt>
                <c:pt idx="350">
                  <c:v>1.9550000000000001</c:v>
                </c:pt>
                <c:pt idx="351">
                  <c:v>1.9650000000000001</c:v>
                </c:pt>
                <c:pt idx="352">
                  <c:v>1.97</c:v>
                </c:pt>
                <c:pt idx="353">
                  <c:v>1.98</c:v>
                </c:pt>
                <c:pt idx="354">
                  <c:v>1.9850000000000001</c:v>
                </c:pt>
                <c:pt idx="355">
                  <c:v>1.9950000000000001</c:v>
                </c:pt>
                <c:pt idx="356">
                  <c:v>2</c:v>
                </c:pt>
                <c:pt idx="357">
                  <c:v>2.0049999999999999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2.0550000000000002</c:v>
                </c:pt>
                <c:pt idx="364">
                  <c:v>2.0649999999999999</c:v>
                </c:pt>
                <c:pt idx="365">
                  <c:v>2.0699999999999998</c:v>
                </c:pt>
                <c:pt idx="366">
                  <c:v>2.08</c:v>
                </c:pt>
                <c:pt idx="367">
                  <c:v>2.085</c:v>
                </c:pt>
                <c:pt idx="368">
                  <c:v>2.0950000000000002</c:v>
                </c:pt>
                <c:pt idx="369">
                  <c:v>2.105</c:v>
                </c:pt>
                <c:pt idx="370">
                  <c:v>2.11</c:v>
                </c:pt>
                <c:pt idx="371">
                  <c:v>2.12</c:v>
                </c:pt>
                <c:pt idx="372">
                  <c:v>2.125</c:v>
                </c:pt>
                <c:pt idx="373">
                  <c:v>2.1349999999999998</c:v>
                </c:pt>
                <c:pt idx="374">
                  <c:v>2.14</c:v>
                </c:pt>
                <c:pt idx="375">
                  <c:v>2.15</c:v>
                </c:pt>
                <c:pt idx="376">
                  <c:v>2.1549999999999998</c:v>
                </c:pt>
                <c:pt idx="377">
                  <c:v>2.16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2.1949999999999998</c:v>
                </c:pt>
                <c:pt idx="383">
                  <c:v>2.2000000000000002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2.2200000000000002</c:v>
                </c:pt>
                <c:pt idx="388">
                  <c:v>2.2250000000000001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2.2400000000000002</c:v>
                </c:pt>
                <c:pt idx="392">
                  <c:v>2.2450000000000001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2.2599999999999998</c:v>
                </c:pt>
                <c:pt idx="396">
                  <c:v>2.2650000000000001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2.2799999999999998</c:v>
                </c:pt>
                <c:pt idx="400">
                  <c:v>2.2850000000000001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2.2999999999999998</c:v>
                </c:pt>
                <c:pt idx="404">
                  <c:v>2.3050000000000002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2.34</c:v>
                </c:pt>
                <c:pt idx="411">
                  <c:v>2.3450000000000002</c:v>
                </c:pt>
                <c:pt idx="412">
                  <c:v>2.35</c:v>
                </c:pt>
                <c:pt idx="413">
                  <c:v>2.355</c:v>
                </c:pt>
                <c:pt idx="414">
                  <c:v>2.36</c:v>
                </c:pt>
                <c:pt idx="415">
                  <c:v>2.3650000000000002</c:v>
                </c:pt>
                <c:pt idx="416">
                  <c:v>2.37</c:v>
                </c:pt>
                <c:pt idx="417">
                  <c:v>2.375</c:v>
                </c:pt>
                <c:pt idx="418">
                  <c:v>2.38</c:v>
                </c:pt>
                <c:pt idx="419">
                  <c:v>2.3849999999999998</c:v>
                </c:pt>
                <c:pt idx="420">
                  <c:v>2.39</c:v>
                </c:pt>
                <c:pt idx="421">
                  <c:v>2.395</c:v>
                </c:pt>
                <c:pt idx="422">
                  <c:v>2.4</c:v>
                </c:pt>
                <c:pt idx="423">
                  <c:v>2.4049999999999998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2.4249999999999998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2.4750000000000001</c:v>
                </c:pt>
                <c:pt idx="437">
                  <c:v>2.48</c:v>
                </c:pt>
                <c:pt idx="438">
                  <c:v>2.4900000000000002</c:v>
                </c:pt>
                <c:pt idx="439">
                  <c:v>2.5</c:v>
                </c:pt>
                <c:pt idx="440">
                  <c:v>2.5099999999999998</c:v>
                </c:pt>
                <c:pt idx="441">
                  <c:v>2.52</c:v>
                </c:pt>
                <c:pt idx="442">
                  <c:v>2.5299999999999998</c:v>
                </c:pt>
                <c:pt idx="443">
                  <c:v>2.5350000000000001</c:v>
                </c:pt>
                <c:pt idx="444">
                  <c:v>2.54</c:v>
                </c:pt>
                <c:pt idx="445">
                  <c:v>2.5499999999999998</c:v>
                </c:pt>
                <c:pt idx="446">
                  <c:v>2.5550000000000002</c:v>
                </c:pt>
                <c:pt idx="447">
                  <c:v>2.56</c:v>
                </c:pt>
                <c:pt idx="448">
                  <c:v>2.5649999999999999</c:v>
                </c:pt>
                <c:pt idx="449">
                  <c:v>2.57</c:v>
                </c:pt>
                <c:pt idx="450">
                  <c:v>2.5750000000000002</c:v>
                </c:pt>
                <c:pt idx="451">
                  <c:v>2.58</c:v>
                </c:pt>
                <c:pt idx="452">
                  <c:v>2.585</c:v>
                </c:pt>
                <c:pt idx="453">
                  <c:v>2.59</c:v>
                </c:pt>
                <c:pt idx="454">
                  <c:v>2.5950000000000002</c:v>
                </c:pt>
                <c:pt idx="455">
                  <c:v>2.6</c:v>
                </c:pt>
                <c:pt idx="456">
                  <c:v>2.605</c:v>
                </c:pt>
                <c:pt idx="457">
                  <c:v>2.61</c:v>
                </c:pt>
                <c:pt idx="458">
                  <c:v>2.6150000000000002</c:v>
                </c:pt>
                <c:pt idx="459">
                  <c:v>2.62</c:v>
                </c:pt>
                <c:pt idx="460">
                  <c:v>2.625</c:v>
                </c:pt>
                <c:pt idx="461">
                  <c:v>2.63</c:v>
                </c:pt>
                <c:pt idx="462">
                  <c:v>2.6349999999999998</c:v>
                </c:pt>
                <c:pt idx="463">
                  <c:v>2.64</c:v>
                </c:pt>
                <c:pt idx="464">
                  <c:v>2.645</c:v>
                </c:pt>
                <c:pt idx="465">
                  <c:v>2.65</c:v>
                </c:pt>
                <c:pt idx="466">
                  <c:v>2.6549999999999998</c:v>
                </c:pt>
                <c:pt idx="467">
                  <c:v>2.66</c:v>
                </c:pt>
                <c:pt idx="468">
                  <c:v>2.665</c:v>
                </c:pt>
                <c:pt idx="469">
                  <c:v>2.67</c:v>
                </c:pt>
                <c:pt idx="470">
                  <c:v>2.6749999999999998</c:v>
                </c:pt>
                <c:pt idx="471">
                  <c:v>2.68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2.72</c:v>
                </c:pt>
                <c:pt idx="480">
                  <c:v>2.7250000000000001</c:v>
                </c:pt>
                <c:pt idx="481">
                  <c:v>2.73</c:v>
                </c:pt>
                <c:pt idx="482">
                  <c:v>2.7349999999999999</c:v>
                </c:pt>
                <c:pt idx="483">
                  <c:v>2.74</c:v>
                </c:pt>
                <c:pt idx="484">
                  <c:v>2.7450000000000001</c:v>
                </c:pt>
                <c:pt idx="485">
                  <c:v>2.75</c:v>
                </c:pt>
                <c:pt idx="486">
                  <c:v>2.7549999999999999</c:v>
                </c:pt>
                <c:pt idx="487">
                  <c:v>2.76</c:v>
                </c:pt>
                <c:pt idx="488">
                  <c:v>2.7650000000000001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</c:v>
                </c:pt>
                <c:pt idx="492">
                  <c:v>2.7850000000000001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</c:v>
                </c:pt>
                <c:pt idx="496">
                  <c:v>2.8050000000000002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</c:v>
                </c:pt>
                <c:pt idx="500">
                  <c:v>2.8250000000000002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2.8450000000000002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2.87</c:v>
                </c:pt>
                <c:pt idx="509">
                  <c:v>2.875</c:v>
                </c:pt>
                <c:pt idx="510">
                  <c:v>2.88</c:v>
                </c:pt>
                <c:pt idx="511">
                  <c:v>2.8849999999999998</c:v>
                </c:pt>
                <c:pt idx="512">
                  <c:v>2.89</c:v>
                </c:pt>
                <c:pt idx="513">
                  <c:v>2.895</c:v>
                </c:pt>
                <c:pt idx="514">
                  <c:v>2.9</c:v>
                </c:pt>
                <c:pt idx="515">
                  <c:v>2.9049999999999998</c:v>
                </c:pt>
                <c:pt idx="516">
                  <c:v>2.91</c:v>
                </c:pt>
                <c:pt idx="517">
                  <c:v>2.915</c:v>
                </c:pt>
                <c:pt idx="518">
                  <c:v>2.92</c:v>
                </c:pt>
                <c:pt idx="519">
                  <c:v>2.9249999999999998</c:v>
                </c:pt>
                <c:pt idx="520">
                  <c:v>2.93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2.9449999999999998</c:v>
                </c:pt>
                <c:pt idx="524">
                  <c:v>2.95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2.9649999999999999</c:v>
                </c:pt>
                <c:pt idx="528">
                  <c:v>2.97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2.99</c:v>
                </c:pt>
                <c:pt idx="533">
                  <c:v>2.9950000000000001</c:v>
                </c:pt>
                <c:pt idx="534">
                  <c:v>3</c:v>
                </c:pt>
                <c:pt idx="535">
                  <c:v>3.0049999999999999</c:v>
                </c:pt>
                <c:pt idx="536">
                  <c:v>3.01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</c:v>
                </c:pt>
                <c:pt idx="541">
                  <c:v>3.0350000000000001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</c:v>
                </c:pt>
                <c:pt idx="545">
                  <c:v>3.0550000000000002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</c:v>
                </c:pt>
                <c:pt idx="549">
                  <c:v>3.0750000000000002</c:v>
                </c:pt>
                <c:pt idx="550">
                  <c:v>3.08</c:v>
                </c:pt>
                <c:pt idx="551">
                  <c:v>3.085</c:v>
                </c:pt>
                <c:pt idx="552">
                  <c:v>3.09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3.105</c:v>
                </c:pt>
                <c:pt idx="556">
                  <c:v>3.11</c:v>
                </c:pt>
                <c:pt idx="557">
                  <c:v>3.1150000000000002</c:v>
                </c:pt>
                <c:pt idx="558">
                  <c:v>3.12</c:v>
                </c:pt>
                <c:pt idx="559">
                  <c:v>3.125</c:v>
                </c:pt>
                <c:pt idx="560">
                  <c:v>3.13</c:v>
                </c:pt>
                <c:pt idx="561">
                  <c:v>3.1349999999999998</c:v>
                </c:pt>
                <c:pt idx="562">
                  <c:v>3.14</c:v>
                </c:pt>
                <c:pt idx="563">
                  <c:v>3.15</c:v>
                </c:pt>
                <c:pt idx="564">
                  <c:v>3.1549999999999998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3.2749999999999999</c:v>
                </c:pt>
                <c:pt idx="589">
                  <c:v>3.28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</c:v>
                </c:pt>
                <c:pt idx="594">
                  <c:v>3.3050000000000002</c:v>
                </c:pt>
                <c:pt idx="595">
                  <c:v>3.31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3.3250000000000002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3.35</c:v>
                </c:pt>
                <c:pt idx="603">
                  <c:v>3.355</c:v>
                </c:pt>
                <c:pt idx="604">
                  <c:v>3.3650000000000002</c:v>
                </c:pt>
                <c:pt idx="605">
                  <c:v>3.375</c:v>
                </c:pt>
                <c:pt idx="606">
                  <c:v>3.38</c:v>
                </c:pt>
                <c:pt idx="607">
                  <c:v>3.39</c:v>
                </c:pt>
                <c:pt idx="608">
                  <c:v>3.395</c:v>
                </c:pt>
                <c:pt idx="609">
                  <c:v>3.4</c:v>
                </c:pt>
                <c:pt idx="610">
                  <c:v>3.41</c:v>
                </c:pt>
                <c:pt idx="611">
                  <c:v>3.415</c:v>
                </c:pt>
                <c:pt idx="612">
                  <c:v>3.42</c:v>
                </c:pt>
                <c:pt idx="613">
                  <c:v>3.4249999999999998</c:v>
                </c:pt>
                <c:pt idx="614">
                  <c:v>3.43</c:v>
                </c:pt>
                <c:pt idx="615">
                  <c:v>3.4350000000000001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3.45</c:v>
                </c:pt>
                <c:pt idx="619">
                  <c:v>3.4550000000000001</c:v>
                </c:pt>
                <c:pt idx="620">
                  <c:v>3.46</c:v>
                </c:pt>
                <c:pt idx="621">
                  <c:v>3.4649999999999999</c:v>
                </c:pt>
                <c:pt idx="622">
                  <c:v>3.47</c:v>
                </c:pt>
                <c:pt idx="623">
                  <c:v>3.4750000000000001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3.49</c:v>
                </c:pt>
                <c:pt idx="627">
                  <c:v>3.4950000000000001</c:v>
                </c:pt>
                <c:pt idx="628">
                  <c:v>3.5</c:v>
                </c:pt>
                <c:pt idx="629">
                  <c:v>3.5049999999999999</c:v>
                </c:pt>
                <c:pt idx="630">
                  <c:v>3.5150000000000001</c:v>
                </c:pt>
                <c:pt idx="631">
                  <c:v>3.52</c:v>
                </c:pt>
                <c:pt idx="632">
                  <c:v>3.5249999999999999</c:v>
                </c:pt>
                <c:pt idx="633">
                  <c:v>3.53</c:v>
                </c:pt>
                <c:pt idx="634">
                  <c:v>3.5350000000000001</c:v>
                </c:pt>
                <c:pt idx="635">
                  <c:v>3.54</c:v>
                </c:pt>
                <c:pt idx="636">
                  <c:v>3.5449999999999999</c:v>
                </c:pt>
                <c:pt idx="637">
                  <c:v>3.55</c:v>
                </c:pt>
                <c:pt idx="638">
                  <c:v>3.5550000000000002</c:v>
                </c:pt>
                <c:pt idx="639">
                  <c:v>3.56</c:v>
                </c:pt>
                <c:pt idx="640">
                  <c:v>3.5649999999999999</c:v>
                </c:pt>
                <c:pt idx="641">
                  <c:v>3.57</c:v>
                </c:pt>
                <c:pt idx="642">
                  <c:v>3.5750000000000002</c:v>
                </c:pt>
                <c:pt idx="643">
                  <c:v>3.58</c:v>
                </c:pt>
                <c:pt idx="644">
                  <c:v>3.585</c:v>
                </c:pt>
                <c:pt idx="645">
                  <c:v>3.59</c:v>
                </c:pt>
                <c:pt idx="646">
                  <c:v>3.5950000000000002</c:v>
                </c:pt>
                <c:pt idx="647">
                  <c:v>3.6</c:v>
                </c:pt>
                <c:pt idx="648">
                  <c:v>3.605</c:v>
                </c:pt>
                <c:pt idx="649">
                  <c:v>3.61</c:v>
                </c:pt>
                <c:pt idx="650">
                  <c:v>3.6150000000000002</c:v>
                </c:pt>
                <c:pt idx="651">
                  <c:v>3.62</c:v>
                </c:pt>
                <c:pt idx="652">
                  <c:v>3.625</c:v>
                </c:pt>
                <c:pt idx="653">
                  <c:v>3.63</c:v>
                </c:pt>
                <c:pt idx="654">
                  <c:v>3.6349999999999998</c:v>
                </c:pt>
                <c:pt idx="655">
                  <c:v>3.64</c:v>
                </c:pt>
                <c:pt idx="656">
                  <c:v>3.645</c:v>
                </c:pt>
                <c:pt idx="657">
                  <c:v>3.65</c:v>
                </c:pt>
                <c:pt idx="658">
                  <c:v>3.6549999999999998</c:v>
                </c:pt>
                <c:pt idx="659">
                  <c:v>3.66</c:v>
                </c:pt>
                <c:pt idx="660">
                  <c:v>3.67</c:v>
                </c:pt>
                <c:pt idx="661">
                  <c:v>3.6749999999999998</c:v>
                </c:pt>
                <c:pt idx="662">
                  <c:v>3.68</c:v>
                </c:pt>
                <c:pt idx="663">
                  <c:v>3.6850000000000001</c:v>
                </c:pt>
                <c:pt idx="664">
                  <c:v>3.69</c:v>
                </c:pt>
                <c:pt idx="665">
                  <c:v>3.6949999999999998</c:v>
                </c:pt>
                <c:pt idx="666">
                  <c:v>3.7</c:v>
                </c:pt>
                <c:pt idx="667">
                  <c:v>3.7050000000000001</c:v>
                </c:pt>
                <c:pt idx="668">
                  <c:v>3.71</c:v>
                </c:pt>
                <c:pt idx="669">
                  <c:v>3.7149999999999999</c:v>
                </c:pt>
                <c:pt idx="670">
                  <c:v>3.72</c:v>
                </c:pt>
                <c:pt idx="671">
                  <c:v>3.7250000000000001</c:v>
                </c:pt>
                <c:pt idx="672">
                  <c:v>3.73</c:v>
                </c:pt>
                <c:pt idx="673">
                  <c:v>3.7349999999999999</c:v>
                </c:pt>
                <c:pt idx="674">
                  <c:v>3.74</c:v>
                </c:pt>
                <c:pt idx="675">
                  <c:v>3.7450000000000001</c:v>
                </c:pt>
                <c:pt idx="676">
                  <c:v>3.75</c:v>
                </c:pt>
                <c:pt idx="677">
                  <c:v>3.7549999999999999</c:v>
                </c:pt>
                <c:pt idx="678">
                  <c:v>3.76</c:v>
                </c:pt>
                <c:pt idx="679">
                  <c:v>3.7650000000000001</c:v>
                </c:pt>
                <c:pt idx="680">
                  <c:v>3.77</c:v>
                </c:pt>
                <c:pt idx="681">
                  <c:v>3.7749999999999999</c:v>
                </c:pt>
                <c:pt idx="682">
                  <c:v>3.78</c:v>
                </c:pt>
                <c:pt idx="683">
                  <c:v>3.7850000000000001</c:v>
                </c:pt>
                <c:pt idx="684">
                  <c:v>3.79</c:v>
                </c:pt>
                <c:pt idx="685">
                  <c:v>3.7949999999999999</c:v>
                </c:pt>
                <c:pt idx="686">
                  <c:v>3.8</c:v>
                </c:pt>
                <c:pt idx="687">
                  <c:v>3.8050000000000002</c:v>
                </c:pt>
                <c:pt idx="688">
                  <c:v>3.81</c:v>
                </c:pt>
                <c:pt idx="689">
                  <c:v>3.8149999999999999</c:v>
                </c:pt>
                <c:pt idx="690">
                  <c:v>3.82</c:v>
                </c:pt>
                <c:pt idx="691">
                  <c:v>3.8250000000000002</c:v>
                </c:pt>
                <c:pt idx="692">
                  <c:v>3.83</c:v>
                </c:pt>
                <c:pt idx="693">
                  <c:v>3.835</c:v>
                </c:pt>
                <c:pt idx="694">
                  <c:v>3.84</c:v>
                </c:pt>
                <c:pt idx="695">
                  <c:v>3.8450000000000002</c:v>
                </c:pt>
                <c:pt idx="696">
                  <c:v>3.85</c:v>
                </c:pt>
                <c:pt idx="697">
                  <c:v>3.855</c:v>
                </c:pt>
                <c:pt idx="698">
                  <c:v>3.86</c:v>
                </c:pt>
                <c:pt idx="699">
                  <c:v>3.8650000000000002</c:v>
                </c:pt>
                <c:pt idx="700">
                  <c:v>3.87</c:v>
                </c:pt>
                <c:pt idx="701">
                  <c:v>3.875</c:v>
                </c:pt>
                <c:pt idx="702">
                  <c:v>3.88</c:v>
                </c:pt>
                <c:pt idx="703">
                  <c:v>3.8849999999999998</c:v>
                </c:pt>
                <c:pt idx="704">
                  <c:v>3.89</c:v>
                </c:pt>
                <c:pt idx="705">
                  <c:v>3.895</c:v>
                </c:pt>
                <c:pt idx="706">
                  <c:v>3.9</c:v>
                </c:pt>
                <c:pt idx="707">
                  <c:v>3.9049999999999998</c:v>
                </c:pt>
                <c:pt idx="708">
                  <c:v>3.91</c:v>
                </c:pt>
                <c:pt idx="709">
                  <c:v>3.915</c:v>
                </c:pt>
                <c:pt idx="710">
                  <c:v>3.92</c:v>
                </c:pt>
                <c:pt idx="711">
                  <c:v>3.9249999999999998</c:v>
                </c:pt>
                <c:pt idx="712">
                  <c:v>3.93</c:v>
                </c:pt>
                <c:pt idx="713">
                  <c:v>3.9350000000000001</c:v>
                </c:pt>
                <c:pt idx="714">
                  <c:v>3.94</c:v>
                </c:pt>
                <c:pt idx="715">
                  <c:v>3.9449999999999998</c:v>
                </c:pt>
                <c:pt idx="716">
                  <c:v>3.95</c:v>
                </c:pt>
                <c:pt idx="717">
                  <c:v>3.9550000000000001</c:v>
                </c:pt>
                <c:pt idx="718">
                  <c:v>3.96</c:v>
                </c:pt>
                <c:pt idx="719">
                  <c:v>3.9649999999999999</c:v>
                </c:pt>
                <c:pt idx="720">
                  <c:v>3.97</c:v>
                </c:pt>
                <c:pt idx="721">
                  <c:v>3.9750000000000001</c:v>
                </c:pt>
                <c:pt idx="722">
                  <c:v>3.98</c:v>
                </c:pt>
                <c:pt idx="723">
                  <c:v>3.9849999999999999</c:v>
                </c:pt>
                <c:pt idx="724">
                  <c:v>3.99</c:v>
                </c:pt>
                <c:pt idx="725">
                  <c:v>3.9950000000000001</c:v>
                </c:pt>
                <c:pt idx="726">
                  <c:v>4</c:v>
                </c:pt>
                <c:pt idx="727">
                  <c:v>4.0049999999999999</c:v>
                </c:pt>
                <c:pt idx="728">
                  <c:v>4.01</c:v>
                </c:pt>
                <c:pt idx="729">
                  <c:v>4.0149999999999997</c:v>
                </c:pt>
                <c:pt idx="730">
                  <c:v>4.0199999999999996</c:v>
                </c:pt>
                <c:pt idx="731">
                  <c:v>4.0250000000000004</c:v>
                </c:pt>
                <c:pt idx="732">
                  <c:v>4.03</c:v>
                </c:pt>
                <c:pt idx="733">
                  <c:v>4.0350000000000001</c:v>
                </c:pt>
                <c:pt idx="734">
                  <c:v>4.04</c:v>
                </c:pt>
                <c:pt idx="735">
                  <c:v>4.0449999999999999</c:v>
                </c:pt>
                <c:pt idx="736">
                  <c:v>4.05</c:v>
                </c:pt>
                <c:pt idx="737">
                  <c:v>4.0549999999999997</c:v>
                </c:pt>
                <c:pt idx="738">
                  <c:v>4.0599999999999996</c:v>
                </c:pt>
                <c:pt idx="739">
                  <c:v>4.0650000000000004</c:v>
                </c:pt>
                <c:pt idx="740">
                  <c:v>4.07</c:v>
                </c:pt>
                <c:pt idx="741">
                  <c:v>4.0750000000000002</c:v>
                </c:pt>
                <c:pt idx="742">
                  <c:v>4.08</c:v>
                </c:pt>
                <c:pt idx="743">
                  <c:v>4.085</c:v>
                </c:pt>
                <c:pt idx="744">
                  <c:v>4.09</c:v>
                </c:pt>
                <c:pt idx="745">
                  <c:v>4.0949999999999998</c:v>
                </c:pt>
                <c:pt idx="746">
                  <c:v>4.0999999999999996</c:v>
                </c:pt>
                <c:pt idx="747">
                  <c:v>4.1050000000000004</c:v>
                </c:pt>
                <c:pt idx="748">
                  <c:v>4.1100000000000003</c:v>
                </c:pt>
                <c:pt idx="749">
                  <c:v>4.1150000000000002</c:v>
                </c:pt>
                <c:pt idx="750">
                  <c:v>4.12</c:v>
                </c:pt>
                <c:pt idx="751">
                  <c:v>4.125</c:v>
                </c:pt>
              </c:numCache>
            </c:numRef>
          </c:xVal>
          <c:yVal>
            <c:numRef>
              <c:f>TEST2!$D$7:$D$5001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10.9</c:v>
                </c:pt>
                <c:pt idx="3">
                  <c:v>14</c:v>
                </c:pt>
                <c:pt idx="4">
                  <c:v>16.399999999999999</c:v>
                </c:pt>
                <c:pt idx="5">
                  <c:v>22.1</c:v>
                </c:pt>
                <c:pt idx="6">
                  <c:v>28</c:v>
                </c:pt>
                <c:pt idx="7">
                  <c:v>31.2</c:v>
                </c:pt>
                <c:pt idx="8">
                  <c:v>35.5</c:v>
                </c:pt>
                <c:pt idx="9">
                  <c:v>36.700000000000003</c:v>
                </c:pt>
                <c:pt idx="10">
                  <c:v>36.4</c:v>
                </c:pt>
                <c:pt idx="11">
                  <c:v>37.1</c:v>
                </c:pt>
                <c:pt idx="12">
                  <c:v>38.200000000000003</c:v>
                </c:pt>
                <c:pt idx="13">
                  <c:v>40.1</c:v>
                </c:pt>
                <c:pt idx="14">
                  <c:v>40.6</c:v>
                </c:pt>
                <c:pt idx="15">
                  <c:v>40.6</c:v>
                </c:pt>
                <c:pt idx="16">
                  <c:v>40.700000000000003</c:v>
                </c:pt>
                <c:pt idx="17">
                  <c:v>41.1</c:v>
                </c:pt>
                <c:pt idx="18">
                  <c:v>40.9</c:v>
                </c:pt>
                <c:pt idx="19">
                  <c:v>40.5</c:v>
                </c:pt>
                <c:pt idx="20">
                  <c:v>40.200000000000003</c:v>
                </c:pt>
                <c:pt idx="21">
                  <c:v>40</c:v>
                </c:pt>
                <c:pt idx="22">
                  <c:v>40.1</c:v>
                </c:pt>
                <c:pt idx="23">
                  <c:v>40.1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40</c:v>
                </c:pt>
                <c:pt idx="28">
                  <c:v>39.9</c:v>
                </c:pt>
                <c:pt idx="29">
                  <c:v>40</c:v>
                </c:pt>
                <c:pt idx="30">
                  <c:v>39.9</c:v>
                </c:pt>
                <c:pt idx="31">
                  <c:v>40.1</c:v>
                </c:pt>
                <c:pt idx="32">
                  <c:v>40.1</c:v>
                </c:pt>
                <c:pt idx="33">
                  <c:v>40.200000000000003</c:v>
                </c:pt>
                <c:pt idx="34">
                  <c:v>40.1</c:v>
                </c:pt>
                <c:pt idx="35">
                  <c:v>40</c:v>
                </c:pt>
                <c:pt idx="36">
                  <c:v>39.9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39.700000000000003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39.700000000000003</c:v>
                </c:pt>
                <c:pt idx="50">
                  <c:v>39.6</c:v>
                </c:pt>
                <c:pt idx="51">
                  <c:v>39.5</c:v>
                </c:pt>
                <c:pt idx="52">
                  <c:v>39.5</c:v>
                </c:pt>
                <c:pt idx="53">
                  <c:v>39.5</c:v>
                </c:pt>
                <c:pt idx="54">
                  <c:v>39.6</c:v>
                </c:pt>
                <c:pt idx="55">
                  <c:v>39.5</c:v>
                </c:pt>
                <c:pt idx="56">
                  <c:v>39.4</c:v>
                </c:pt>
                <c:pt idx="57">
                  <c:v>39.4</c:v>
                </c:pt>
                <c:pt idx="58">
                  <c:v>39.5</c:v>
                </c:pt>
                <c:pt idx="59">
                  <c:v>39.6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39.799999999999997</c:v>
                </c:pt>
                <c:pt idx="63">
                  <c:v>40</c:v>
                </c:pt>
                <c:pt idx="64">
                  <c:v>40.1</c:v>
                </c:pt>
                <c:pt idx="65">
                  <c:v>40.1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40.1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40.4</c:v>
                </c:pt>
                <c:pt idx="93">
                  <c:v>40.5</c:v>
                </c:pt>
                <c:pt idx="94">
                  <c:v>40.700000000000003</c:v>
                </c:pt>
                <c:pt idx="95">
                  <c:v>40.9</c:v>
                </c:pt>
                <c:pt idx="96">
                  <c:v>40.799999999999997</c:v>
                </c:pt>
                <c:pt idx="97">
                  <c:v>40.6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41</c:v>
                </c:pt>
                <c:pt idx="102">
                  <c:v>41</c:v>
                </c:pt>
                <c:pt idx="103">
                  <c:v>40.799999999999997</c:v>
                </c:pt>
                <c:pt idx="104">
                  <c:v>40.700000000000003</c:v>
                </c:pt>
                <c:pt idx="105">
                  <c:v>40.6</c:v>
                </c:pt>
                <c:pt idx="106">
                  <c:v>40.700000000000003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41</c:v>
                </c:pt>
                <c:pt idx="110">
                  <c:v>41.2</c:v>
                </c:pt>
                <c:pt idx="111">
                  <c:v>41.1</c:v>
                </c:pt>
                <c:pt idx="112">
                  <c:v>41</c:v>
                </c:pt>
                <c:pt idx="113">
                  <c:v>40.9</c:v>
                </c:pt>
                <c:pt idx="114">
                  <c:v>40.9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41</c:v>
                </c:pt>
                <c:pt idx="118">
                  <c:v>41.1</c:v>
                </c:pt>
                <c:pt idx="119">
                  <c:v>41</c:v>
                </c:pt>
                <c:pt idx="120">
                  <c:v>41.1</c:v>
                </c:pt>
                <c:pt idx="121">
                  <c:v>41.2</c:v>
                </c:pt>
                <c:pt idx="122">
                  <c:v>41.3</c:v>
                </c:pt>
                <c:pt idx="123">
                  <c:v>41.3</c:v>
                </c:pt>
                <c:pt idx="124">
                  <c:v>41.2</c:v>
                </c:pt>
                <c:pt idx="125">
                  <c:v>41.2</c:v>
                </c:pt>
                <c:pt idx="126">
                  <c:v>41.3</c:v>
                </c:pt>
                <c:pt idx="127">
                  <c:v>41.4</c:v>
                </c:pt>
                <c:pt idx="128">
                  <c:v>41.3</c:v>
                </c:pt>
                <c:pt idx="129">
                  <c:v>41.3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41.5</c:v>
                </c:pt>
                <c:pt idx="140">
                  <c:v>41.5</c:v>
                </c:pt>
                <c:pt idx="141">
                  <c:v>41.4</c:v>
                </c:pt>
                <c:pt idx="142">
                  <c:v>41.6</c:v>
                </c:pt>
                <c:pt idx="143">
                  <c:v>41.8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42</c:v>
                </c:pt>
                <c:pt idx="148">
                  <c:v>42.1</c:v>
                </c:pt>
                <c:pt idx="149">
                  <c:v>42.2</c:v>
                </c:pt>
                <c:pt idx="150">
                  <c:v>42.1</c:v>
                </c:pt>
                <c:pt idx="151">
                  <c:v>42.3</c:v>
                </c:pt>
                <c:pt idx="152">
                  <c:v>42.3</c:v>
                </c:pt>
                <c:pt idx="153">
                  <c:v>42.3</c:v>
                </c:pt>
                <c:pt idx="154">
                  <c:v>42.3</c:v>
                </c:pt>
                <c:pt idx="155">
                  <c:v>42.2</c:v>
                </c:pt>
                <c:pt idx="156">
                  <c:v>42.4</c:v>
                </c:pt>
                <c:pt idx="157">
                  <c:v>42.5</c:v>
                </c:pt>
                <c:pt idx="158">
                  <c:v>42.4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42.2</c:v>
                </c:pt>
                <c:pt idx="164">
                  <c:v>42.5</c:v>
                </c:pt>
                <c:pt idx="165">
                  <c:v>42.6</c:v>
                </c:pt>
                <c:pt idx="166">
                  <c:v>42.8</c:v>
                </c:pt>
                <c:pt idx="167">
                  <c:v>42.7</c:v>
                </c:pt>
                <c:pt idx="168">
                  <c:v>42.8</c:v>
                </c:pt>
                <c:pt idx="169">
                  <c:v>42.7</c:v>
                </c:pt>
                <c:pt idx="170">
                  <c:v>42.7</c:v>
                </c:pt>
                <c:pt idx="171">
                  <c:v>42.8</c:v>
                </c:pt>
                <c:pt idx="172">
                  <c:v>42.9</c:v>
                </c:pt>
                <c:pt idx="173">
                  <c:v>42.9</c:v>
                </c:pt>
                <c:pt idx="174">
                  <c:v>42.9</c:v>
                </c:pt>
                <c:pt idx="175">
                  <c:v>43</c:v>
                </c:pt>
                <c:pt idx="176">
                  <c:v>43.1</c:v>
                </c:pt>
                <c:pt idx="177">
                  <c:v>43.1</c:v>
                </c:pt>
                <c:pt idx="178">
                  <c:v>43.3</c:v>
                </c:pt>
                <c:pt idx="179">
                  <c:v>43.3</c:v>
                </c:pt>
                <c:pt idx="180">
                  <c:v>43.2</c:v>
                </c:pt>
                <c:pt idx="181">
                  <c:v>43.1</c:v>
                </c:pt>
                <c:pt idx="182">
                  <c:v>43.2</c:v>
                </c:pt>
                <c:pt idx="183">
                  <c:v>43.4</c:v>
                </c:pt>
                <c:pt idx="184">
                  <c:v>43.4</c:v>
                </c:pt>
                <c:pt idx="185">
                  <c:v>43.7</c:v>
                </c:pt>
                <c:pt idx="186">
                  <c:v>44.4</c:v>
                </c:pt>
                <c:pt idx="187">
                  <c:v>44.9</c:v>
                </c:pt>
                <c:pt idx="188">
                  <c:v>45.9</c:v>
                </c:pt>
                <c:pt idx="189">
                  <c:v>46.6</c:v>
                </c:pt>
                <c:pt idx="190">
                  <c:v>46.7</c:v>
                </c:pt>
                <c:pt idx="191">
                  <c:v>46.8</c:v>
                </c:pt>
                <c:pt idx="192">
                  <c:v>47</c:v>
                </c:pt>
                <c:pt idx="193">
                  <c:v>46.8</c:v>
                </c:pt>
                <c:pt idx="194">
                  <c:v>47.3</c:v>
                </c:pt>
                <c:pt idx="195">
                  <c:v>47.6</c:v>
                </c:pt>
                <c:pt idx="196">
                  <c:v>47.9</c:v>
                </c:pt>
                <c:pt idx="197">
                  <c:v>48.5</c:v>
                </c:pt>
                <c:pt idx="198">
                  <c:v>48.9</c:v>
                </c:pt>
                <c:pt idx="199">
                  <c:v>49.5</c:v>
                </c:pt>
                <c:pt idx="200">
                  <c:v>50</c:v>
                </c:pt>
                <c:pt idx="201">
                  <c:v>50.4</c:v>
                </c:pt>
                <c:pt idx="202">
                  <c:v>50.8</c:v>
                </c:pt>
                <c:pt idx="203">
                  <c:v>51.1</c:v>
                </c:pt>
                <c:pt idx="204">
                  <c:v>51.2</c:v>
                </c:pt>
                <c:pt idx="205">
                  <c:v>51.3</c:v>
                </c:pt>
                <c:pt idx="206">
                  <c:v>51.5</c:v>
                </c:pt>
                <c:pt idx="207">
                  <c:v>52.1</c:v>
                </c:pt>
                <c:pt idx="208">
                  <c:v>52.4</c:v>
                </c:pt>
                <c:pt idx="209">
                  <c:v>52.9</c:v>
                </c:pt>
                <c:pt idx="210">
                  <c:v>53.1</c:v>
                </c:pt>
                <c:pt idx="211">
                  <c:v>53.5</c:v>
                </c:pt>
                <c:pt idx="212">
                  <c:v>53.7</c:v>
                </c:pt>
                <c:pt idx="213">
                  <c:v>53.9</c:v>
                </c:pt>
                <c:pt idx="214">
                  <c:v>53.9</c:v>
                </c:pt>
                <c:pt idx="215">
                  <c:v>53.9</c:v>
                </c:pt>
                <c:pt idx="216">
                  <c:v>53.7</c:v>
                </c:pt>
                <c:pt idx="217">
                  <c:v>53.6</c:v>
                </c:pt>
                <c:pt idx="218">
                  <c:v>53.8</c:v>
                </c:pt>
                <c:pt idx="219">
                  <c:v>53.8</c:v>
                </c:pt>
                <c:pt idx="220">
                  <c:v>53.6</c:v>
                </c:pt>
                <c:pt idx="221">
                  <c:v>53.6</c:v>
                </c:pt>
                <c:pt idx="222">
                  <c:v>53.5</c:v>
                </c:pt>
                <c:pt idx="223">
                  <c:v>53.3</c:v>
                </c:pt>
                <c:pt idx="224">
                  <c:v>53.2</c:v>
                </c:pt>
                <c:pt idx="225">
                  <c:v>53.2</c:v>
                </c:pt>
                <c:pt idx="226">
                  <c:v>53.3</c:v>
                </c:pt>
                <c:pt idx="227">
                  <c:v>53.3</c:v>
                </c:pt>
                <c:pt idx="228">
                  <c:v>53.4</c:v>
                </c:pt>
                <c:pt idx="229">
                  <c:v>53.3</c:v>
                </c:pt>
                <c:pt idx="230">
                  <c:v>53.2</c:v>
                </c:pt>
                <c:pt idx="231">
                  <c:v>53.1</c:v>
                </c:pt>
                <c:pt idx="232">
                  <c:v>52.9</c:v>
                </c:pt>
                <c:pt idx="233">
                  <c:v>53</c:v>
                </c:pt>
                <c:pt idx="234">
                  <c:v>52.7</c:v>
                </c:pt>
                <c:pt idx="235">
                  <c:v>52.6</c:v>
                </c:pt>
                <c:pt idx="236">
                  <c:v>52.8</c:v>
                </c:pt>
                <c:pt idx="237">
                  <c:v>52.9</c:v>
                </c:pt>
                <c:pt idx="238">
                  <c:v>52.8</c:v>
                </c:pt>
                <c:pt idx="239">
                  <c:v>52.5</c:v>
                </c:pt>
                <c:pt idx="240">
                  <c:v>51.9</c:v>
                </c:pt>
                <c:pt idx="241">
                  <c:v>51.4</c:v>
                </c:pt>
                <c:pt idx="242">
                  <c:v>51.2</c:v>
                </c:pt>
                <c:pt idx="243">
                  <c:v>51</c:v>
                </c:pt>
                <c:pt idx="244">
                  <c:v>50.9</c:v>
                </c:pt>
                <c:pt idx="245">
                  <c:v>50.9</c:v>
                </c:pt>
                <c:pt idx="246">
                  <c:v>50.8</c:v>
                </c:pt>
                <c:pt idx="247">
                  <c:v>50.4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</c:v>
                </c:pt>
                <c:pt idx="253">
                  <c:v>49.8</c:v>
                </c:pt>
                <c:pt idx="254">
                  <c:v>49.6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49.1</c:v>
                </c:pt>
                <c:pt idx="259">
                  <c:v>49.2</c:v>
                </c:pt>
                <c:pt idx="260">
                  <c:v>49.1</c:v>
                </c:pt>
                <c:pt idx="261">
                  <c:v>48.7</c:v>
                </c:pt>
                <c:pt idx="262">
                  <c:v>48.6</c:v>
                </c:pt>
                <c:pt idx="263">
                  <c:v>48.4</c:v>
                </c:pt>
                <c:pt idx="264">
                  <c:v>48.5</c:v>
                </c:pt>
                <c:pt idx="265">
                  <c:v>48.5</c:v>
                </c:pt>
                <c:pt idx="266">
                  <c:v>48.1</c:v>
                </c:pt>
                <c:pt idx="267">
                  <c:v>47.9</c:v>
                </c:pt>
                <c:pt idx="268">
                  <c:v>47.7</c:v>
                </c:pt>
                <c:pt idx="269">
                  <c:v>47.6</c:v>
                </c:pt>
                <c:pt idx="270">
                  <c:v>47.5</c:v>
                </c:pt>
                <c:pt idx="271">
                  <c:v>47.2</c:v>
                </c:pt>
                <c:pt idx="272">
                  <c:v>46.8</c:v>
                </c:pt>
                <c:pt idx="273">
                  <c:v>46.8</c:v>
                </c:pt>
                <c:pt idx="274">
                  <c:v>46.5</c:v>
                </c:pt>
                <c:pt idx="275">
                  <c:v>46.4</c:v>
                </c:pt>
                <c:pt idx="276">
                  <c:v>46.3</c:v>
                </c:pt>
                <c:pt idx="277">
                  <c:v>46.2</c:v>
                </c:pt>
                <c:pt idx="278">
                  <c:v>45.9</c:v>
                </c:pt>
                <c:pt idx="279">
                  <c:v>45.8</c:v>
                </c:pt>
                <c:pt idx="280">
                  <c:v>45.9</c:v>
                </c:pt>
                <c:pt idx="281">
                  <c:v>45.5</c:v>
                </c:pt>
                <c:pt idx="282">
                  <c:v>45.4</c:v>
                </c:pt>
                <c:pt idx="283">
                  <c:v>45.2</c:v>
                </c:pt>
                <c:pt idx="284">
                  <c:v>45.1</c:v>
                </c:pt>
                <c:pt idx="285">
                  <c:v>45.3</c:v>
                </c:pt>
                <c:pt idx="286">
                  <c:v>45.1</c:v>
                </c:pt>
                <c:pt idx="287">
                  <c:v>45.1</c:v>
                </c:pt>
                <c:pt idx="288">
                  <c:v>45</c:v>
                </c:pt>
                <c:pt idx="289">
                  <c:v>44.6</c:v>
                </c:pt>
                <c:pt idx="290">
                  <c:v>44.6</c:v>
                </c:pt>
                <c:pt idx="291">
                  <c:v>44.4</c:v>
                </c:pt>
                <c:pt idx="292">
                  <c:v>44.2</c:v>
                </c:pt>
                <c:pt idx="293">
                  <c:v>44</c:v>
                </c:pt>
                <c:pt idx="294">
                  <c:v>44.3</c:v>
                </c:pt>
                <c:pt idx="295">
                  <c:v>44</c:v>
                </c:pt>
                <c:pt idx="296">
                  <c:v>43.7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43.3</c:v>
                </c:pt>
                <c:pt idx="302">
                  <c:v>43.2</c:v>
                </c:pt>
                <c:pt idx="303">
                  <c:v>43.1</c:v>
                </c:pt>
                <c:pt idx="304">
                  <c:v>43.3</c:v>
                </c:pt>
                <c:pt idx="305">
                  <c:v>43</c:v>
                </c:pt>
                <c:pt idx="306">
                  <c:v>43.1</c:v>
                </c:pt>
                <c:pt idx="307">
                  <c:v>43.2</c:v>
                </c:pt>
                <c:pt idx="308">
                  <c:v>43</c:v>
                </c:pt>
                <c:pt idx="309">
                  <c:v>42.8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42.5</c:v>
                </c:pt>
                <c:pt idx="314">
                  <c:v>42.6</c:v>
                </c:pt>
                <c:pt idx="315">
                  <c:v>43</c:v>
                </c:pt>
                <c:pt idx="316">
                  <c:v>43.1</c:v>
                </c:pt>
                <c:pt idx="317">
                  <c:v>42.9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42.7</c:v>
                </c:pt>
                <c:pt idx="323">
                  <c:v>42.8</c:v>
                </c:pt>
                <c:pt idx="324">
                  <c:v>42.9</c:v>
                </c:pt>
                <c:pt idx="325">
                  <c:v>42.7</c:v>
                </c:pt>
                <c:pt idx="326">
                  <c:v>42.7</c:v>
                </c:pt>
                <c:pt idx="327">
                  <c:v>42.5</c:v>
                </c:pt>
                <c:pt idx="328">
                  <c:v>42.4</c:v>
                </c:pt>
                <c:pt idx="329">
                  <c:v>42.5</c:v>
                </c:pt>
                <c:pt idx="330">
                  <c:v>42.9</c:v>
                </c:pt>
                <c:pt idx="331">
                  <c:v>42.7</c:v>
                </c:pt>
                <c:pt idx="332">
                  <c:v>42.5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42.9</c:v>
                </c:pt>
                <c:pt idx="337">
                  <c:v>42.8</c:v>
                </c:pt>
                <c:pt idx="338">
                  <c:v>42.7</c:v>
                </c:pt>
                <c:pt idx="339">
                  <c:v>42.4</c:v>
                </c:pt>
                <c:pt idx="340">
                  <c:v>42.5</c:v>
                </c:pt>
                <c:pt idx="341">
                  <c:v>42.7</c:v>
                </c:pt>
                <c:pt idx="342">
                  <c:v>42.6</c:v>
                </c:pt>
                <c:pt idx="343">
                  <c:v>42.6</c:v>
                </c:pt>
                <c:pt idx="344">
                  <c:v>42.5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42.8</c:v>
                </c:pt>
                <c:pt idx="349">
                  <c:v>42.8</c:v>
                </c:pt>
                <c:pt idx="350">
                  <c:v>42.6</c:v>
                </c:pt>
                <c:pt idx="351">
                  <c:v>42.6</c:v>
                </c:pt>
                <c:pt idx="352">
                  <c:v>43.3</c:v>
                </c:pt>
                <c:pt idx="353">
                  <c:v>43.4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43.3</c:v>
                </c:pt>
                <c:pt idx="358">
                  <c:v>43.2</c:v>
                </c:pt>
                <c:pt idx="359">
                  <c:v>43.3</c:v>
                </c:pt>
                <c:pt idx="360">
                  <c:v>43.5</c:v>
                </c:pt>
                <c:pt idx="361">
                  <c:v>43.5</c:v>
                </c:pt>
                <c:pt idx="362">
                  <c:v>43.5</c:v>
                </c:pt>
                <c:pt idx="363">
                  <c:v>44</c:v>
                </c:pt>
                <c:pt idx="364">
                  <c:v>44.3</c:v>
                </c:pt>
                <c:pt idx="365">
                  <c:v>44.9</c:v>
                </c:pt>
                <c:pt idx="366">
                  <c:v>45.6</c:v>
                </c:pt>
                <c:pt idx="367">
                  <c:v>46.3</c:v>
                </c:pt>
                <c:pt idx="368">
                  <c:v>47</c:v>
                </c:pt>
                <c:pt idx="369">
                  <c:v>47.7</c:v>
                </c:pt>
                <c:pt idx="370">
                  <c:v>48.5</c:v>
                </c:pt>
                <c:pt idx="371">
                  <c:v>49.1</c:v>
                </c:pt>
                <c:pt idx="372">
                  <c:v>49.5</c:v>
                </c:pt>
                <c:pt idx="373">
                  <c:v>50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50.2</c:v>
                </c:pt>
                <c:pt idx="379">
                  <c:v>50.2</c:v>
                </c:pt>
                <c:pt idx="380">
                  <c:v>50.2</c:v>
                </c:pt>
                <c:pt idx="381">
                  <c:v>50.3</c:v>
                </c:pt>
                <c:pt idx="382">
                  <c:v>50.3</c:v>
                </c:pt>
                <c:pt idx="383">
                  <c:v>50.3</c:v>
                </c:pt>
                <c:pt idx="384">
                  <c:v>50.4</c:v>
                </c:pt>
                <c:pt idx="385">
                  <c:v>50.4</c:v>
                </c:pt>
                <c:pt idx="386">
                  <c:v>50.5</c:v>
                </c:pt>
                <c:pt idx="387">
                  <c:v>50.5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50.5</c:v>
                </c:pt>
                <c:pt idx="393">
                  <c:v>50.6</c:v>
                </c:pt>
                <c:pt idx="394">
                  <c:v>50.6</c:v>
                </c:pt>
                <c:pt idx="395">
                  <c:v>50.6</c:v>
                </c:pt>
                <c:pt idx="396">
                  <c:v>50.6</c:v>
                </c:pt>
                <c:pt idx="397">
                  <c:v>50.6</c:v>
                </c:pt>
                <c:pt idx="398">
                  <c:v>50.6</c:v>
                </c:pt>
                <c:pt idx="399">
                  <c:v>50.7</c:v>
                </c:pt>
                <c:pt idx="400">
                  <c:v>50.7</c:v>
                </c:pt>
                <c:pt idx="401">
                  <c:v>50.7</c:v>
                </c:pt>
                <c:pt idx="402">
                  <c:v>50.7</c:v>
                </c:pt>
                <c:pt idx="403">
                  <c:v>50.8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50.8</c:v>
                </c:pt>
                <c:pt idx="408">
                  <c:v>50.9</c:v>
                </c:pt>
                <c:pt idx="409">
                  <c:v>50.9</c:v>
                </c:pt>
                <c:pt idx="410">
                  <c:v>51.1</c:v>
                </c:pt>
                <c:pt idx="411">
                  <c:v>51.1</c:v>
                </c:pt>
                <c:pt idx="412">
                  <c:v>51.2</c:v>
                </c:pt>
                <c:pt idx="413">
                  <c:v>51.2</c:v>
                </c:pt>
                <c:pt idx="414">
                  <c:v>51.2</c:v>
                </c:pt>
                <c:pt idx="415">
                  <c:v>51.3</c:v>
                </c:pt>
                <c:pt idx="416">
                  <c:v>51.3</c:v>
                </c:pt>
                <c:pt idx="417">
                  <c:v>51.3</c:v>
                </c:pt>
                <c:pt idx="418">
                  <c:v>51.3</c:v>
                </c:pt>
                <c:pt idx="419">
                  <c:v>51.3</c:v>
                </c:pt>
                <c:pt idx="420">
                  <c:v>51.4</c:v>
                </c:pt>
                <c:pt idx="421">
                  <c:v>51.4</c:v>
                </c:pt>
                <c:pt idx="422">
                  <c:v>51.4</c:v>
                </c:pt>
                <c:pt idx="423">
                  <c:v>51.4</c:v>
                </c:pt>
                <c:pt idx="424">
                  <c:v>51.4</c:v>
                </c:pt>
                <c:pt idx="425">
                  <c:v>51.5</c:v>
                </c:pt>
                <c:pt idx="426">
                  <c:v>51.5</c:v>
                </c:pt>
                <c:pt idx="427">
                  <c:v>51.5</c:v>
                </c:pt>
                <c:pt idx="428">
                  <c:v>51.5</c:v>
                </c:pt>
                <c:pt idx="429">
                  <c:v>51.5</c:v>
                </c:pt>
                <c:pt idx="430">
                  <c:v>51.6</c:v>
                </c:pt>
                <c:pt idx="431">
                  <c:v>51.7</c:v>
                </c:pt>
                <c:pt idx="432">
                  <c:v>51.7</c:v>
                </c:pt>
                <c:pt idx="433">
                  <c:v>51.7</c:v>
                </c:pt>
                <c:pt idx="434">
                  <c:v>51.8</c:v>
                </c:pt>
                <c:pt idx="435">
                  <c:v>51.8</c:v>
                </c:pt>
                <c:pt idx="436">
                  <c:v>51.8</c:v>
                </c:pt>
                <c:pt idx="437">
                  <c:v>51.9</c:v>
                </c:pt>
                <c:pt idx="438">
                  <c:v>52</c:v>
                </c:pt>
                <c:pt idx="439">
                  <c:v>52</c:v>
                </c:pt>
                <c:pt idx="440">
                  <c:v>52.1</c:v>
                </c:pt>
                <c:pt idx="441">
                  <c:v>52.2</c:v>
                </c:pt>
                <c:pt idx="442">
                  <c:v>52.2</c:v>
                </c:pt>
                <c:pt idx="443">
                  <c:v>52.3</c:v>
                </c:pt>
                <c:pt idx="444">
                  <c:v>52.3</c:v>
                </c:pt>
                <c:pt idx="445">
                  <c:v>52.3</c:v>
                </c:pt>
                <c:pt idx="446">
                  <c:v>52.3</c:v>
                </c:pt>
                <c:pt idx="447">
                  <c:v>52.4</c:v>
                </c:pt>
                <c:pt idx="448">
                  <c:v>52.4</c:v>
                </c:pt>
                <c:pt idx="449">
                  <c:v>52.4</c:v>
                </c:pt>
                <c:pt idx="450">
                  <c:v>52.5</c:v>
                </c:pt>
                <c:pt idx="451">
                  <c:v>52.5</c:v>
                </c:pt>
                <c:pt idx="452">
                  <c:v>52.5</c:v>
                </c:pt>
                <c:pt idx="453">
                  <c:v>52.5</c:v>
                </c:pt>
                <c:pt idx="454">
                  <c:v>52.5</c:v>
                </c:pt>
                <c:pt idx="455">
                  <c:v>52.6</c:v>
                </c:pt>
                <c:pt idx="456">
                  <c:v>52.6</c:v>
                </c:pt>
                <c:pt idx="457">
                  <c:v>52.6</c:v>
                </c:pt>
                <c:pt idx="458">
                  <c:v>52.6</c:v>
                </c:pt>
                <c:pt idx="459">
                  <c:v>52.7</c:v>
                </c:pt>
                <c:pt idx="460">
                  <c:v>52.7</c:v>
                </c:pt>
                <c:pt idx="461">
                  <c:v>52.7</c:v>
                </c:pt>
                <c:pt idx="462">
                  <c:v>52.8</c:v>
                </c:pt>
                <c:pt idx="463">
                  <c:v>52.8</c:v>
                </c:pt>
                <c:pt idx="464">
                  <c:v>52.8</c:v>
                </c:pt>
                <c:pt idx="465">
                  <c:v>52.9</c:v>
                </c:pt>
                <c:pt idx="466">
                  <c:v>52.9</c:v>
                </c:pt>
                <c:pt idx="467">
                  <c:v>52.9</c:v>
                </c:pt>
                <c:pt idx="468">
                  <c:v>52.9</c:v>
                </c:pt>
                <c:pt idx="469">
                  <c:v>53</c:v>
                </c:pt>
                <c:pt idx="470">
                  <c:v>53</c:v>
                </c:pt>
                <c:pt idx="471">
                  <c:v>53</c:v>
                </c:pt>
                <c:pt idx="472">
                  <c:v>53.1</c:v>
                </c:pt>
                <c:pt idx="473">
                  <c:v>53.1</c:v>
                </c:pt>
                <c:pt idx="474">
                  <c:v>53.1</c:v>
                </c:pt>
                <c:pt idx="475">
                  <c:v>53.2</c:v>
                </c:pt>
                <c:pt idx="476">
                  <c:v>53.2</c:v>
                </c:pt>
                <c:pt idx="477">
                  <c:v>53.2</c:v>
                </c:pt>
                <c:pt idx="478">
                  <c:v>53.2</c:v>
                </c:pt>
                <c:pt idx="479">
                  <c:v>53.3</c:v>
                </c:pt>
                <c:pt idx="480">
                  <c:v>53.3</c:v>
                </c:pt>
                <c:pt idx="481">
                  <c:v>53.3</c:v>
                </c:pt>
                <c:pt idx="482">
                  <c:v>53.4</c:v>
                </c:pt>
                <c:pt idx="483">
                  <c:v>53.4</c:v>
                </c:pt>
                <c:pt idx="484">
                  <c:v>53.4</c:v>
                </c:pt>
                <c:pt idx="485">
                  <c:v>53.4</c:v>
                </c:pt>
                <c:pt idx="486">
                  <c:v>53.5</c:v>
                </c:pt>
                <c:pt idx="487">
                  <c:v>53.5</c:v>
                </c:pt>
                <c:pt idx="488">
                  <c:v>53.5</c:v>
                </c:pt>
                <c:pt idx="489">
                  <c:v>53.6</c:v>
                </c:pt>
                <c:pt idx="490">
                  <c:v>53.6</c:v>
                </c:pt>
                <c:pt idx="491">
                  <c:v>53.6</c:v>
                </c:pt>
                <c:pt idx="492">
                  <c:v>53.7</c:v>
                </c:pt>
                <c:pt idx="493">
                  <c:v>53.7</c:v>
                </c:pt>
                <c:pt idx="494">
                  <c:v>53.8</c:v>
                </c:pt>
                <c:pt idx="495">
                  <c:v>53.8</c:v>
                </c:pt>
                <c:pt idx="496">
                  <c:v>53.8</c:v>
                </c:pt>
                <c:pt idx="497">
                  <c:v>53.8</c:v>
                </c:pt>
                <c:pt idx="498">
                  <c:v>53.9</c:v>
                </c:pt>
                <c:pt idx="499">
                  <c:v>53.9</c:v>
                </c:pt>
                <c:pt idx="500">
                  <c:v>54</c:v>
                </c:pt>
                <c:pt idx="501">
                  <c:v>54</c:v>
                </c:pt>
                <c:pt idx="502">
                  <c:v>54</c:v>
                </c:pt>
                <c:pt idx="503">
                  <c:v>54</c:v>
                </c:pt>
                <c:pt idx="504">
                  <c:v>54.1</c:v>
                </c:pt>
                <c:pt idx="505">
                  <c:v>54.1</c:v>
                </c:pt>
                <c:pt idx="506">
                  <c:v>54.1</c:v>
                </c:pt>
                <c:pt idx="507">
                  <c:v>54.2</c:v>
                </c:pt>
                <c:pt idx="508">
                  <c:v>54.3</c:v>
                </c:pt>
                <c:pt idx="509">
                  <c:v>54.2</c:v>
                </c:pt>
                <c:pt idx="510">
                  <c:v>54.3</c:v>
                </c:pt>
                <c:pt idx="511">
                  <c:v>54.3</c:v>
                </c:pt>
                <c:pt idx="512">
                  <c:v>54.3</c:v>
                </c:pt>
                <c:pt idx="513">
                  <c:v>54.4</c:v>
                </c:pt>
                <c:pt idx="514">
                  <c:v>54.4</c:v>
                </c:pt>
                <c:pt idx="515">
                  <c:v>54.4</c:v>
                </c:pt>
                <c:pt idx="516">
                  <c:v>54.5</c:v>
                </c:pt>
                <c:pt idx="517">
                  <c:v>54.5</c:v>
                </c:pt>
                <c:pt idx="518">
                  <c:v>54.5</c:v>
                </c:pt>
                <c:pt idx="519">
                  <c:v>54.5</c:v>
                </c:pt>
                <c:pt idx="520">
                  <c:v>54.6</c:v>
                </c:pt>
                <c:pt idx="521">
                  <c:v>54.7</c:v>
                </c:pt>
                <c:pt idx="522">
                  <c:v>54.7</c:v>
                </c:pt>
                <c:pt idx="523">
                  <c:v>54.7</c:v>
                </c:pt>
                <c:pt idx="524">
                  <c:v>54.7</c:v>
                </c:pt>
                <c:pt idx="525">
                  <c:v>54.8</c:v>
                </c:pt>
                <c:pt idx="526">
                  <c:v>54.8</c:v>
                </c:pt>
                <c:pt idx="527">
                  <c:v>54.8</c:v>
                </c:pt>
                <c:pt idx="528">
                  <c:v>54.9</c:v>
                </c:pt>
                <c:pt idx="529">
                  <c:v>54.9</c:v>
                </c:pt>
                <c:pt idx="530">
                  <c:v>54.9</c:v>
                </c:pt>
                <c:pt idx="531">
                  <c:v>55</c:v>
                </c:pt>
                <c:pt idx="532">
                  <c:v>55</c:v>
                </c:pt>
                <c:pt idx="533">
                  <c:v>55</c:v>
                </c:pt>
                <c:pt idx="534">
                  <c:v>55</c:v>
                </c:pt>
                <c:pt idx="535">
                  <c:v>55</c:v>
                </c:pt>
                <c:pt idx="536">
                  <c:v>55.1</c:v>
                </c:pt>
                <c:pt idx="537">
                  <c:v>55.1</c:v>
                </c:pt>
                <c:pt idx="538">
                  <c:v>55.1</c:v>
                </c:pt>
                <c:pt idx="539">
                  <c:v>55.2</c:v>
                </c:pt>
                <c:pt idx="540">
                  <c:v>55.2</c:v>
                </c:pt>
                <c:pt idx="541">
                  <c:v>55.2</c:v>
                </c:pt>
                <c:pt idx="542">
                  <c:v>55.3</c:v>
                </c:pt>
                <c:pt idx="543">
                  <c:v>55.3</c:v>
                </c:pt>
                <c:pt idx="544">
                  <c:v>55.3</c:v>
                </c:pt>
                <c:pt idx="545">
                  <c:v>55.4</c:v>
                </c:pt>
                <c:pt idx="546">
                  <c:v>55.4</c:v>
                </c:pt>
                <c:pt idx="547">
                  <c:v>55.4</c:v>
                </c:pt>
                <c:pt idx="548">
                  <c:v>55.5</c:v>
                </c:pt>
                <c:pt idx="549">
                  <c:v>55.5</c:v>
                </c:pt>
                <c:pt idx="550">
                  <c:v>55.6</c:v>
                </c:pt>
                <c:pt idx="551">
                  <c:v>55.6</c:v>
                </c:pt>
                <c:pt idx="552">
                  <c:v>55.6</c:v>
                </c:pt>
                <c:pt idx="553">
                  <c:v>55.6</c:v>
                </c:pt>
                <c:pt idx="554">
                  <c:v>55.6</c:v>
                </c:pt>
                <c:pt idx="555">
                  <c:v>55.7</c:v>
                </c:pt>
                <c:pt idx="556">
                  <c:v>55.7</c:v>
                </c:pt>
                <c:pt idx="557">
                  <c:v>55.7</c:v>
                </c:pt>
                <c:pt idx="558">
                  <c:v>55.8</c:v>
                </c:pt>
                <c:pt idx="559">
                  <c:v>55.8</c:v>
                </c:pt>
                <c:pt idx="560">
                  <c:v>55.9</c:v>
                </c:pt>
                <c:pt idx="561">
                  <c:v>55.9</c:v>
                </c:pt>
                <c:pt idx="562">
                  <c:v>55.9</c:v>
                </c:pt>
                <c:pt idx="563">
                  <c:v>56</c:v>
                </c:pt>
                <c:pt idx="564">
                  <c:v>56</c:v>
                </c:pt>
                <c:pt idx="565">
                  <c:v>56</c:v>
                </c:pt>
                <c:pt idx="566">
                  <c:v>56</c:v>
                </c:pt>
                <c:pt idx="567">
                  <c:v>56.1</c:v>
                </c:pt>
                <c:pt idx="568">
                  <c:v>56.1</c:v>
                </c:pt>
                <c:pt idx="569">
                  <c:v>56.1</c:v>
                </c:pt>
                <c:pt idx="570">
                  <c:v>56.2</c:v>
                </c:pt>
                <c:pt idx="571">
                  <c:v>56.2</c:v>
                </c:pt>
                <c:pt idx="572">
                  <c:v>56.2</c:v>
                </c:pt>
                <c:pt idx="573">
                  <c:v>56.2</c:v>
                </c:pt>
                <c:pt idx="574">
                  <c:v>56.3</c:v>
                </c:pt>
                <c:pt idx="575">
                  <c:v>56.3</c:v>
                </c:pt>
                <c:pt idx="576">
                  <c:v>56.3</c:v>
                </c:pt>
                <c:pt idx="577">
                  <c:v>56.3</c:v>
                </c:pt>
                <c:pt idx="578">
                  <c:v>56.4</c:v>
                </c:pt>
                <c:pt idx="579">
                  <c:v>56.4</c:v>
                </c:pt>
                <c:pt idx="580">
                  <c:v>56.4</c:v>
                </c:pt>
                <c:pt idx="581">
                  <c:v>56.5</c:v>
                </c:pt>
                <c:pt idx="582">
                  <c:v>56.5</c:v>
                </c:pt>
                <c:pt idx="583">
                  <c:v>56.5</c:v>
                </c:pt>
                <c:pt idx="584">
                  <c:v>56.6</c:v>
                </c:pt>
                <c:pt idx="585">
                  <c:v>56.6</c:v>
                </c:pt>
                <c:pt idx="586">
                  <c:v>56.6</c:v>
                </c:pt>
                <c:pt idx="587">
                  <c:v>56.7</c:v>
                </c:pt>
                <c:pt idx="588">
                  <c:v>56.7</c:v>
                </c:pt>
                <c:pt idx="589">
                  <c:v>56.7</c:v>
                </c:pt>
                <c:pt idx="590">
                  <c:v>56.7</c:v>
                </c:pt>
                <c:pt idx="591">
                  <c:v>56.8</c:v>
                </c:pt>
                <c:pt idx="592">
                  <c:v>56.9</c:v>
                </c:pt>
                <c:pt idx="593">
                  <c:v>56.9</c:v>
                </c:pt>
                <c:pt idx="594">
                  <c:v>57.1</c:v>
                </c:pt>
                <c:pt idx="595">
                  <c:v>57.1</c:v>
                </c:pt>
                <c:pt idx="596">
                  <c:v>57.1</c:v>
                </c:pt>
                <c:pt idx="597">
                  <c:v>57.2</c:v>
                </c:pt>
                <c:pt idx="598">
                  <c:v>57.3</c:v>
                </c:pt>
                <c:pt idx="599">
                  <c:v>57.3</c:v>
                </c:pt>
                <c:pt idx="600">
                  <c:v>57.4</c:v>
                </c:pt>
                <c:pt idx="601">
                  <c:v>57.4</c:v>
                </c:pt>
                <c:pt idx="602">
                  <c:v>57.5</c:v>
                </c:pt>
                <c:pt idx="603">
                  <c:v>57.6</c:v>
                </c:pt>
                <c:pt idx="604">
                  <c:v>57.6</c:v>
                </c:pt>
                <c:pt idx="605">
                  <c:v>57.7</c:v>
                </c:pt>
                <c:pt idx="606">
                  <c:v>57.8</c:v>
                </c:pt>
                <c:pt idx="607">
                  <c:v>57.8</c:v>
                </c:pt>
                <c:pt idx="608">
                  <c:v>57.9</c:v>
                </c:pt>
                <c:pt idx="609">
                  <c:v>57.9</c:v>
                </c:pt>
                <c:pt idx="610">
                  <c:v>57.9</c:v>
                </c:pt>
                <c:pt idx="611">
                  <c:v>58</c:v>
                </c:pt>
                <c:pt idx="612">
                  <c:v>58</c:v>
                </c:pt>
                <c:pt idx="613">
                  <c:v>58</c:v>
                </c:pt>
                <c:pt idx="614">
                  <c:v>58.1</c:v>
                </c:pt>
                <c:pt idx="615">
                  <c:v>58.2</c:v>
                </c:pt>
                <c:pt idx="616">
                  <c:v>58.2</c:v>
                </c:pt>
                <c:pt idx="617">
                  <c:v>58.2</c:v>
                </c:pt>
                <c:pt idx="618">
                  <c:v>58.2</c:v>
                </c:pt>
                <c:pt idx="619">
                  <c:v>58.2</c:v>
                </c:pt>
                <c:pt idx="620">
                  <c:v>58.3</c:v>
                </c:pt>
                <c:pt idx="621">
                  <c:v>58.3</c:v>
                </c:pt>
                <c:pt idx="622">
                  <c:v>58.3</c:v>
                </c:pt>
                <c:pt idx="623">
                  <c:v>58.4</c:v>
                </c:pt>
                <c:pt idx="624">
                  <c:v>58.4</c:v>
                </c:pt>
                <c:pt idx="625">
                  <c:v>58.4</c:v>
                </c:pt>
                <c:pt idx="626">
                  <c:v>58.5</c:v>
                </c:pt>
                <c:pt idx="627">
                  <c:v>58.6</c:v>
                </c:pt>
                <c:pt idx="628">
                  <c:v>58.7</c:v>
                </c:pt>
                <c:pt idx="629">
                  <c:v>58.7</c:v>
                </c:pt>
                <c:pt idx="630">
                  <c:v>58.7</c:v>
                </c:pt>
                <c:pt idx="631">
                  <c:v>58.8</c:v>
                </c:pt>
                <c:pt idx="632">
                  <c:v>58.8</c:v>
                </c:pt>
                <c:pt idx="633">
                  <c:v>58.8</c:v>
                </c:pt>
                <c:pt idx="634">
                  <c:v>58.8</c:v>
                </c:pt>
                <c:pt idx="635">
                  <c:v>58.9</c:v>
                </c:pt>
                <c:pt idx="636">
                  <c:v>58.9</c:v>
                </c:pt>
                <c:pt idx="637">
                  <c:v>59</c:v>
                </c:pt>
                <c:pt idx="638">
                  <c:v>59</c:v>
                </c:pt>
                <c:pt idx="639">
                  <c:v>59</c:v>
                </c:pt>
                <c:pt idx="640">
                  <c:v>59</c:v>
                </c:pt>
                <c:pt idx="641">
                  <c:v>59.1</c:v>
                </c:pt>
                <c:pt idx="642">
                  <c:v>59.1</c:v>
                </c:pt>
                <c:pt idx="643">
                  <c:v>59.2</c:v>
                </c:pt>
                <c:pt idx="644">
                  <c:v>59.2</c:v>
                </c:pt>
                <c:pt idx="645">
                  <c:v>59.3</c:v>
                </c:pt>
                <c:pt idx="646">
                  <c:v>59.3</c:v>
                </c:pt>
                <c:pt idx="647">
                  <c:v>59.3</c:v>
                </c:pt>
                <c:pt idx="648">
                  <c:v>59.3</c:v>
                </c:pt>
                <c:pt idx="649">
                  <c:v>59.3</c:v>
                </c:pt>
                <c:pt idx="650">
                  <c:v>59.5</c:v>
                </c:pt>
                <c:pt idx="651">
                  <c:v>59.5</c:v>
                </c:pt>
                <c:pt idx="652">
                  <c:v>59.5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59.7</c:v>
                </c:pt>
                <c:pt idx="658">
                  <c:v>59.8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60.1</c:v>
                </c:pt>
                <c:pt idx="668">
                  <c:v>60.1</c:v>
                </c:pt>
                <c:pt idx="669">
                  <c:v>60.1</c:v>
                </c:pt>
                <c:pt idx="670">
                  <c:v>60.2</c:v>
                </c:pt>
                <c:pt idx="671">
                  <c:v>60.2</c:v>
                </c:pt>
                <c:pt idx="672">
                  <c:v>60.3</c:v>
                </c:pt>
                <c:pt idx="673">
                  <c:v>60.3</c:v>
                </c:pt>
                <c:pt idx="674">
                  <c:v>60.4</c:v>
                </c:pt>
                <c:pt idx="675">
                  <c:v>60.4</c:v>
                </c:pt>
                <c:pt idx="676">
                  <c:v>60.4</c:v>
                </c:pt>
                <c:pt idx="677">
                  <c:v>60.4</c:v>
                </c:pt>
                <c:pt idx="678">
                  <c:v>60.5</c:v>
                </c:pt>
                <c:pt idx="679">
                  <c:v>60.5</c:v>
                </c:pt>
                <c:pt idx="680">
                  <c:v>60.6</c:v>
                </c:pt>
                <c:pt idx="681">
                  <c:v>60.6</c:v>
                </c:pt>
                <c:pt idx="682">
                  <c:v>60.6</c:v>
                </c:pt>
                <c:pt idx="683">
                  <c:v>60.6</c:v>
                </c:pt>
                <c:pt idx="684">
                  <c:v>60.8</c:v>
                </c:pt>
                <c:pt idx="685">
                  <c:v>60.8</c:v>
                </c:pt>
                <c:pt idx="686">
                  <c:v>60.8</c:v>
                </c:pt>
                <c:pt idx="687">
                  <c:v>60.9</c:v>
                </c:pt>
                <c:pt idx="688">
                  <c:v>60.9</c:v>
                </c:pt>
                <c:pt idx="689">
                  <c:v>60.9</c:v>
                </c:pt>
                <c:pt idx="690">
                  <c:v>61</c:v>
                </c:pt>
                <c:pt idx="691">
                  <c:v>61</c:v>
                </c:pt>
                <c:pt idx="692">
                  <c:v>61</c:v>
                </c:pt>
                <c:pt idx="693">
                  <c:v>61.1</c:v>
                </c:pt>
                <c:pt idx="694">
                  <c:v>61.2</c:v>
                </c:pt>
                <c:pt idx="695">
                  <c:v>61.2</c:v>
                </c:pt>
                <c:pt idx="696">
                  <c:v>61.3</c:v>
                </c:pt>
                <c:pt idx="697">
                  <c:v>61.3</c:v>
                </c:pt>
                <c:pt idx="698">
                  <c:v>61.4</c:v>
                </c:pt>
                <c:pt idx="699">
                  <c:v>61.4</c:v>
                </c:pt>
                <c:pt idx="700">
                  <c:v>61.5</c:v>
                </c:pt>
                <c:pt idx="701">
                  <c:v>61.5</c:v>
                </c:pt>
                <c:pt idx="702">
                  <c:v>61.6</c:v>
                </c:pt>
                <c:pt idx="703">
                  <c:v>61.6</c:v>
                </c:pt>
                <c:pt idx="704">
                  <c:v>61.7</c:v>
                </c:pt>
                <c:pt idx="705">
                  <c:v>61.8</c:v>
                </c:pt>
                <c:pt idx="706">
                  <c:v>61.8</c:v>
                </c:pt>
                <c:pt idx="707">
                  <c:v>61.9</c:v>
                </c:pt>
                <c:pt idx="708">
                  <c:v>61.9</c:v>
                </c:pt>
                <c:pt idx="709">
                  <c:v>61.9</c:v>
                </c:pt>
                <c:pt idx="710">
                  <c:v>61.9</c:v>
                </c:pt>
                <c:pt idx="711">
                  <c:v>62</c:v>
                </c:pt>
                <c:pt idx="712">
                  <c:v>62</c:v>
                </c:pt>
                <c:pt idx="713">
                  <c:v>62</c:v>
                </c:pt>
                <c:pt idx="714">
                  <c:v>62.1</c:v>
                </c:pt>
                <c:pt idx="715">
                  <c:v>62.1</c:v>
                </c:pt>
                <c:pt idx="716">
                  <c:v>62.1</c:v>
                </c:pt>
                <c:pt idx="717">
                  <c:v>62.1</c:v>
                </c:pt>
                <c:pt idx="718">
                  <c:v>62.1</c:v>
                </c:pt>
                <c:pt idx="719">
                  <c:v>62.1</c:v>
                </c:pt>
                <c:pt idx="720">
                  <c:v>62.2</c:v>
                </c:pt>
                <c:pt idx="721">
                  <c:v>62.2</c:v>
                </c:pt>
                <c:pt idx="722">
                  <c:v>62.3</c:v>
                </c:pt>
                <c:pt idx="723">
                  <c:v>62.3</c:v>
                </c:pt>
                <c:pt idx="724">
                  <c:v>62.3</c:v>
                </c:pt>
                <c:pt idx="725">
                  <c:v>62.4</c:v>
                </c:pt>
                <c:pt idx="726">
                  <c:v>62.5</c:v>
                </c:pt>
                <c:pt idx="727">
                  <c:v>66.2</c:v>
                </c:pt>
                <c:pt idx="728">
                  <c:v>71.400000000000006</c:v>
                </c:pt>
                <c:pt idx="729">
                  <c:v>73.8</c:v>
                </c:pt>
                <c:pt idx="730">
                  <c:v>78.099999999999994</c:v>
                </c:pt>
                <c:pt idx="731">
                  <c:v>83.7</c:v>
                </c:pt>
                <c:pt idx="732">
                  <c:v>86.3</c:v>
                </c:pt>
                <c:pt idx="733">
                  <c:v>90.3</c:v>
                </c:pt>
                <c:pt idx="734">
                  <c:v>94</c:v>
                </c:pt>
                <c:pt idx="735">
                  <c:v>96.7</c:v>
                </c:pt>
                <c:pt idx="736">
                  <c:v>99.3</c:v>
                </c:pt>
                <c:pt idx="737">
                  <c:v>102.5</c:v>
                </c:pt>
                <c:pt idx="738">
                  <c:v>105.2</c:v>
                </c:pt>
                <c:pt idx="739">
                  <c:v>108</c:v>
                </c:pt>
                <c:pt idx="740">
                  <c:v>113.2</c:v>
                </c:pt>
                <c:pt idx="741">
                  <c:v>117.5</c:v>
                </c:pt>
                <c:pt idx="742">
                  <c:v>121.5</c:v>
                </c:pt>
                <c:pt idx="743">
                  <c:v>127</c:v>
                </c:pt>
                <c:pt idx="744">
                  <c:v>134.80000000000001</c:v>
                </c:pt>
                <c:pt idx="745">
                  <c:v>136.9</c:v>
                </c:pt>
                <c:pt idx="746">
                  <c:v>142.1</c:v>
                </c:pt>
                <c:pt idx="747">
                  <c:v>146</c:v>
                </c:pt>
                <c:pt idx="748">
                  <c:v>152.19999999999999</c:v>
                </c:pt>
                <c:pt idx="749">
                  <c:v>156.1</c:v>
                </c:pt>
                <c:pt idx="750">
                  <c:v>161.4</c:v>
                </c:pt>
                <c:pt idx="751">
                  <c:v>166.6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EA-4F0E-9195-09733FFC39BC}"/>
            </c:ext>
          </c:extLst>
        </c:ser>
        <c:ser>
          <c:idx val="1"/>
          <c:order val="1"/>
          <c:tx>
            <c:v>Hyp.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367787628485626"/>
                  <c:y val="-0.43438940481111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TEST2!$M$21:$M$1001</c:f>
              <c:numCache>
                <c:formatCode>0.000</c:formatCode>
                <c:ptCount val="981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</c:v>
                </c:pt>
                <c:pt idx="7">
                  <c:v>0.11</c:v>
                </c:pt>
                <c:pt idx="8">
                  <c:v>0.115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0.89500000000000002</c:v>
                </c:pt>
                <c:pt idx="163">
                  <c:v>0.9</c:v>
                </c:pt>
                <c:pt idx="164">
                  <c:v>0.90500000000000003</c:v>
                </c:pt>
                <c:pt idx="165">
                  <c:v>0.91</c:v>
                </c:pt>
                <c:pt idx="166">
                  <c:v>0.91500000000000004</c:v>
                </c:pt>
                <c:pt idx="167">
                  <c:v>0.92</c:v>
                </c:pt>
                <c:pt idx="168">
                  <c:v>0.92500000000000004</c:v>
                </c:pt>
                <c:pt idx="169">
                  <c:v>0.93</c:v>
                </c:pt>
                <c:pt idx="170">
                  <c:v>0.93500000000000005</c:v>
                </c:pt>
                <c:pt idx="171">
                  <c:v>0.94</c:v>
                </c:pt>
                <c:pt idx="172">
                  <c:v>0.94499999999999995</c:v>
                </c:pt>
                <c:pt idx="173">
                  <c:v>0.95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0.96499999999999997</c:v>
                </c:pt>
                <c:pt idx="177">
                  <c:v>0.97</c:v>
                </c:pt>
                <c:pt idx="178">
                  <c:v>0.97499999999999998</c:v>
                </c:pt>
                <c:pt idx="179">
                  <c:v>0.98</c:v>
                </c:pt>
                <c:pt idx="180">
                  <c:v>0.98499999999999999</c:v>
                </c:pt>
                <c:pt idx="181">
                  <c:v>0.99</c:v>
                </c:pt>
                <c:pt idx="182">
                  <c:v>0.995</c:v>
                </c:pt>
                <c:pt idx="183">
                  <c:v>1</c:v>
                </c:pt>
                <c:pt idx="184">
                  <c:v>1.01</c:v>
                </c:pt>
                <c:pt idx="185">
                  <c:v>1.0149999999999999</c:v>
                </c:pt>
                <c:pt idx="186">
                  <c:v>1.02</c:v>
                </c:pt>
                <c:pt idx="187">
                  <c:v>1.0249999999999999</c:v>
                </c:pt>
                <c:pt idx="188">
                  <c:v>1.03</c:v>
                </c:pt>
                <c:pt idx="189">
                  <c:v>1.0349999999999999</c:v>
                </c:pt>
                <c:pt idx="190">
                  <c:v>1.04</c:v>
                </c:pt>
                <c:pt idx="191">
                  <c:v>1.05</c:v>
                </c:pt>
                <c:pt idx="192">
                  <c:v>1.0549999999999999</c:v>
                </c:pt>
                <c:pt idx="193">
                  <c:v>1.0649999999999999</c:v>
                </c:pt>
                <c:pt idx="194">
                  <c:v>1.08</c:v>
                </c:pt>
                <c:pt idx="195">
                  <c:v>1.0900000000000001</c:v>
                </c:pt>
                <c:pt idx="196">
                  <c:v>1.095</c:v>
                </c:pt>
                <c:pt idx="197">
                  <c:v>1.105</c:v>
                </c:pt>
                <c:pt idx="198">
                  <c:v>1.115</c:v>
                </c:pt>
                <c:pt idx="199">
                  <c:v>1.125</c:v>
                </c:pt>
                <c:pt idx="200">
                  <c:v>1.1399999999999999</c:v>
                </c:pt>
                <c:pt idx="201">
                  <c:v>1.155</c:v>
                </c:pt>
                <c:pt idx="202">
                  <c:v>1.17</c:v>
                </c:pt>
                <c:pt idx="203">
                  <c:v>1.18</c:v>
                </c:pt>
                <c:pt idx="204">
                  <c:v>1.1850000000000001</c:v>
                </c:pt>
                <c:pt idx="205">
                  <c:v>1.19</c:v>
                </c:pt>
                <c:pt idx="206">
                  <c:v>1.1950000000000001</c:v>
                </c:pt>
                <c:pt idx="207">
                  <c:v>1.2</c:v>
                </c:pt>
                <c:pt idx="208">
                  <c:v>1.2050000000000001</c:v>
                </c:pt>
                <c:pt idx="209">
                  <c:v>1.21</c:v>
                </c:pt>
                <c:pt idx="210">
                  <c:v>1.22</c:v>
                </c:pt>
                <c:pt idx="211">
                  <c:v>1.23</c:v>
                </c:pt>
                <c:pt idx="212">
                  <c:v>1.24</c:v>
                </c:pt>
                <c:pt idx="213">
                  <c:v>1.25</c:v>
                </c:pt>
                <c:pt idx="214">
                  <c:v>1.26</c:v>
                </c:pt>
                <c:pt idx="215">
                  <c:v>1.2749999999999999</c:v>
                </c:pt>
                <c:pt idx="216">
                  <c:v>1.2849999999999999</c:v>
                </c:pt>
                <c:pt idx="217">
                  <c:v>1.29</c:v>
                </c:pt>
                <c:pt idx="218">
                  <c:v>1.2949999999999999</c:v>
                </c:pt>
                <c:pt idx="219">
                  <c:v>1.3</c:v>
                </c:pt>
                <c:pt idx="220">
                  <c:v>1.3049999999999999</c:v>
                </c:pt>
                <c:pt idx="221">
                  <c:v>1.31</c:v>
                </c:pt>
                <c:pt idx="222">
                  <c:v>1.3149999999999999</c:v>
                </c:pt>
                <c:pt idx="223">
                  <c:v>1.32</c:v>
                </c:pt>
                <c:pt idx="224">
                  <c:v>1.325</c:v>
                </c:pt>
                <c:pt idx="225">
                  <c:v>1.33</c:v>
                </c:pt>
                <c:pt idx="226">
                  <c:v>1.335</c:v>
                </c:pt>
                <c:pt idx="227">
                  <c:v>1.34</c:v>
                </c:pt>
                <c:pt idx="228">
                  <c:v>1.345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</c:v>
                </c:pt>
                <c:pt idx="236">
                  <c:v>1.385</c:v>
                </c:pt>
                <c:pt idx="237">
                  <c:v>1.39</c:v>
                </c:pt>
                <c:pt idx="238">
                  <c:v>1.395</c:v>
                </c:pt>
                <c:pt idx="239">
                  <c:v>1.4</c:v>
                </c:pt>
                <c:pt idx="240">
                  <c:v>1.405</c:v>
                </c:pt>
                <c:pt idx="241">
                  <c:v>1.41</c:v>
                </c:pt>
                <c:pt idx="242">
                  <c:v>1.415</c:v>
                </c:pt>
                <c:pt idx="243">
                  <c:v>1.42</c:v>
                </c:pt>
                <c:pt idx="244">
                  <c:v>1.425</c:v>
                </c:pt>
                <c:pt idx="245">
                  <c:v>1.43</c:v>
                </c:pt>
                <c:pt idx="246">
                  <c:v>1.44</c:v>
                </c:pt>
                <c:pt idx="247">
                  <c:v>1.4450000000000001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</c:v>
                </c:pt>
                <c:pt idx="255">
                  <c:v>1.4850000000000001</c:v>
                </c:pt>
                <c:pt idx="256">
                  <c:v>1.49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1.5149999999999999</c:v>
                </c:pt>
                <c:pt idx="260">
                  <c:v>1.5249999999999999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1.57</c:v>
                </c:pt>
                <c:pt idx="270">
                  <c:v>1.575</c:v>
                </c:pt>
                <c:pt idx="271">
                  <c:v>1.58</c:v>
                </c:pt>
                <c:pt idx="272">
                  <c:v>1.585</c:v>
                </c:pt>
                <c:pt idx="273">
                  <c:v>1.595</c:v>
                </c:pt>
                <c:pt idx="274">
                  <c:v>1.6</c:v>
                </c:pt>
                <c:pt idx="275">
                  <c:v>1.61</c:v>
                </c:pt>
                <c:pt idx="276">
                  <c:v>1.615</c:v>
                </c:pt>
                <c:pt idx="277">
                  <c:v>1.62</c:v>
                </c:pt>
                <c:pt idx="278">
                  <c:v>1.625</c:v>
                </c:pt>
                <c:pt idx="279">
                  <c:v>1.635</c:v>
                </c:pt>
                <c:pt idx="280">
                  <c:v>1.64</c:v>
                </c:pt>
                <c:pt idx="281">
                  <c:v>1.65</c:v>
                </c:pt>
                <c:pt idx="282">
                  <c:v>1.655</c:v>
                </c:pt>
                <c:pt idx="283">
                  <c:v>1.66</c:v>
                </c:pt>
                <c:pt idx="284">
                  <c:v>1.665</c:v>
                </c:pt>
                <c:pt idx="285">
                  <c:v>1.67</c:v>
                </c:pt>
                <c:pt idx="286">
                  <c:v>1.675</c:v>
                </c:pt>
                <c:pt idx="287">
                  <c:v>1.68</c:v>
                </c:pt>
                <c:pt idx="288">
                  <c:v>1.6850000000000001</c:v>
                </c:pt>
                <c:pt idx="289">
                  <c:v>1.69</c:v>
                </c:pt>
                <c:pt idx="290">
                  <c:v>1.6950000000000001</c:v>
                </c:pt>
                <c:pt idx="291">
                  <c:v>1.7</c:v>
                </c:pt>
                <c:pt idx="292">
                  <c:v>1.7050000000000001</c:v>
                </c:pt>
                <c:pt idx="293">
                  <c:v>1.71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</c:v>
                </c:pt>
                <c:pt idx="300">
                  <c:v>1.7450000000000001</c:v>
                </c:pt>
                <c:pt idx="301">
                  <c:v>1.75</c:v>
                </c:pt>
                <c:pt idx="302">
                  <c:v>1.7549999999999999</c:v>
                </c:pt>
                <c:pt idx="303">
                  <c:v>1.76</c:v>
                </c:pt>
                <c:pt idx="304">
                  <c:v>1.7649999999999999</c:v>
                </c:pt>
                <c:pt idx="305">
                  <c:v>1.77</c:v>
                </c:pt>
                <c:pt idx="306">
                  <c:v>1.7749999999999999</c:v>
                </c:pt>
                <c:pt idx="307">
                  <c:v>1.78</c:v>
                </c:pt>
                <c:pt idx="308">
                  <c:v>1.7849999999999999</c:v>
                </c:pt>
                <c:pt idx="309">
                  <c:v>1.79</c:v>
                </c:pt>
                <c:pt idx="310">
                  <c:v>1.7949999999999999</c:v>
                </c:pt>
                <c:pt idx="311">
                  <c:v>1.8</c:v>
                </c:pt>
                <c:pt idx="312">
                  <c:v>1.8049999999999999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1.82</c:v>
                </c:pt>
                <c:pt idx="316">
                  <c:v>1.825</c:v>
                </c:pt>
                <c:pt idx="317">
                  <c:v>1.83</c:v>
                </c:pt>
                <c:pt idx="318">
                  <c:v>1.835</c:v>
                </c:pt>
                <c:pt idx="319">
                  <c:v>1.84</c:v>
                </c:pt>
                <c:pt idx="320">
                  <c:v>1.845</c:v>
                </c:pt>
                <c:pt idx="321">
                  <c:v>1.85</c:v>
                </c:pt>
                <c:pt idx="322">
                  <c:v>1.855</c:v>
                </c:pt>
                <c:pt idx="323">
                  <c:v>1.86</c:v>
                </c:pt>
                <c:pt idx="324">
                  <c:v>1.865</c:v>
                </c:pt>
                <c:pt idx="325">
                  <c:v>1.87</c:v>
                </c:pt>
                <c:pt idx="326">
                  <c:v>1.88</c:v>
                </c:pt>
                <c:pt idx="327">
                  <c:v>1.89</c:v>
                </c:pt>
                <c:pt idx="328">
                  <c:v>1.9</c:v>
                </c:pt>
                <c:pt idx="329">
                  <c:v>1.905</c:v>
                </c:pt>
                <c:pt idx="330">
                  <c:v>1.915</c:v>
                </c:pt>
                <c:pt idx="331">
                  <c:v>1.92</c:v>
                </c:pt>
                <c:pt idx="332">
                  <c:v>1.925</c:v>
                </c:pt>
                <c:pt idx="333">
                  <c:v>1.93</c:v>
                </c:pt>
                <c:pt idx="334">
                  <c:v>1.94</c:v>
                </c:pt>
                <c:pt idx="335">
                  <c:v>1.9450000000000001</c:v>
                </c:pt>
                <c:pt idx="336">
                  <c:v>1.9550000000000001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1.98</c:v>
                </c:pt>
                <c:pt idx="340">
                  <c:v>1.9850000000000001</c:v>
                </c:pt>
                <c:pt idx="341">
                  <c:v>1.9950000000000001</c:v>
                </c:pt>
                <c:pt idx="342">
                  <c:v>2</c:v>
                </c:pt>
                <c:pt idx="343">
                  <c:v>2.0049999999999999</c:v>
                </c:pt>
                <c:pt idx="344">
                  <c:v>2.0150000000000001</c:v>
                </c:pt>
                <c:pt idx="345">
                  <c:v>2.02</c:v>
                </c:pt>
                <c:pt idx="346">
                  <c:v>2.0299999999999998</c:v>
                </c:pt>
                <c:pt idx="347">
                  <c:v>2.04</c:v>
                </c:pt>
                <c:pt idx="348">
                  <c:v>2.0449999999999999</c:v>
                </c:pt>
                <c:pt idx="349">
                  <c:v>2.0550000000000002</c:v>
                </c:pt>
                <c:pt idx="350">
                  <c:v>2.0649999999999999</c:v>
                </c:pt>
                <c:pt idx="351">
                  <c:v>2.0699999999999998</c:v>
                </c:pt>
                <c:pt idx="352">
                  <c:v>2.08</c:v>
                </c:pt>
                <c:pt idx="353">
                  <c:v>2.085</c:v>
                </c:pt>
                <c:pt idx="354">
                  <c:v>2.0950000000000002</c:v>
                </c:pt>
                <c:pt idx="355">
                  <c:v>2.105</c:v>
                </c:pt>
                <c:pt idx="356">
                  <c:v>2.11</c:v>
                </c:pt>
                <c:pt idx="357">
                  <c:v>2.12</c:v>
                </c:pt>
                <c:pt idx="358">
                  <c:v>2.125</c:v>
                </c:pt>
                <c:pt idx="359">
                  <c:v>2.1349999999999998</c:v>
                </c:pt>
                <c:pt idx="360">
                  <c:v>2.14</c:v>
                </c:pt>
                <c:pt idx="361">
                  <c:v>2.15</c:v>
                </c:pt>
                <c:pt idx="362">
                  <c:v>2.1549999999999998</c:v>
                </c:pt>
                <c:pt idx="363">
                  <c:v>2.16</c:v>
                </c:pt>
                <c:pt idx="364">
                  <c:v>2.17</c:v>
                </c:pt>
                <c:pt idx="365">
                  <c:v>2.1749999999999998</c:v>
                </c:pt>
                <c:pt idx="366">
                  <c:v>2.1850000000000001</c:v>
                </c:pt>
                <c:pt idx="367">
                  <c:v>2.19</c:v>
                </c:pt>
                <c:pt idx="368">
                  <c:v>2.1949999999999998</c:v>
                </c:pt>
                <c:pt idx="369">
                  <c:v>2.2000000000000002</c:v>
                </c:pt>
                <c:pt idx="370">
                  <c:v>2.2050000000000001</c:v>
                </c:pt>
                <c:pt idx="371">
                  <c:v>2.21</c:v>
                </c:pt>
                <c:pt idx="372">
                  <c:v>2.2149999999999999</c:v>
                </c:pt>
                <c:pt idx="373">
                  <c:v>2.2200000000000002</c:v>
                </c:pt>
                <c:pt idx="374">
                  <c:v>2.2250000000000001</c:v>
                </c:pt>
                <c:pt idx="375">
                  <c:v>2.23</c:v>
                </c:pt>
                <c:pt idx="376">
                  <c:v>2.2349999999999999</c:v>
                </c:pt>
                <c:pt idx="377">
                  <c:v>2.2400000000000002</c:v>
                </c:pt>
                <c:pt idx="378">
                  <c:v>2.2450000000000001</c:v>
                </c:pt>
                <c:pt idx="379">
                  <c:v>2.25</c:v>
                </c:pt>
                <c:pt idx="380">
                  <c:v>2.2549999999999999</c:v>
                </c:pt>
                <c:pt idx="381">
                  <c:v>2.2599999999999998</c:v>
                </c:pt>
                <c:pt idx="382">
                  <c:v>2.2650000000000001</c:v>
                </c:pt>
                <c:pt idx="383">
                  <c:v>2.27</c:v>
                </c:pt>
                <c:pt idx="384">
                  <c:v>2.2749999999999999</c:v>
                </c:pt>
                <c:pt idx="385">
                  <c:v>2.2799999999999998</c:v>
                </c:pt>
                <c:pt idx="386">
                  <c:v>2.2850000000000001</c:v>
                </c:pt>
                <c:pt idx="387">
                  <c:v>2.29</c:v>
                </c:pt>
                <c:pt idx="388">
                  <c:v>2.2949999999999999</c:v>
                </c:pt>
                <c:pt idx="389">
                  <c:v>2.2999999999999998</c:v>
                </c:pt>
                <c:pt idx="390">
                  <c:v>2.3050000000000002</c:v>
                </c:pt>
                <c:pt idx="391">
                  <c:v>2.31</c:v>
                </c:pt>
                <c:pt idx="392">
                  <c:v>2.3149999999999999</c:v>
                </c:pt>
                <c:pt idx="393">
                  <c:v>2.3199999999999998</c:v>
                </c:pt>
                <c:pt idx="394">
                  <c:v>2.3250000000000002</c:v>
                </c:pt>
                <c:pt idx="395">
                  <c:v>2.33</c:v>
                </c:pt>
                <c:pt idx="396">
                  <c:v>2.34</c:v>
                </c:pt>
                <c:pt idx="397">
                  <c:v>2.3450000000000002</c:v>
                </c:pt>
                <c:pt idx="398">
                  <c:v>2.35</c:v>
                </c:pt>
                <c:pt idx="399">
                  <c:v>2.355</c:v>
                </c:pt>
                <c:pt idx="400">
                  <c:v>2.36</c:v>
                </c:pt>
                <c:pt idx="401">
                  <c:v>2.3650000000000002</c:v>
                </c:pt>
                <c:pt idx="402">
                  <c:v>2.37</c:v>
                </c:pt>
                <c:pt idx="403">
                  <c:v>2.375</c:v>
                </c:pt>
                <c:pt idx="404">
                  <c:v>2.38</c:v>
                </c:pt>
                <c:pt idx="405">
                  <c:v>2.3849999999999998</c:v>
                </c:pt>
                <c:pt idx="406">
                  <c:v>2.39</c:v>
                </c:pt>
                <c:pt idx="407">
                  <c:v>2.395</c:v>
                </c:pt>
                <c:pt idx="408">
                  <c:v>2.4</c:v>
                </c:pt>
                <c:pt idx="409">
                  <c:v>2.4049999999999998</c:v>
                </c:pt>
                <c:pt idx="410">
                  <c:v>2.41</c:v>
                </c:pt>
                <c:pt idx="411">
                  <c:v>2.415</c:v>
                </c:pt>
                <c:pt idx="412">
                  <c:v>2.42</c:v>
                </c:pt>
                <c:pt idx="413">
                  <c:v>2.4249999999999998</c:v>
                </c:pt>
                <c:pt idx="414">
                  <c:v>2.4300000000000002</c:v>
                </c:pt>
                <c:pt idx="415">
                  <c:v>2.4350000000000001</c:v>
                </c:pt>
                <c:pt idx="416">
                  <c:v>2.44</c:v>
                </c:pt>
                <c:pt idx="417">
                  <c:v>2.4449999999999998</c:v>
                </c:pt>
                <c:pt idx="418">
                  <c:v>2.4500000000000002</c:v>
                </c:pt>
                <c:pt idx="419">
                  <c:v>2.4550000000000001</c:v>
                </c:pt>
                <c:pt idx="420">
                  <c:v>2.46</c:v>
                </c:pt>
                <c:pt idx="421">
                  <c:v>2.4649999999999999</c:v>
                </c:pt>
                <c:pt idx="422">
                  <c:v>2.4750000000000001</c:v>
                </c:pt>
                <c:pt idx="423">
                  <c:v>2.48</c:v>
                </c:pt>
                <c:pt idx="424">
                  <c:v>2.4900000000000002</c:v>
                </c:pt>
                <c:pt idx="425">
                  <c:v>2.5</c:v>
                </c:pt>
                <c:pt idx="426">
                  <c:v>2.5099999999999998</c:v>
                </c:pt>
                <c:pt idx="427">
                  <c:v>2.52</c:v>
                </c:pt>
                <c:pt idx="428">
                  <c:v>2.5299999999999998</c:v>
                </c:pt>
                <c:pt idx="429">
                  <c:v>2.5350000000000001</c:v>
                </c:pt>
                <c:pt idx="430">
                  <c:v>2.54</c:v>
                </c:pt>
                <c:pt idx="431">
                  <c:v>2.5499999999999998</c:v>
                </c:pt>
                <c:pt idx="432">
                  <c:v>2.5550000000000002</c:v>
                </c:pt>
                <c:pt idx="433">
                  <c:v>2.56</c:v>
                </c:pt>
                <c:pt idx="434">
                  <c:v>2.5649999999999999</c:v>
                </c:pt>
                <c:pt idx="435">
                  <c:v>2.57</c:v>
                </c:pt>
                <c:pt idx="436">
                  <c:v>2.5750000000000002</c:v>
                </c:pt>
                <c:pt idx="437">
                  <c:v>2.58</c:v>
                </c:pt>
                <c:pt idx="438">
                  <c:v>2.585</c:v>
                </c:pt>
                <c:pt idx="439">
                  <c:v>2.59</c:v>
                </c:pt>
                <c:pt idx="440">
                  <c:v>2.5950000000000002</c:v>
                </c:pt>
                <c:pt idx="441">
                  <c:v>2.6</c:v>
                </c:pt>
                <c:pt idx="442">
                  <c:v>2.605</c:v>
                </c:pt>
                <c:pt idx="443">
                  <c:v>2.61</c:v>
                </c:pt>
                <c:pt idx="444">
                  <c:v>2.6150000000000002</c:v>
                </c:pt>
                <c:pt idx="445">
                  <c:v>2.62</c:v>
                </c:pt>
                <c:pt idx="446">
                  <c:v>2.625</c:v>
                </c:pt>
                <c:pt idx="447">
                  <c:v>2.63</c:v>
                </c:pt>
                <c:pt idx="448">
                  <c:v>2.6349999999999998</c:v>
                </c:pt>
                <c:pt idx="449">
                  <c:v>2.64</c:v>
                </c:pt>
                <c:pt idx="450">
                  <c:v>2.645</c:v>
                </c:pt>
                <c:pt idx="451">
                  <c:v>2.65</c:v>
                </c:pt>
                <c:pt idx="452">
                  <c:v>2.6549999999999998</c:v>
                </c:pt>
                <c:pt idx="453">
                  <c:v>2.66</c:v>
                </c:pt>
                <c:pt idx="454">
                  <c:v>2.665</c:v>
                </c:pt>
                <c:pt idx="455">
                  <c:v>2.67</c:v>
                </c:pt>
                <c:pt idx="456">
                  <c:v>2.6749999999999998</c:v>
                </c:pt>
                <c:pt idx="457">
                  <c:v>2.68</c:v>
                </c:pt>
                <c:pt idx="458">
                  <c:v>2.6850000000000001</c:v>
                </c:pt>
                <c:pt idx="459">
                  <c:v>2.69</c:v>
                </c:pt>
                <c:pt idx="460">
                  <c:v>2.6949999999999998</c:v>
                </c:pt>
                <c:pt idx="461">
                  <c:v>2.7</c:v>
                </c:pt>
                <c:pt idx="462">
                  <c:v>2.7050000000000001</c:v>
                </c:pt>
                <c:pt idx="463">
                  <c:v>2.71</c:v>
                </c:pt>
                <c:pt idx="464">
                  <c:v>2.7149999999999999</c:v>
                </c:pt>
                <c:pt idx="465">
                  <c:v>2.72</c:v>
                </c:pt>
                <c:pt idx="466">
                  <c:v>2.7250000000000001</c:v>
                </c:pt>
                <c:pt idx="467">
                  <c:v>2.73</c:v>
                </c:pt>
                <c:pt idx="468">
                  <c:v>2.7349999999999999</c:v>
                </c:pt>
                <c:pt idx="469">
                  <c:v>2.74</c:v>
                </c:pt>
                <c:pt idx="470">
                  <c:v>2.7450000000000001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</c:v>
                </c:pt>
                <c:pt idx="474">
                  <c:v>2.7650000000000001</c:v>
                </c:pt>
                <c:pt idx="475">
                  <c:v>2.77</c:v>
                </c:pt>
                <c:pt idx="476">
                  <c:v>2.7749999999999999</c:v>
                </c:pt>
                <c:pt idx="477">
                  <c:v>2.78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</c:v>
                </c:pt>
                <c:pt idx="490">
                  <c:v>2.8450000000000002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2.87</c:v>
                </c:pt>
                <c:pt idx="495">
                  <c:v>2.875</c:v>
                </c:pt>
                <c:pt idx="496">
                  <c:v>2.88</c:v>
                </c:pt>
                <c:pt idx="497">
                  <c:v>2.8849999999999998</c:v>
                </c:pt>
                <c:pt idx="498">
                  <c:v>2.89</c:v>
                </c:pt>
                <c:pt idx="499">
                  <c:v>2.895</c:v>
                </c:pt>
                <c:pt idx="500">
                  <c:v>2.9</c:v>
                </c:pt>
                <c:pt idx="501">
                  <c:v>2.9049999999999998</c:v>
                </c:pt>
                <c:pt idx="502">
                  <c:v>2.91</c:v>
                </c:pt>
                <c:pt idx="503">
                  <c:v>2.915</c:v>
                </c:pt>
                <c:pt idx="504">
                  <c:v>2.92</c:v>
                </c:pt>
                <c:pt idx="505">
                  <c:v>2.9249999999999998</c:v>
                </c:pt>
                <c:pt idx="506">
                  <c:v>2.93</c:v>
                </c:pt>
                <c:pt idx="507">
                  <c:v>2.9350000000000001</c:v>
                </c:pt>
                <c:pt idx="508">
                  <c:v>2.94</c:v>
                </c:pt>
                <c:pt idx="509">
                  <c:v>2.9449999999999998</c:v>
                </c:pt>
                <c:pt idx="510">
                  <c:v>2.95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2.9649999999999999</c:v>
                </c:pt>
                <c:pt idx="514">
                  <c:v>2.97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2.9849999999999999</c:v>
                </c:pt>
                <c:pt idx="518">
                  <c:v>2.99</c:v>
                </c:pt>
                <c:pt idx="519">
                  <c:v>2.9950000000000001</c:v>
                </c:pt>
                <c:pt idx="520">
                  <c:v>3</c:v>
                </c:pt>
                <c:pt idx="521">
                  <c:v>3.0049999999999999</c:v>
                </c:pt>
                <c:pt idx="522">
                  <c:v>3.01</c:v>
                </c:pt>
                <c:pt idx="523">
                  <c:v>3.0150000000000001</c:v>
                </c:pt>
                <c:pt idx="524">
                  <c:v>3.02</c:v>
                </c:pt>
                <c:pt idx="525">
                  <c:v>3.0249999999999999</c:v>
                </c:pt>
                <c:pt idx="526">
                  <c:v>3.03</c:v>
                </c:pt>
                <c:pt idx="527">
                  <c:v>3.0350000000000001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3.0550000000000002</c:v>
                </c:pt>
                <c:pt idx="532">
                  <c:v>3.06</c:v>
                </c:pt>
                <c:pt idx="533">
                  <c:v>3.0649999999999999</c:v>
                </c:pt>
                <c:pt idx="534">
                  <c:v>3.07</c:v>
                </c:pt>
                <c:pt idx="535">
                  <c:v>3.0750000000000002</c:v>
                </c:pt>
                <c:pt idx="536">
                  <c:v>3.08</c:v>
                </c:pt>
                <c:pt idx="537">
                  <c:v>3.085</c:v>
                </c:pt>
                <c:pt idx="538">
                  <c:v>3.09</c:v>
                </c:pt>
                <c:pt idx="539">
                  <c:v>3.0950000000000002</c:v>
                </c:pt>
                <c:pt idx="540">
                  <c:v>3.1</c:v>
                </c:pt>
                <c:pt idx="541">
                  <c:v>3.105</c:v>
                </c:pt>
                <c:pt idx="542">
                  <c:v>3.11</c:v>
                </c:pt>
                <c:pt idx="543">
                  <c:v>3.1150000000000002</c:v>
                </c:pt>
                <c:pt idx="544">
                  <c:v>3.12</c:v>
                </c:pt>
                <c:pt idx="545">
                  <c:v>3.125</c:v>
                </c:pt>
                <c:pt idx="546">
                  <c:v>3.13</c:v>
                </c:pt>
                <c:pt idx="547">
                  <c:v>3.1349999999999998</c:v>
                </c:pt>
                <c:pt idx="548">
                  <c:v>3.14</c:v>
                </c:pt>
                <c:pt idx="549">
                  <c:v>3.15</c:v>
                </c:pt>
                <c:pt idx="550">
                  <c:v>3.1549999999999998</c:v>
                </c:pt>
                <c:pt idx="551">
                  <c:v>3.16</c:v>
                </c:pt>
                <c:pt idx="552">
                  <c:v>3.165</c:v>
                </c:pt>
                <c:pt idx="553">
                  <c:v>3.17</c:v>
                </c:pt>
                <c:pt idx="554">
                  <c:v>3.1749999999999998</c:v>
                </c:pt>
                <c:pt idx="555">
                  <c:v>3.18</c:v>
                </c:pt>
                <c:pt idx="556">
                  <c:v>3.1850000000000001</c:v>
                </c:pt>
                <c:pt idx="557">
                  <c:v>3.19</c:v>
                </c:pt>
                <c:pt idx="558">
                  <c:v>3.1949999999999998</c:v>
                </c:pt>
                <c:pt idx="559">
                  <c:v>3.2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3.22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3.2349999999999999</c:v>
                </c:pt>
                <c:pt idx="567">
                  <c:v>3.24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3.2549999999999999</c:v>
                </c:pt>
                <c:pt idx="571">
                  <c:v>3.26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3.2749999999999999</c:v>
                </c:pt>
                <c:pt idx="575">
                  <c:v>3.28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3.2949999999999999</c:v>
                </c:pt>
                <c:pt idx="579">
                  <c:v>3.3</c:v>
                </c:pt>
                <c:pt idx="580">
                  <c:v>3.3050000000000002</c:v>
                </c:pt>
                <c:pt idx="581">
                  <c:v>3.31</c:v>
                </c:pt>
                <c:pt idx="582">
                  <c:v>3.3149999999999999</c:v>
                </c:pt>
                <c:pt idx="583">
                  <c:v>3.32</c:v>
                </c:pt>
                <c:pt idx="584">
                  <c:v>3.3250000000000002</c:v>
                </c:pt>
                <c:pt idx="585">
                  <c:v>3.33</c:v>
                </c:pt>
                <c:pt idx="586">
                  <c:v>3.335</c:v>
                </c:pt>
                <c:pt idx="587">
                  <c:v>3.34</c:v>
                </c:pt>
                <c:pt idx="588">
                  <c:v>3.35</c:v>
                </c:pt>
                <c:pt idx="589">
                  <c:v>3.355</c:v>
                </c:pt>
                <c:pt idx="590">
                  <c:v>3.3650000000000002</c:v>
                </c:pt>
                <c:pt idx="591">
                  <c:v>3.375</c:v>
                </c:pt>
                <c:pt idx="592">
                  <c:v>3.38</c:v>
                </c:pt>
                <c:pt idx="593">
                  <c:v>3.39</c:v>
                </c:pt>
                <c:pt idx="594">
                  <c:v>3.395</c:v>
                </c:pt>
                <c:pt idx="595">
                  <c:v>3.4</c:v>
                </c:pt>
                <c:pt idx="596">
                  <c:v>3.41</c:v>
                </c:pt>
                <c:pt idx="597">
                  <c:v>3.415</c:v>
                </c:pt>
                <c:pt idx="598">
                  <c:v>3.42</c:v>
                </c:pt>
                <c:pt idx="599">
                  <c:v>3.4249999999999998</c:v>
                </c:pt>
                <c:pt idx="600">
                  <c:v>3.43</c:v>
                </c:pt>
                <c:pt idx="601">
                  <c:v>3.4350000000000001</c:v>
                </c:pt>
                <c:pt idx="602">
                  <c:v>3.44</c:v>
                </c:pt>
                <c:pt idx="603">
                  <c:v>3.4449999999999998</c:v>
                </c:pt>
                <c:pt idx="604">
                  <c:v>3.45</c:v>
                </c:pt>
                <c:pt idx="605">
                  <c:v>3.4550000000000001</c:v>
                </c:pt>
                <c:pt idx="606">
                  <c:v>3.46</c:v>
                </c:pt>
                <c:pt idx="607">
                  <c:v>3.4649999999999999</c:v>
                </c:pt>
                <c:pt idx="608">
                  <c:v>3.47</c:v>
                </c:pt>
                <c:pt idx="609">
                  <c:v>3.4750000000000001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3.49</c:v>
                </c:pt>
                <c:pt idx="613">
                  <c:v>3.4950000000000001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3.5150000000000001</c:v>
                </c:pt>
                <c:pt idx="617">
                  <c:v>3.52</c:v>
                </c:pt>
                <c:pt idx="618">
                  <c:v>3.5249999999999999</c:v>
                </c:pt>
                <c:pt idx="619">
                  <c:v>3.53</c:v>
                </c:pt>
                <c:pt idx="620">
                  <c:v>3.5350000000000001</c:v>
                </c:pt>
                <c:pt idx="621">
                  <c:v>3.54</c:v>
                </c:pt>
                <c:pt idx="622">
                  <c:v>3.5449999999999999</c:v>
                </c:pt>
                <c:pt idx="623">
                  <c:v>3.55</c:v>
                </c:pt>
                <c:pt idx="624">
                  <c:v>3.5550000000000002</c:v>
                </c:pt>
                <c:pt idx="625">
                  <c:v>3.56</c:v>
                </c:pt>
                <c:pt idx="626">
                  <c:v>3.5649999999999999</c:v>
                </c:pt>
                <c:pt idx="627">
                  <c:v>3.57</c:v>
                </c:pt>
                <c:pt idx="628">
                  <c:v>3.5750000000000002</c:v>
                </c:pt>
                <c:pt idx="629">
                  <c:v>3.58</c:v>
                </c:pt>
                <c:pt idx="630">
                  <c:v>3.585</c:v>
                </c:pt>
                <c:pt idx="631">
                  <c:v>3.59</c:v>
                </c:pt>
                <c:pt idx="632">
                  <c:v>3.5950000000000002</c:v>
                </c:pt>
                <c:pt idx="633">
                  <c:v>3.6</c:v>
                </c:pt>
                <c:pt idx="634">
                  <c:v>3.605</c:v>
                </c:pt>
                <c:pt idx="635">
                  <c:v>3.61</c:v>
                </c:pt>
                <c:pt idx="636">
                  <c:v>3.6150000000000002</c:v>
                </c:pt>
                <c:pt idx="637">
                  <c:v>3.62</c:v>
                </c:pt>
                <c:pt idx="638">
                  <c:v>3.625</c:v>
                </c:pt>
                <c:pt idx="639">
                  <c:v>3.63</c:v>
                </c:pt>
                <c:pt idx="640">
                  <c:v>3.6349999999999998</c:v>
                </c:pt>
                <c:pt idx="641">
                  <c:v>3.64</c:v>
                </c:pt>
                <c:pt idx="642">
                  <c:v>3.645</c:v>
                </c:pt>
                <c:pt idx="643">
                  <c:v>3.65</c:v>
                </c:pt>
                <c:pt idx="644">
                  <c:v>3.6549999999999998</c:v>
                </c:pt>
                <c:pt idx="645">
                  <c:v>3.66</c:v>
                </c:pt>
                <c:pt idx="646">
                  <c:v>3.67</c:v>
                </c:pt>
                <c:pt idx="647">
                  <c:v>3.6749999999999998</c:v>
                </c:pt>
                <c:pt idx="648">
                  <c:v>3.68</c:v>
                </c:pt>
                <c:pt idx="649">
                  <c:v>3.6850000000000001</c:v>
                </c:pt>
                <c:pt idx="650">
                  <c:v>3.69</c:v>
                </c:pt>
                <c:pt idx="651">
                  <c:v>3.6949999999999998</c:v>
                </c:pt>
                <c:pt idx="652">
                  <c:v>3.7</c:v>
                </c:pt>
                <c:pt idx="653">
                  <c:v>3.7050000000000001</c:v>
                </c:pt>
                <c:pt idx="654">
                  <c:v>3.71</c:v>
                </c:pt>
                <c:pt idx="655">
                  <c:v>3.7149999999999999</c:v>
                </c:pt>
                <c:pt idx="656">
                  <c:v>3.72</c:v>
                </c:pt>
                <c:pt idx="657">
                  <c:v>3.7250000000000001</c:v>
                </c:pt>
                <c:pt idx="658">
                  <c:v>3.73</c:v>
                </c:pt>
                <c:pt idx="659">
                  <c:v>3.7349999999999999</c:v>
                </c:pt>
                <c:pt idx="660">
                  <c:v>3.74</c:v>
                </c:pt>
                <c:pt idx="661">
                  <c:v>3.7450000000000001</c:v>
                </c:pt>
                <c:pt idx="662">
                  <c:v>3.75</c:v>
                </c:pt>
                <c:pt idx="663">
                  <c:v>3.7549999999999999</c:v>
                </c:pt>
                <c:pt idx="664">
                  <c:v>3.76</c:v>
                </c:pt>
                <c:pt idx="665">
                  <c:v>3.7650000000000001</c:v>
                </c:pt>
                <c:pt idx="666">
                  <c:v>3.77</c:v>
                </c:pt>
                <c:pt idx="667">
                  <c:v>3.7749999999999999</c:v>
                </c:pt>
                <c:pt idx="668">
                  <c:v>3.78</c:v>
                </c:pt>
                <c:pt idx="669">
                  <c:v>3.7850000000000001</c:v>
                </c:pt>
                <c:pt idx="670">
                  <c:v>3.79</c:v>
                </c:pt>
                <c:pt idx="671">
                  <c:v>3.7949999999999999</c:v>
                </c:pt>
                <c:pt idx="672">
                  <c:v>3.8</c:v>
                </c:pt>
                <c:pt idx="673">
                  <c:v>3.8050000000000002</c:v>
                </c:pt>
                <c:pt idx="674">
                  <c:v>3.81</c:v>
                </c:pt>
                <c:pt idx="675">
                  <c:v>3.8149999999999999</c:v>
                </c:pt>
                <c:pt idx="676">
                  <c:v>3.82</c:v>
                </c:pt>
                <c:pt idx="677">
                  <c:v>3.8250000000000002</c:v>
                </c:pt>
                <c:pt idx="678">
                  <c:v>3.83</c:v>
                </c:pt>
                <c:pt idx="679">
                  <c:v>3.835</c:v>
                </c:pt>
                <c:pt idx="680">
                  <c:v>3.84</c:v>
                </c:pt>
                <c:pt idx="681">
                  <c:v>3.8450000000000002</c:v>
                </c:pt>
                <c:pt idx="682">
                  <c:v>3.85</c:v>
                </c:pt>
                <c:pt idx="683">
                  <c:v>3.855</c:v>
                </c:pt>
                <c:pt idx="684">
                  <c:v>3.86</c:v>
                </c:pt>
                <c:pt idx="685">
                  <c:v>3.8650000000000002</c:v>
                </c:pt>
                <c:pt idx="686">
                  <c:v>3.87</c:v>
                </c:pt>
                <c:pt idx="687">
                  <c:v>3.875</c:v>
                </c:pt>
                <c:pt idx="688">
                  <c:v>3.88</c:v>
                </c:pt>
                <c:pt idx="689">
                  <c:v>3.8849999999999998</c:v>
                </c:pt>
                <c:pt idx="690">
                  <c:v>3.89</c:v>
                </c:pt>
                <c:pt idx="691">
                  <c:v>3.895</c:v>
                </c:pt>
                <c:pt idx="692">
                  <c:v>3.9</c:v>
                </c:pt>
                <c:pt idx="693">
                  <c:v>3.9049999999999998</c:v>
                </c:pt>
                <c:pt idx="694">
                  <c:v>3.91</c:v>
                </c:pt>
                <c:pt idx="695">
                  <c:v>3.915</c:v>
                </c:pt>
                <c:pt idx="696">
                  <c:v>3.92</c:v>
                </c:pt>
                <c:pt idx="697">
                  <c:v>3.9249999999999998</c:v>
                </c:pt>
                <c:pt idx="698">
                  <c:v>3.93</c:v>
                </c:pt>
                <c:pt idx="699">
                  <c:v>3.9350000000000001</c:v>
                </c:pt>
                <c:pt idx="700">
                  <c:v>3.94</c:v>
                </c:pt>
                <c:pt idx="701">
                  <c:v>3.9449999999999998</c:v>
                </c:pt>
                <c:pt idx="702">
                  <c:v>3.95</c:v>
                </c:pt>
                <c:pt idx="703">
                  <c:v>3.9550000000000001</c:v>
                </c:pt>
                <c:pt idx="704">
                  <c:v>3.96</c:v>
                </c:pt>
                <c:pt idx="705">
                  <c:v>3.9649999999999999</c:v>
                </c:pt>
                <c:pt idx="706">
                  <c:v>3.97</c:v>
                </c:pt>
                <c:pt idx="707">
                  <c:v>3.9750000000000001</c:v>
                </c:pt>
                <c:pt idx="708">
                  <c:v>3.98</c:v>
                </c:pt>
                <c:pt idx="709">
                  <c:v>3.9849999999999999</c:v>
                </c:pt>
                <c:pt idx="710">
                  <c:v>3.99</c:v>
                </c:pt>
                <c:pt idx="711">
                  <c:v>3.9950000000000001</c:v>
                </c:pt>
                <c:pt idx="712">
                  <c:v>4</c:v>
                </c:pt>
                <c:pt idx="713">
                  <c:v>4.0049999999999999</c:v>
                </c:pt>
                <c:pt idx="714">
                  <c:v>4.01</c:v>
                </c:pt>
                <c:pt idx="715">
                  <c:v>4.0149999999999997</c:v>
                </c:pt>
                <c:pt idx="716">
                  <c:v>4.0199999999999996</c:v>
                </c:pt>
                <c:pt idx="717">
                  <c:v>4.0250000000000004</c:v>
                </c:pt>
                <c:pt idx="718">
                  <c:v>4.03</c:v>
                </c:pt>
                <c:pt idx="719">
                  <c:v>4.0350000000000001</c:v>
                </c:pt>
                <c:pt idx="720">
                  <c:v>4.04</c:v>
                </c:pt>
                <c:pt idx="721">
                  <c:v>4.0449999999999999</c:v>
                </c:pt>
                <c:pt idx="722">
                  <c:v>4.05</c:v>
                </c:pt>
                <c:pt idx="723">
                  <c:v>4.0549999999999997</c:v>
                </c:pt>
                <c:pt idx="724">
                  <c:v>4.0599999999999996</c:v>
                </c:pt>
                <c:pt idx="725">
                  <c:v>4.0650000000000004</c:v>
                </c:pt>
                <c:pt idx="726">
                  <c:v>4.07</c:v>
                </c:pt>
                <c:pt idx="727">
                  <c:v>4.0750000000000002</c:v>
                </c:pt>
                <c:pt idx="728">
                  <c:v>4.08</c:v>
                </c:pt>
                <c:pt idx="729">
                  <c:v>4.085</c:v>
                </c:pt>
                <c:pt idx="730">
                  <c:v>4.09</c:v>
                </c:pt>
                <c:pt idx="731">
                  <c:v>4.0949999999999998</c:v>
                </c:pt>
                <c:pt idx="732">
                  <c:v>4.0999999999999996</c:v>
                </c:pt>
                <c:pt idx="733">
                  <c:v>4.1050000000000004</c:v>
                </c:pt>
                <c:pt idx="734">
                  <c:v>4.1100000000000003</c:v>
                </c:pt>
                <c:pt idx="735">
                  <c:v>4.1150000000000002</c:v>
                </c:pt>
                <c:pt idx="736">
                  <c:v>4.12</c:v>
                </c:pt>
                <c:pt idx="737">
                  <c:v>4.125</c:v>
                </c:pt>
              </c:numCache>
            </c:numRef>
          </c:xVal>
          <c:yVal>
            <c:numRef>
              <c:f>TEST2!$P$21:$P$1001</c:f>
              <c:numCache>
                <c:formatCode>0.000</c:formatCode>
                <c:ptCount val="981"/>
                <c:pt idx="0">
                  <c:v>40.128462515883101</c:v>
                </c:pt>
                <c:pt idx="1">
                  <c:v>40.1569250317662</c:v>
                </c:pt>
                <c:pt idx="2">
                  <c:v>40.185387547649306</c:v>
                </c:pt>
                <c:pt idx="3">
                  <c:v>40.213850063532405</c:v>
                </c:pt>
                <c:pt idx="4">
                  <c:v>40.270775095298603</c:v>
                </c:pt>
                <c:pt idx="5">
                  <c:v>40.299237611181702</c:v>
                </c:pt>
                <c:pt idx="6">
                  <c:v>40.327700127064801</c:v>
                </c:pt>
                <c:pt idx="7">
                  <c:v>40.356162642947908</c:v>
                </c:pt>
                <c:pt idx="8">
                  <c:v>40.384625158831007</c:v>
                </c:pt>
                <c:pt idx="9">
                  <c:v>40.413087674714106</c:v>
                </c:pt>
                <c:pt idx="10">
                  <c:v>40.441550190597205</c:v>
                </c:pt>
                <c:pt idx="11">
                  <c:v>40.470012706480304</c:v>
                </c:pt>
                <c:pt idx="12">
                  <c:v>40.49847522236341</c:v>
                </c:pt>
                <c:pt idx="13">
                  <c:v>40.526937738246509</c:v>
                </c:pt>
                <c:pt idx="14">
                  <c:v>40.555400254129609</c:v>
                </c:pt>
                <c:pt idx="15">
                  <c:v>40.583862770012708</c:v>
                </c:pt>
                <c:pt idx="16">
                  <c:v>40.612325285895807</c:v>
                </c:pt>
                <c:pt idx="17">
                  <c:v>40.640787801778906</c:v>
                </c:pt>
                <c:pt idx="18">
                  <c:v>40.669250317662012</c:v>
                </c:pt>
                <c:pt idx="19">
                  <c:v>40.697712833545111</c:v>
                </c:pt>
                <c:pt idx="20">
                  <c:v>40.72617534942821</c:v>
                </c:pt>
                <c:pt idx="21">
                  <c:v>40.754637865311309</c:v>
                </c:pt>
                <c:pt idx="22">
                  <c:v>40.783100381194409</c:v>
                </c:pt>
                <c:pt idx="23">
                  <c:v>40.811562897077508</c:v>
                </c:pt>
                <c:pt idx="24">
                  <c:v>40.840025412960614</c:v>
                </c:pt>
                <c:pt idx="25">
                  <c:v>40.868487928843713</c:v>
                </c:pt>
                <c:pt idx="26">
                  <c:v>40.896950444726812</c:v>
                </c:pt>
                <c:pt idx="27">
                  <c:v>40.925412960609911</c:v>
                </c:pt>
                <c:pt idx="28">
                  <c:v>40.95387547649301</c:v>
                </c:pt>
                <c:pt idx="29">
                  <c:v>40.982337992376117</c:v>
                </c:pt>
                <c:pt idx="30">
                  <c:v>41.010800508259216</c:v>
                </c:pt>
                <c:pt idx="31">
                  <c:v>41.039263024142315</c:v>
                </c:pt>
                <c:pt idx="32">
                  <c:v>41.067725540025414</c:v>
                </c:pt>
                <c:pt idx="33">
                  <c:v>41.096188055908513</c:v>
                </c:pt>
                <c:pt idx="34">
                  <c:v>41.124650571791612</c:v>
                </c:pt>
                <c:pt idx="35">
                  <c:v>41.153113087674718</c:v>
                </c:pt>
                <c:pt idx="36">
                  <c:v>41.181575603557818</c:v>
                </c:pt>
                <c:pt idx="37">
                  <c:v>41.210038119440917</c:v>
                </c:pt>
                <c:pt idx="38">
                  <c:v>41.238500635324016</c:v>
                </c:pt>
                <c:pt idx="39">
                  <c:v>41.266963151207115</c:v>
                </c:pt>
                <c:pt idx="40">
                  <c:v>41.295425667090214</c:v>
                </c:pt>
                <c:pt idx="41">
                  <c:v>41.32388818297332</c:v>
                </c:pt>
                <c:pt idx="42">
                  <c:v>41.352350698856419</c:v>
                </c:pt>
                <c:pt idx="43">
                  <c:v>41.380813214739518</c:v>
                </c:pt>
                <c:pt idx="44">
                  <c:v>41.409275730622618</c:v>
                </c:pt>
                <c:pt idx="45">
                  <c:v>41.437738246505717</c:v>
                </c:pt>
                <c:pt idx="46">
                  <c:v>41.466200762388823</c:v>
                </c:pt>
                <c:pt idx="47">
                  <c:v>41.494663278271922</c:v>
                </c:pt>
                <c:pt idx="48">
                  <c:v>41.523125794155021</c:v>
                </c:pt>
                <c:pt idx="49">
                  <c:v>41.55158831003812</c:v>
                </c:pt>
                <c:pt idx="50">
                  <c:v>41.580050825921219</c:v>
                </c:pt>
                <c:pt idx="51">
                  <c:v>41.608513341804318</c:v>
                </c:pt>
                <c:pt idx="52">
                  <c:v>41.636975857687425</c:v>
                </c:pt>
                <c:pt idx="53">
                  <c:v>41.665438373570524</c:v>
                </c:pt>
                <c:pt idx="54">
                  <c:v>41.693900889453623</c:v>
                </c:pt>
                <c:pt idx="55">
                  <c:v>41.722363405336722</c:v>
                </c:pt>
                <c:pt idx="56">
                  <c:v>41.750825921219821</c:v>
                </c:pt>
                <c:pt idx="57">
                  <c:v>41.77928843710292</c:v>
                </c:pt>
                <c:pt idx="58">
                  <c:v>41.807750952986027</c:v>
                </c:pt>
                <c:pt idx="59">
                  <c:v>41.836213468869126</c:v>
                </c:pt>
                <c:pt idx="60">
                  <c:v>41.864675984752225</c:v>
                </c:pt>
                <c:pt idx="61">
                  <c:v>41.893138500635324</c:v>
                </c:pt>
                <c:pt idx="62">
                  <c:v>41.921601016518423</c:v>
                </c:pt>
                <c:pt idx="63">
                  <c:v>41.950063532401529</c:v>
                </c:pt>
                <c:pt idx="64">
                  <c:v>41.978526048284628</c:v>
                </c:pt>
                <c:pt idx="65">
                  <c:v>42.006988564167727</c:v>
                </c:pt>
                <c:pt idx="66">
                  <c:v>42.035451080050827</c:v>
                </c:pt>
                <c:pt idx="67">
                  <c:v>42.063913595933926</c:v>
                </c:pt>
                <c:pt idx="68">
                  <c:v>42.092376111817025</c:v>
                </c:pt>
                <c:pt idx="69">
                  <c:v>42.120838627700131</c:v>
                </c:pt>
                <c:pt idx="70">
                  <c:v>42.14930114358323</c:v>
                </c:pt>
                <c:pt idx="71">
                  <c:v>42.177763659466329</c:v>
                </c:pt>
                <c:pt idx="72">
                  <c:v>42.206226175349428</c:v>
                </c:pt>
                <c:pt idx="73">
                  <c:v>42.234688691232527</c:v>
                </c:pt>
                <c:pt idx="74">
                  <c:v>42.263151207115634</c:v>
                </c:pt>
                <c:pt idx="75">
                  <c:v>42.291613722998733</c:v>
                </c:pt>
                <c:pt idx="76">
                  <c:v>42.320076238881832</c:v>
                </c:pt>
                <c:pt idx="77">
                  <c:v>42.348538754764931</c:v>
                </c:pt>
                <c:pt idx="78">
                  <c:v>42.37700127064803</c:v>
                </c:pt>
                <c:pt idx="79">
                  <c:v>42.405463786531129</c:v>
                </c:pt>
                <c:pt idx="80">
                  <c:v>42.433926302414235</c:v>
                </c:pt>
                <c:pt idx="81">
                  <c:v>42.462388818297335</c:v>
                </c:pt>
                <c:pt idx="82">
                  <c:v>42.490851334180434</c:v>
                </c:pt>
                <c:pt idx="83">
                  <c:v>42.519313850063533</c:v>
                </c:pt>
                <c:pt idx="84">
                  <c:v>42.547776365946632</c:v>
                </c:pt>
                <c:pt idx="85">
                  <c:v>42.576238881829738</c:v>
                </c:pt>
                <c:pt idx="86">
                  <c:v>42.604701397712837</c:v>
                </c:pt>
                <c:pt idx="87">
                  <c:v>42.633163913595936</c:v>
                </c:pt>
                <c:pt idx="88">
                  <c:v>42.661626429479035</c:v>
                </c:pt>
                <c:pt idx="89">
                  <c:v>42.690088945362135</c:v>
                </c:pt>
                <c:pt idx="90">
                  <c:v>42.718551461245234</c:v>
                </c:pt>
                <c:pt idx="91">
                  <c:v>42.74701397712834</c:v>
                </c:pt>
                <c:pt idx="92">
                  <c:v>42.775476493011439</c:v>
                </c:pt>
                <c:pt idx="93">
                  <c:v>42.803939008894538</c:v>
                </c:pt>
                <c:pt idx="94">
                  <c:v>42.832401524777637</c:v>
                </c:pt>
                <c:pt idx="95">
                  <c:v>42.860864040660736</c:v>
                </c:pt>
                <c:pt idx="96">
                  <c:v>42.889326556543836</c:v>
                </c:pt>
                <c:pt idx="97">
                  <c:v>42.917789072426942</c:v>
                </c:pt>
                <c:pt idx="98">
                  <c:v>42.946251588310041</c:v>
                </c:pt>
                <c:pt idx="99">
                  <c:v>42.97471410419314</c:v>
                </c:pt>
                <c:pt idx="100">
                  <c:v>43.003176620076239</c:v>
                </c:pt>
                <c:pt idx="101">
                  <c:v>43.031639135959338</c:v>
                </c:pt>
                <c:pt idx="102">
                  <c:v>43.060101651842444</c:v>
                </c:pt>
                <c:pt idx="103">
                  <c:v>43.088564167725544</c:v>
                </c:pt>
                <c:pt idx="104">
                  <c:v>43.117026683608643</c:v>
                </c:pt>
                <c:pt idx="105">
                  <c:v>43.145489199491742</c:v>
                </c:pt>
                <c:pt idx="106">
                  <c:v>43.173951715374841</c:v>
                </c:pt>
                <c:pt idx="107">
                  <c:v>43.20241423125794</c:v>
                </c:pt>
                <c:pt idx="108">
                  <c:v>43.230876747141046</c:v>
                </c:pt>
                <c:pt idx="109">
                  <c:v>43.259339263024145</c:v>
                </c:pt>
                <c:pt idx="110">
                  <c:v>43.287801778907244</c:v>
                </c:pt>
                <c:pt idx="111">
                  <c:v>43.316264294790344</c:v>
                </c:pt>
                <c:pt idx="112">
                  <c:v>43.344726810673443</c:v>
                </c:pt>
                <c:pt idx="113">
                  <c:v>43.373189326556542</c:v>
                </c:pt>
                <c:pt idx="114">
                  <c:v>43.401651842439648</c:v>
                </c:pt>
                <c:pt idx="115">
                  <c:v>43.430114358322747</c:v>
                </c:pt>
                <c:pt idx="116">
                  <c:v>43.458576874205846</c:v>
                </c:pt>
                <c:pt idx="117">
                  <c:v>43.487039390088945</c:v>
                </c:pt>
                <c:pt idx="118">
                  <c:v>43.515501905972044</c:v>
                </c:pt>
                <c:pt idx="119">
                  <c:v>43.543964421855151</c:v>
                </c:pt>
                <c:pt idx="120">
                  <c:v>43.57242693773825</c:v>
                </c:pt>
                <c:pt idx="121">
                  <c:v>43.600889453621349</c:v>
                </c:pt>
                <c:pt idx="122">
                  <c:v>43.629351969504448</c:v>
                </c:pt>
                <c:pt idx="123">
                  <c:v>43.657814485387547</c:v>
                </c:pt>
                <c:pt idx="124">
                  <c:v>43.686277001270646</c:v>
                </c:pt>
                <c:pt idx="125">
                  <c:v>43.714739517153753</c:v>
                </c:pt>
                <c:pt idx="126">
                  <c:v>43.743202033036852</c:v>
                </c:pt>
                <c:pt idx="127">
                  <c:v>43.80012706480305</c:v>
                </c:pt>
                <c:pt idx="128">
                  <c:v>43.828589580686149</c:v>
                </c:pt>
                <c:pt idx="129">
                  <c:v>43.857052096569248</c:v>
                </c:pt>
                <c:pt idx="130">
                  <c:v>43.885514612452354</c:v>
                </c:pt>
                <c:pt idx="131">
                  <c:v>43.942439644218553</c:v>
                </c:pt>
                <c:pt idx="132">
                  <c:v>43.970902160101652</c:v>
                </c:pt>
                <c:pt idx="133">
                  <c:v>43.999364675984751</c:v>
                </c:pt>
                <c:pt idx="134">
                  <c:v>44.027827191867857</c:v>
                </c:pt>
                <c:pt idx="135">
                  <c:v>44.056289707750956</c:v>
                </c:pt>
                <c:pt idx="136">
                  <c:v>44.084752223634055</c:v>
                </c:pt>
                <c:pt idx="137">
                  <c:v>44.113214739517154</c:v>
                </c:pt>
                <c:pt idx="138">
                  <c:v>44.141677255400253</c:v>
                </c:pt>
                <c:pt idx="139">
                  <c:v>44.17013977128336</c:v>
                </c:pt>
                <c:pt idx="140">
                  <c:v>44.198602287166459</c:v>
                </c:pt>
                <c:pt idx="141">
                  <c:v>44.227064803049558</c:v>
                </c:pt>
                <c:pt idx="142">
                  <c:v>44.255527318932657</c:v>
                </c:pt>
                <c:pt idx="143">
                  <c:v>44.283989834815756</c:v>
                </c:pt>
                <c:pt idx="144">
                  <c:v>44.312452350698855</c:v>
                </c:pt>
                <c:pt idx="145">
                  <c:v>44.340914866581961</c:v>
                </c:pt>
                <c:pt idx="146">
                  <c:v>44.369377382465061</c:v>
                </c:pt>
                <c:pt idx="147">
                  <c:v>44.39783989834816</c:v>
                </c:pt>
                <c:pt idx="148">
                  <c:v>44.426302414231259</c:v>
                </c:pt>
                <c:pt idx="149">
                  <c:v>44.454764930114358</c:v>
                </c:pt>
                <c:pt idx="150">
                  <c:v>44.483227445997457</c:v>
                </c:pt>
                <c:pt idx="151">
                  <c:v>44.511689961880563</c:v>
                </c:pt>
                <c:pt idx="152">
                  <c:v>44.540152477763662</c:v>
                </c:pt>
                <c:pt idx="153">
                  <c:v>44.568614993646761</c:v>
                </c:pt>
                <c:pt idx="154">
                  <c:v>44.597077509529861</c:v>
                </c:pt>
                <c:pt idx="155">
                  <c:v>44.62554002541296</c:v>
                </c:pt>
                <c:pt idx="156">
                  <c:v>44.654002541296066</c:v>
                </c:pt>
                <c:pt idx="157">
                  <c:v>44.682465057179165</c:v>
                </c:pt>
                <c:pt idx="158">
                  <c:v>44.710927573062264</c:v>
                </c:pt>
                <c:pt idx="159">
                  <c:v>44.739390088945363</c:v>
                </c:pt>
                <c:pt idx="160">
                  <c:v>44.767852604828462</c:v>
                </c:pt>
                <c:pt idx="161">
                  <c:v>44.796315120711562</c:v>
                </c:pt>
                <c:pt idx="162">
                  <c:v>44.824777636594668</c:v>
                </c:pt>
                <c:pt idx="163">
                  <c:v>44.853240152477767</c:v>
                </c:pt>
                <c:pt idx="164">
                  <c:v>44.881702668360866</c:v>
                </c:pt>
                <c:pt idx="165">
                  <c:v>44.910165184243965</c:v>
                </c:pt>
                <c:pt idx="166">
                  <c:v>44.938627700127064</c:v>
                </c:pt>
                <c:pt idx="167">
                  <c:v>44.967090216010163</c:v>
                </c:pt>
                <c:pt idx="168">
                  <c:v>44.99555273189327</c:v>
                </c:pt>
                <c:pt idx="169">
                  <c:v>45.024015247776369</c:v>
                </c:pt>
                <c:pt idx="170">
                  <c:v>45.052477763659468</c:v>
                </c:pt>
                <c:pt idx="171">
                  <c:v>45.080940279542567</c:v>
                </c:pt>
                <c:pt idx="172">
                  <c:v>45.109402795425666</c:v>
                </c:pt>
                <c:pt idx="173">
                  <c:v>45.137865311308772</c:v>
                </c:pt>
                <c:pt idx="174">
                  <c:v>45.166327827191871</c:v>
                </c:pt>
                <c:pt idx="175">
                  <c:v>45.19479034307497</c:v>
                </c:pt>
                <c:pt idx="176">
                  <c:v>45.22325285895807</c:v>
                </c:pt>
                <c:pt idx="177">
                  <c:v>45.251715374841169</c:v>
                </c:pt>
                <c:pt idx="178">
                  <c:v>45.280177890724268</c:v>
                </c:pt>
                <c:pt idx="179">
                  <c:v>45.308640406607374</c:v>
                </c:pt>
                <c:pt idx="180">
                  <c:v>45.337102922490473</c:v>
                </c:pt>
                <c:pt idx="181">
                  <c:v>45.365565438373572</c:v>
                </c:pt>
                <c:pt idx="182">
                  <c:v>45.394027954256671</c:v>
                </c:pt>
                <c:pt idx="183">
                  <c:v>45.42249047013977</c:v>
                </c:pt>
                <c:pt idx="184">
                  <c:v>45.479415501905976</c:v>
                </c:pt>
                <c:pt idx="185">
                  <c:v>45.507878017789075</c:v>
                </c:pt>
                <c:pt idx="186">
                  <c:v>45.536340533672174</c:v>
                </c:pt>
                <c:pt idx="187">
                  <c:v>45.564803049555273</c:v>
                </c:pt>
                <c:pt idx="188">
                  <c:v>45.593265565438372</c:v>
                </c:pt>
                <c:pt idx="189">
                  <c:v>45.621728081321478</c:v>
                </c:pt>
                <c:pt idx="190">
                  <c:v>45.650190597204578</c:v>
                </c:pt>
                <c:pt idx="191">
                  <c:v>45.707115628970776</c:v>
                </c:pt>
                <c:pt idx="192">
                  <c:v>45.735578144853875</c:v>
                </c:pt>
                <c:pt idx="193">
                  <c:v>45.79250317662008</c:v>
                </c:pt>
                <c:pt idx="194">
                  <c:v>45.877890724269378</c:v>
                </c:pt>
                <c:pt idx="195">
                  <c:v>45.934815756035583</c:v>
                </c:pt>
                <c:pt idx="196">
                  <c:v>45.963278271918682</c:v>
                </c:pt>
                <c:pt idx="197">
                  <c:v>46.02020330368488</c:v>
                </c:pt>
                <c:pt idx="198">
                  <c:v>46.077128335451079</c:v>
                </c:pt>
                <c:pt idx="199">
                  <c:v>46.134053367217284</c:v>
                </c:pt>
                <c:pt idx="200">
                  <c:v>46.219440914866581</c:v>
                </c:pt>
                <c:pt idx="201">
                  <c:v>46.304828462515886</c:v>
                </c:pt>
                <c:pt idx="202">
                  <c:v>46.390216010165183</c:v>
                </c:pt>
                <c:pt idx="203">
                  <c:v>46.447141041931388</c:v>
                </c:pt>
                <c:pt idx="204">
                  <c:v>46.475603557814487</c:v>
                </c:pt>
                <c:pt idx="205">
                  <c:v>46.504066073697587</c:v>
                </c:pt>
                <c:pt idx="206">
                  <c:v>46.532528589580686</c:v>
                </c:pt>
                <c:pt idx="207">
                  <c:v>46.560991105463785</c:v>
                </c:pt>
                <c:pt idx="208">
                  <c:v>46.589453621346891</c:v>
                </c:pt>
                <c:pt idx="209">
                  <c:v>46.61791613722999</c:v>
                </c:pt>
                <c:pt idx="210">
                  <c:v>46.674841168996188</c:v>
                </c:pt>
                <c:pt idx="211">
                  <c:v>46.731766200762394</c:v>
                </c:pt>
                <c:pt idx="212">
                  <c:v>46.788691232528592</c:v>
                </c:pt>
                <c:pt idx="213">
                  <c:v>46.84561626429479</c:v>
                </c:pt>
                <c:pt idx="214">
                  <c:v>46.902541296060996</c:v>
                </c:pt>
                <c:pt idx="215">
                  <c:v>46.987928843710293</c:v>
                </c:pt>
                <c:pt idx="216">
                  <c:v>47.044853875476491</c:v>
                </c:pt>
                <c:pt idx="217">
                  <c:v>47.073316391359597</c:v>
                </c:pt>
                <c:pt idx="218">
                  <c:v>47.101778907242696</c:v>
                </c:pt>
                <c:pt idx="219">
                  <c:v>47.130241423125796</c:v>
                </c:pt>
                <c:pt idx="220">
                  <c:v>47.158703939008895</c:v>
                </c:pt>
                <c:pt idx="221">
                  <c:v>47.187166454891994</c:v>
                </c:pt>
                <c:pt idx="222">
                  <c:v>47.2156289707751</c:v>
                </c:pt>
                <c:pt idx="223">
                  <c:v>47.244091486658199</c:v>
                </c:pt>
                <c:pt idx="224">
                  <c:v>47.272554002541298</c:v>
                </c:pt>
                <c:pt idx="225">
                  <c:v>47.301016518424397</c:v>
                </c:pt>
                <c:pt idx="226">
                  <c:v>47.329479034307496</c:v>
                </c:pt>
                <c:pt idx="227">
                  <c:v>47.357941550190603</c:v>
                </c:pt>
                <c:pt idx="228">
                  <c:v>47.386404066073702</c:v>
                </c:pt>
                <c:pt idx="229">
                  <c:v>47.414866581956801</c:v>
                </c:pt>
                <c:pt idx="230">
                  <c:v>47.4433290978399</c:v>
                </c:pt>
                <c:pt idx="231">
                  <c:v>47.471791613722999</c:v>
                </c:pt>
                <c:pt idx="232">
                  <c:v>47.500254129606098</c:v>
                </c:pt>
                <c:pt idx="233">
                  <c:v>47.528716645489204</c:v>
                </c:pt>
                <c:pt idx="234">
                  <c:v>47.557179161372304</c:v>
                </c:pt>
                <c:pt idx="235">
                  <c:v>47.585641677255403</c:v>
                </c:pt>
                <c:pt idx="236">
                  <c:v>47.614104193138502</c:v>
                </c:pt>
                <c:pt idx="237">
                  <c:v>47.642566709021601</c:v>
                </c:pt>
                <c:pt idx="238">
                  <c:v>47.6710292249047</c:v>
                </c:pt>
                <c:pt idx="239">
                  <c:v>47.699491740787806</c:v>
                </c:pt>
                <c:pt idx="240">
                  <c:v>47.727954256670905</c:v>
                </c:pt>
                <c:pt idx="241">
                  <c:v>47.756416772554005</c:v>
                </c:pt>
                <c:pt idx="242">
                  <c:v>47.784879288437104</c:v>
                </c:pt>
                <c:pt idx="243">
                  <c:v>47.813341804320203</c:v>
                </c:pt>
                <c:pt idx="244">
                  <c:v>47.841804320203309</c:v>
                </c:pt>
                <c:pt idx="245">
                  <c:v>47.870266836086408</c:v>
                </c:pt>
                <c:pt idx="246">
                  <c:v>47.927191867852606</c:v>
                </c:pt>
                <c:pt idx="247">
                  <c:v>47.955654383735705</c:v>
                </c:pt>
                <c:pt idx="248">
                  <c:v>47.984116899618805</c:v>
                </c:pt>
                <c:pt idx="249">
                  <c:v>48.012579415501911</c:v>
                </c:pt>
                <c:pt idx="250">
                  <c:v>48.04104193138501</c:v>
                </c:pt>
                <c:pt idx="251">
                  <c:v>48.069504447268109</c:v>
                </c:pt>
                <c:pt idx="252">
                  <c:v>48.097966963151208</c:v>
                </c:pt>
                <c:pt idx="253">
                  <c:v>48.126429479034307</c:v>
                </c:pt>
                <c:pt idx="254">
                  <c:v>48.154891994917406</c:v>
                </c:pt>
                <c:pt idx="255">
                  <c:v>48.183354510800513</c:v>
                </c:pt>
                <c:pt idx="256">
                  <c:v>48.211817026683612</c:v>
                </c:pt>
                <c:pt idx="257">
                  <c:v>48.26874205844981</c:v>
                </c:pt>
                <c:pt idx="258">
                  <c:v>48.297204574332909</c:v>
                </c:pt>
                <c:pt idx="259">
                  <c:v>48.354129606099107</c:v>
                </c:pt>
                <c:pt idx="260">
                  <c:v>48.411054637865313</c:v>
                </c:pt>
                <c:pt idx="261">
                  <c:v>48.439517153748412</c:v>
                </c:pt>
                <c:pt idx="262">
                  <c:v>48.467979669631511</c:v>
                </c:pt>
                <c:pt idx="263">
                  <c:v>48.49644218551461</c:v>
                </c:pt>
                <c:pt idx="264">
                  <c:v>48.524904701397716</c:v>
                </c:pt>
                <c:pt idx="265">
                  <c:v>48.553367217280815</c:v>
                </c:pt>
                <c:pt idx="266">
                  <c:v>48.581829733163914</c:v>
                </c:pt>
                <c:pt idx="267">
                  <c:v>48.610292249047014</c:v>
                </c:pt>
                <c:pt idx="268">
                  <c:v>48.638754764930113</c:v>
                </c:pt>
                <c:pt idx="269">
                  <c:v>48.667217280813219</c:v>
                </c:pt>
                <c:pt idx="270">
                  <c:v>48.695679796696318</c:v>
                </c:pt>
                <c:pt idx="271">
                  <c:v>48.724142312579417</c:v>
                </c:pt>
                <c:pt idx="272">
                  <c:v>48.752604828462516</c:v>
                </c:pt>
                <c:pt idx="273">
                  <c:v>48.809529860228722</c:v>
                </c:pt>
                <c:pt idx="274">
                  <c:v>48.837992376111821</c:v>
                </c:pt>
                <c:pt idx="275">
                  <c:v>48.894917407878019</c:v>
                </c:pt>
                <c:pt idx="276">
                  <c:v>48.923379923761118</c:v>
                </c:pt>
                <c:pt idx="277">
                  <c:v>48.951842439644224</c:v>
                </c:pt>
                <c:pt idx="278">
                  <c:v>48.980304955527316</c:v>
                </c:pt>
                <c:pt idx="279">
                  <c:v>49.037229987293522</c:v>
                </c:pt>
                <c:pt idx="280">
                  <c:v>49.065692503176621</c:v>
                </c:pt>
                <c:pt idx="281">
                  <c:v>49.122617534942819</c:v>
                </c:pt>
                <c:pt idx="282">
                  <c:v>49.151080050825925</c:v>
                </c:pt>
                <c:pt idx="283">
                  <c:v>49.179542566709024</c:v>
                </c:pt>
                <c:pt idx="284">
                  <c:v>49.208005082592123</c:v>
                </c:pt>
                <c:pt idx="285">
                  <c:v>49.236467598475222</c:v>
                </c:pt>
                <c:pt idx="286">
                  <c:v>49.264930114358322</c:v>
                </c:pt>
                <c:pt idx="287">
                  <c:v>49.293392630241428</c:v>
                </c:pt>
                <c:pt idx="288">
                  <c:v>49.321855146124527</c:v>
                </c:pt>
                <c:pt idx="289">
                  <c:v>49.350317662007626</c:v>
                </c:pt>
                <c:pt idx="290">
                  <c:v>49.378780177890725</c:v>
                </c:pt>
                <c:pt idx="291">
                  <c:v>49.407242693773824</c:v>
                </c:pt>
                <c:pt idx="292">
                  <c:v>49.43570520965693</c:v>
                </c:pt>
                <c:pt idx="293">
                  <c:v>49.464167725540023</c:v>
                </c:pt>
                <c:pt idx="294">
                  <c:v>49.492630241423129</c:v>
                </c:pt>
                <c:pt idx="295">
                  <c:v>49.521092757306228</c:v>
                </c:pt>
                <c:pt idx="296">
                  <c:v>49.549555273189327</c:v>
                </c:pt>
                <c:pt idx="297">
                  <c:v>49.578017789072426</c:v>
                </c:pt>
                <c:pt idx="298">
                  <c:v>49.606480304955525</c:v>
                </c:pt>
                <c:pt idx="299">
                  <c:v>49.634942820838631</c:v>
                </c:pt>
                <c:pt idx="300">
                  <c:v>49.663405336721731</c:v>
                </c:pt>
                <c:pt idx="301">
                  <c:v>49.69186785260483</c:v>
                </c:pt>
                <c:pt idx="302">
                  <c:v>49.720330368487929</c:v>
                </c:pt>
                <c:pt idx="303">
                  <c:v>49.748792884371028</c:v>
                </c:pt>
                <c:pt idx="304">
                  <c:v>49.777255400254134</c:v>
                </c:pt>
                <c:pt idx="305">
                  <c:v>49.805717916137233</c:v>
                </c:pt>
                <c:pt idx="306">
                  <c:v>49.834180432020332</c:v>
                </c:pt>
                <c:pt idx="307">
                  <c:v>49.862642947903431</c:v>
                </c:pt>
                <c:pt idx="308">
                  <c:v>49.891105463786531</c:v>
                </c:pt>
                <c:pt idx="309">
                  <c:v>49.919567979669637</c:v>
                </c:pt>
                <c:pt idx="310">
                  <c:v>49.948030495552729</c:v>
                </c:pt>
                <c:pt idx="311">
                  <c:v>49.976493011435835</c:v>
                </c:pt>
                <c:pt idx="312">
                  <c:v>50.004955527318934</c:v>
                </c:pt>
                <c:pt idx="313">
                  <c:v>50.033418043202033</c:v>
                </c:pt>
                <c:pt idx="314">
                  <c:v>50.061880559085132</c:v>
                </c:pt>
                <c:pt idx="315">
                  <c:v>50.090343074968231</c:v>
                </c:pt>
                <c:pt idx="316">
                  <c:v>50.118805590851338</c:v>
                </c:pt>
                <c:pt idx="317">
                  <c:v>50.147268106734437</c:v>
                </c:pt>
                <c:pt idx="318">
                  <c:v>50.175730622617536</c:v>
                </c:pt>
                <c:pt idx="319">
                  <c:v>50.204193138500635</c:v>
                </c:pt>
                <c:pt idx="320">
                  <c:v>50.232655654383734</c:v>
                </c:pt>
                <c:pt idx="321">
                  <c:v>50.26111817026684</c:v>
                </c:pt>
                <c:pt idx="322">
                  <c:v>50.289580686149939</c:v>
                </c:pt>
                <c:pt idx="323">
                  <c:v>50.318043202033039</c:v>
                </c:pt>
                <c:pt idx="324">
                  <c:v>50.346505717916138</c:v>
                </c:pt>
                <c:pt idx="325">
                  <c:v>50.374968233799237</c:v>
                </c:pt>
                <c:pt idx="326">
                  <c:v>50.431893265565435</c:v>
                </c:pt>
                <c:pt idx="327">
                  <c:v>50.48881829733164</c:v>
                </c:pt>
                <c:pt idx="328">
                  <c:v>50.545743329097839</c:v>
                </c:pt>
                <c:pt idx="329">
                  <c:v>50.574205844980938</c:v>
                </c:pt>
                <c:pt idx="330">
                  <c:v>50.631130876747143</c:v>
                </c:pt>
                <c:pt idx="331">
                  <c:v>50.659593392630242</c:v>
                </c:pt>
                <c:pt idx="332">
                  <c:v>50.688055908513341</c:v>
                </c:pt>
                <c:pt idx="333">
                  <c:v>50.71651842439644</c:v>
                </c:pt>
                <c:pt idx="334">
                  <c:v>50.773443456162646</c:v>
                </c:pt>
                <c:pt idx="335">
                  <c:v>50.801905972045745</c:v>
                </c:pt>
                <c:pt idx="336">
                  <c:v>50.858831003811943</c:v>
                </c:pt>
                <c:pt idx="337">
                  <c:v>50.915756035578148</c:v>
                </c:pt>
                <c:pt idx="338">
                  <c:v>50.944218551461248</c:v>
                </c:pt>
                <c:pt idx="339">
                  <c:v>51.001143583227446</c:v>
                </c:pt>
                <c:pt idx="340">
                  <c:v>51.029606099110552</c:v>
                </c:pt>
                <c:pt idx="341">
                  <c:v>51.08653113087675</c:v>
                </c:pt>
                <c:pt idx="342">
                  <c:v>51.114993646759849</c:v>
                </c:pt>
                <c:pt idx="343">
                  <c:v>51.143456162642948</c:v>
                </c:pt>
                <c:pt idx="344">
                  <c:v>51.200381194409147</c:v>
                </c:pt>
                <c:pt idx="345">
                  <c:v>51.228843710292253</c:v>
                </c:pt>
                <c:pt idx="346">
                  <c:v>51.285768742058451</c:v>
                </c:pt>
                <c:pt idx="347">
                  <c:v>51.342693773824649</c:v>
                </c:pt>
                <c:pt idx="348">
                  <c:v>51.371156289707756</c:v>
                </c:pt>
                <c:pt idx="349">
                  <c:v>51.428081321473954</c:v>
                </c:pt>
                <c:pt idx="350">
                  <c:v>51.485006353240152</c:v>
                </c:pt>
                <c:pt idx="351">
                  <c:v>51.513468869123251</c:v>
                </c:pt>
                <c:pt idx="352">
                  <c:v>51.570393900889457</c:v>
                </c:pt>
                <c:pt idx="353">
                  <c:v>51.598856416772556</c:v>
                </c:pt>
                <c:pt idx="354">
                  <c:v>51.655781448538761</c:v>
                </c:pt>
                <c:pt idx="355">
                  <c:v>51.712706480304959</c:v>
                </c:pt>
                <c:pt idx="356">
                  <c:v>51.741168996188058</c:v>
                </c:pt>
                <c:pt idx="357">
                  <c:v>51.798094027954257</c:v>
                </c:pt>
                <c:pt idx="358">
                  <c:v>51.826556543837356</c:v>
                </c:pt>
                <c:pt idx="359">
                  <c:v>51.883481575603554</c:v>
                </c:pt>
                <c:pt idx="360">
                  <c:v>51.91194409148666</c:v>
                </c:pt>
                <c:pt idx="361">
                  <c:v>51.968869123252858</c:v>
                </c:pt>
                <c:pt idx="362">
                  <c:v>51.997331639135957</c:v>
                </c:pt>
                <c:pt idx="363">
                  <c:v>52.025794155019064</c:v>
                </c:pt>
                <c:pt idx="364">
                  <c:v>52.082719186785262</c:v>
                </c:pt>
                <c:pt idx="365">
                  <c:v>52.111181702668361</c:v>
                </c:pt>
                <c:pt idx="366">
                  <c:v>52.168106734434559</c:v>
                </c:pt>
                <c:pt idx="367">
                  <c:v>52.196569250317665</c:v>
                </c:pt>
                <c:pt idx="368">
                  <c:v>52.225031766200765</c:v>
                </c:pt>
                <c:pt idx="369">
                  <c:v>52.253494282083864</c:v>
                </c:pt>
                <c:pt idx="370">
                  <c:v>52.281956797966963</c:v>
                </c:pt>
                <c:pt idx="371">
                  <c:v>52.310419313850062</c:v>
                </c:pt>
                <c:pt idx="372">
                  <c:v>52.338881829733168</c:v>
                </c:pt>
                <c:pt idx="373">
                  <c:v>52.367344345616267</c:v>
                </c:pt>
                <c:pt idx="374">
                  <c:v>52.395806861499366</c:v>
                </c:pt>
                <c:pt idx="375">
                  <c:v>52.424269377382466</c:v>
                </c:pt>
                <c:pt idx="376">
                  <c:v>52.452731893265565</c:v>
                </c:pt>
                <c:pt idx="377">
                  <c:v>52.481194409148671</c:v>
                </c:pt>
                <c:pt idx="378">
                  <c:v>52.50965692503177</c:v>
                </c:pt>
                <c:pt idx="379">
                  <c:v>52.538119440914869</c:v>
                </c:pt>
                <c:pt idx="380">
                  <c:v>52.566581956797968</c:v>
                </c:pt>
                <c:pt idx="381">
                  <c:v>52.595044472681067</c:v>
                </c:pt>
                <c:pt idx="382">
                  <c:v>52.623506988564174</c:v>
                </c:pt>
                <c:pt idx="383">
                  <c:v>52.651969504447266</c:v>
                </c:pt>
                <c:pt idx="384">
                  <c:v>52.680432020330372</c:v>
                </c:pt>
                <c:pt idx="385">
                  <c:v>52.708894536213471</c:v>
                </c:pt>
                <c:pt idx="386">
                  <c:v>52.73735705209657</c:v>
                </c:pt>
                <c:pt idx="387">
                  <c:v>52.765819567979669</c:v>
                </c:pt>
                <c:pt idx="388">
                  <c:v>52.794282083862768</c:v>
                </c:pt>
                <c:pt idx="389">
                  <c:v>52.822744599745874</c:v>
                </c:pt>
                <c:pt idx="390">
                  <c:v>52.851207115628974</c:v>
                </c:pt>
                <c:pt idx="391">
                  <c:v>52.879669631512073</c:v>
                </c:pt>
                <c:pt idx="392">
                  <c:v>52.908132147395172</c:v>
                </c:pt>
                <c:pt idx="393">
                  <c:v>52.936594663278271</c:v>
                </c:pt>
                <c:pt idx="394">
                  <c:v>52.965057179161377</c:v>
                </c:pt>
                <c:pt idx="395">
                  <c:v>52.993519695044476</c:v>
                </c:pt>
                <c:pt idx="396">
                  <c:v>53.050444726810674</c:v>
                </c:pt>
                <c:pt idx="397">
                  <c:v>53.078907242693774</c:v>
                </c:pt>
                <c:pt idx="398">
                  <c:v>53.10736975857688</c:v>
                </c:pt>
                <c:pt idx="399">
                  <c:v>53.135832274459972</c:v>
                </c:pt>
                <c:pt idx="400">
                  <c:v>53.164294790343078</c:v>
                </c:pt>
                <c:pt idx="401">
                  <c:v>53.192757306226177</c:v>
                </c:pt>
                <c:pt idx="402">
                  <c:v>53.221219822109276</c:v>
                </c:pt>
                <c:pt idx="403">
                  <c:v>53.249682337992375</c:v>
                </c:pt>
                <c:pt idx="404">
                  <c:v>53.278144853875474</c:v>
                </c:pt>
                <c:pt idx="405">
                  <c:v>53.306607369758581</c:v>
                </c:pt>
                <c:pt idx="406">
                  <c:v>53.33506988564168</c:v>
                </c:pt>
                <c:pt idx="407">
                  <c:v>53.363532401524779</c:v>
                </c:pt>
                <c:pt idx="408">
                  <c:v>53.391994917407878</c:v>
                </c:pt>
                <c:pt idx="409">
                  <c:v>53.420457433290977</c:v>
                </c:pt>
                <c:pt idx="410">
                  <c:v>53.448919949174083</c:v>
                </c:pt>
                <c:pt idx="411">
                  <c:v>53.477382465057183</c:v>
                </c:pt>
                <c:pt idx="412">
                  <c:v>53.505844980940282</c:v>
                </c:pt>
                <c:pt idx="413">
                  <c:v>53.534307496823381</c:v>
                </c:pt>
                <c:pt idx="414">
                  <c:v>53.56277001270648</c:v>
                </c:pt>
                <c:pt idx="415">
                  <c:v>53.591232528589586</c:v>
                </c:pt>
                <c:pt idx="416">
                  <c:v>53.619695044472678</c:v>
                </c:pt>
                <c:pt idx="417">
                  <c:v>53.648157560355784</c:v>
                </c:pt>
                <c:pt idx="418">
                  <c:v>53.676620076238883</c:v>
                </c:pt>
                <c:pt idx="419">
                  <c:v>53.705082592121983</c:v>
                </c:pt>
                <c:pt idx="420">
                  <c:v>53.733545108005082</c:v>
                </c:pt>
                <c:pt idx="421">
                  <c:v>53.762007623888181</c:v>
                </c:pt>
                <c:pt idx="422">
                  <c:v>53.818932655654386</c:v>
                </c:pt>
                <c:pt idx="423">
                  <c:v>53.847395171537485</c:v>
                </c:pt>
                <c:pt idx="424">
                  <c:v>53.904320203303683</c:v>
                </c:pt>
                <c:pt idx="425">
                  <c:v>53.961245235069889</c:v>
                </c:pt>
                <c:pt idx="426">
                  <c:v>54.018170266836087</c:v>
                </c:pt>
                <c:pt idx="427">
                  <c:v>54.075095298602292</c:v>
                </c:pt>
                <c:pt idx="428">
                  <c:v>54.132020330368491</c:v>
                </c:pt>
                <c:pt idx="429">
                  <c:v>54.16048284625159</c:v>
                </c:pt>
                <c:pt idx="430">
                  <c:v>54.188945362134689</c:v>
                </c:pt>
                <c:pt idx="431">
                  <c:v>54.245870393900887</c:v>
                </c:pt>
                <c:pt idx="432">
                  <c:v>54.274332909783993</c:v>
                </c:pt>
                <c:pt idx="433">
                  <c:v>54.302795425667092</c:v>
                </c:pt>
                <c:pt idx="434">
                  <c:v>54.331257941550192</c:v>
                </c:pt>
                <c:pt idx="435">
                  <c:v>54.359720457433291</c:v>
                </c:pt>
                <c:pt idx="436">
                  <c:v>54.38818297331639</c:v>
                </c:pt>
                <c:pt idx="437">
                  <c:v>54.416645489199496</c:v>
                </c:pt>
                <c:pt idx="438">
                  <c:v>54.445108005082595</c:v>
                </c:pt>
                <c:pt idx="439">
                  <c:v>54.473570520965694</c:v>
                </c:pt>
                <c:pt idx="440">
                  <c:v>54.502033036848793</c:v>
                </c:pt>
                <c:pt idx="441">
                  <c:v>54.530495552731892</c:v>
                </c:pt>
                <c:pt idx="442">
                  <c:v>54.558958068614999</c:v>
                </c:pt>
                <c:pt idx="443">
                  <c:v>54.587420584498091</c:v>
                </c:pt>
                <c:pt idx="444">
                  <c:v>54.615883100381197</c:v>
                </c:pt>
                <c:pt idx="445">
                  <c:v>54.644345616264296</c:v>
                </c:pt>
                <c:pt idx="446">
                  <c:v>54.672808132147395</c:v>
                </c:pt>
                <c:pt idx="447">
                  <c:v>54.701270648030494</c:v>
                </c:pt>
                <c:pt idx="448">
                  <c:v>54.729733163913593</c:v>
                </c:pt>
                <c:pt idx="449">
                  <c:v>54.7581956797967</c:v>
                </c:pt>
                <c:pt idx="450">
                  <c:v>54.786658195679799</c:v>
                </c:pt>
                <c:pt idx="451">
                  <c:v>54.815120711562898</c:v>
                </c:pt>
                <c:pt idx="452">
                  <c:v>54.843583227445997</c:v>
                </c:pt>
                <c:pt idx="453">
                  <c:v>54.872045743329096</c:v>
                </c:pt>
                <c:pt idx="454">
                  <c:v>54.900508259212202</c:v>
                </c:pt>
                <c:pt idx="455">
                  <c:v>54.928970775095301</c:v>
                </c:pt>
                <c:pt idx="456">
                  <c:v>54.9574332909784</c:v>
                </c:pt>
                <c:pt idx="457">
                  <c:v>54.9858958068615</c:v>
                </c:pt>
                <c:pt idx="458">
                  <c:v>55.014358322744599</c:v>
                </c:pt>
                <c:pt idx="459">
                  <c:v>55.042820838627705</c:v>
                </c:pt>
                <c:pt idx="460">
                  <c:v>55.071283354510797</c:v>
                </c:pt>
                <c:pt idx="461">
                  <c:v>55.099745870393903</c:v>
                </c:pt>
                <c:pt idx="462">
                  <c:v>55.128208386277002</c:v>
                </c:pt>
                <c:pt idx="463">
                  <c:v>55.156670902160101</c:v>
                </c:pt>
                <c:pt idx="464">
                  <c:v>55.1851334180432</c:v>
                </c:pt>
                <c:pt idx="465">
                  <c:v>55.213595933926307</c:v>
                </c:pt>
                <c:pt idx="466">
                  <c:v>55.242058449809406</c:v>
                </c:pt>
                <c:pt idx="467">
                  <c:v>55.270520965692505</c:v>
                </c:pt>
                <c:pt idx="468">
                  <c:v>55.298983481575604</c:v>
                </c:pt>
                <c:pt idx="469">
                  <c:v>55.32744599745871</c:v>
                </c:pt>
                <c:pt idx="470">
                  <c:v>55.355908513341802</c:v>
                </c:pt>
                <c:pt idx="471">
                  <c:v>55.384371029224909</c:v>
                </c:pt>
                <c:pt idx="472">
                  <c:v>55.412833545108008</c:v>
                </c:pt>
                <c:pt idx="473">
                  <c:v>55.441296060991107</c:v>
                </c:pt>
                <c:pt idx="474">
                  <c:v>55.469758576874206</c:v>
                </c:pt>
                <c:pt idx="475">
                  <c:v>55.498221092757305</c:v>
                </c:pt>
                <c:pt idx="476">
                  <c:v>55.526683608640411</c:v>
                </c:pt>
                <c:pt idx="477">
                  <c:v>55.555146124523503</c:v>
                </c:pt>
                <c:pt idx="478">
                  <c:v>55.583608640406609</c:v>
                </c:pt>
                <c:pt idx="479">
                  <c:v>55.612071156289709</c:v>
                </c:pt>
                <c:pt idx="480">
                  <c:v>55.640533672172808</c:v>
                </c:pt>
                <c:pt idx="481">
                  <c:v>55.668996188055907</c:v>
                </c:pt>
                <c:pt idx="482">
                  <c:v>55.697458703939013</c:v>
                </c:pt>
                <c:pt idx="483">
                  <c:v>55.725921219822112</c:v>
                </c:pt>
                <c:pt idx="484">
                  <c:v>55.754383735705211</c:v>
                </c:pt>
                <c:pt idx="485">
                  <c:v>55.78284625158831</c:v>
                </c:pt>
                <c:pt idx="486">
                  <c:v>55.811308767471417</c:v>
                </c:pt>
                <c:pt idx="487">
                  <c:v>55.839771283354509</c:v>
                </c:pt>
                <c:pt idx="488">
                  <c:v>55.868233799237615</c:v>
                </c:pt>
                <c:pt idx="489">
                  <c:v>55.896696315120714</c:v>
                </c:pt>
                <c:pt idx="490">
                  <c:v>55.925158831003813</c:v>
                </c:pt>
                <c:pt idx="491">
                  <c:v>55.953621346886912</c:v>
                </c:pt>
                <c:pt idx="492">
                  <c:v>55.982083862770011</c:v>
                </c:pt>
                <c:pt idx="493">
                  <c:v>56.010546378653117</c:v>
                </c:pt>
                <c:pt idx="494">
                  <c:v>56.067471410419316</c:v>
                </c:pt>
                <c:pt idx="495">
                  <c:v>56.095933926302415</c:v>
                </c:pt>
                <c:pt idx="496">
                  <c:v>56.124396442185514</c:v>
                </c:pt>
                <c:pt idx="497">
                  <c:v>56.15285895806862</c:v>
                </c:pt>
                <c:pt idx="498">
                  <c:v>56.181321473951719</c:v>
                </c:pt>
                <c:pt idx="499">
                  <c:v>56.209783989834818</c:v>
                </c:pt>
                <c:pt idx="500">
                  <c:v>56.238246505717918</c:v>
                </c:pt>
                <c:pt idx="501">
                  <c:v>56.266709021601017</c:v>
                </c:pt>
                <c:pt idx="502">
                  <c:v>56.295171537484123</c:v>
                </c:pt>
                <c:pt idx="503">
                  <c:v>56.323634053367215</c:v>
                </c:pt>
                <c:pt idx="504">
                  <c:v>56.352096569250321</c:v>
                </c:pt>
                <c:pt idx="505">
                  <c:v>56.38055908513342</c:v>
                </c:pt>
                <c:pt idx="506">
                  <c:v>56.409021601016519</c:v>
                </c:pt>
                <c:pt idx="507">
                  <c:v>56.437484116899626</c:v>
                </c:pt>
                <c:pt idx="508">
                  <c:v>56.465946632782718</c:v>
                </c:pt>
                <c:pt idx="509">
                  <c:v>56.494409148665824</c:v>
                </c:pt>
                <c:pt idx="510">
                  <c:v>56.522871664548923</c:v>
                </c:pt>
                <c:pt idx="511">
                  <c:v>56.551334180432022</c:v>
                </c:pt>
                <c:pt idx="512">
                  <c:v>56.579796696315121</c:v>
                </c:pt>
                <c:pt idx="513">
                  <c:v>56.60825921219822</c:v>
                </c:pt>
                <c:pt idx="514">
                  <c:v>56.636721728081326</c:v>
                </c:pt>
                <c:pt idx="515">
                  <c:v>56.665184243964426</c:v>
                </c:pt>
                <c:pt idx="516">
                  <c:v>56.693646759847525</c:v>
                </c:pt>
                <c:pt idx="517">
                  <c:v>56.722109275730624</c:v>
                </c:pt>
                <c:pt idx="518">
                  <c:v>56.750571791613723</c:v>
                </c:pt>
                <c:pt idx="519">
                  <c:v>56.779034307496829</c:v>
                </c:pt>
                <c:pt idx="520">
                  <c:v>56.807496823379921</c:v>
                </c:pt>
                <c:pt idx="521">
                  <c:v>56.835959339263027</c:v>
                </c:pt>
                <c:pt idx="522">
                  <c:v>56.864421855146126</c:v>
                </c:pt>
                <c:pt idx="523">
                  <c:v>56.892884371029226</c:v>
                </c:pt>
                <c:pt idx="524">
                  <c:v>56.921346886912332</c:v>
                </c:pt>
                <c:pt idx="525">
                  <c:v>56.949809402795424</c:v>
                </c:pt>
                <c:pt idx="526">
                  <c:v>56.97827191867853</c:v>
                </c:pt>
                <c:pt idx="527">
                  <c:v>57.006734434561629</c:v>
                </c:pt>
                <c:pt idx="528">
                  <c:v>57.035196950444728</c:v>
                </c:pt>
                <c:pt idx="529">
                  <c:v>57.063659466327827</c:v>
                </c:pt>
                <c:pt idx="530">
                  <c:v>57.092121982210926</c:v>
                </c:pt>
                <c:pt idx="531">
                  <c:v>57.120584498094033</c:v>
                </c:pt>
                <c:pt idx="532">
                  <c:v>57.149047013977132</c:v>
                </c:pt>
                <c:pt idx="533">
                  <c:v>57.177509529860231</c:v>
                </c:pt>
                <c:pt idx="534">
                  <c:v>57.20597204574333</c:v>
                </c:pt>
                <c:pt idx="535">
                  <c:v>57.234434561626429</c:v>
                </c:pt>
                <c:pt idx="536">
                  <c:v>57.262897077509535</c:v>
                </c:pt>
                <c:pt idx="537">
                  <c:v>57.291359593392627</c:v>
                </c:pt>
                <c:pt idx="538">
                  <c:v>57.319822109275734</c:v>
                </c:pt>
                <c:pt idx="539">
                  <c:v>57.348284625158833</c:v>
                </c:pt>
                <c:pt idx="540">
                  <c:v>57.376747141041932</c:v>
                </c:pt>
                <c:pt idx="541">
                  <c:v>57.405209656925038</c:v>
                </c:pt>
                <c:pt idx="542">
                  <c:v>57.43367217280813</c:v>
                </c:pt>
                <c:pt idx="543">
                  <c:v>57.462134688691236</c:v>
                </c:pt>
                <c:pt idx="544">
                  <c:v>57.490597204574335</c:v>
                </c:pt>
                <c:pt idx="545">
                  <c:v>57.519059720457435</c:v>
                </c:pt>
                <c:pt idx="546">
                  <c:v>57.547522236340534</c:v>
                </c:pt>
                <c:pt idx="547">
                  <c:v>57.575984752223633</c:v>
                </c:pt>
                <c:pt idx="548">
                  <c:v>57.604447268106739</c:v>
                </c:pt>
                <c:pt idx="549">
                  <c:v>57.661372299872937</c:v>
                </c:pt>
                <c:pt idx="550">
                  <c:v>57.689834815756036</c:v>
                </c:pt>
                <c:pt idx="551">
                  <c:v>57.718297331639135</c:v>
                </c:pt>
                <c:pt idx="552">
                  <c:v>57.746759847522242</c:v>
                </c:pt>
                <c:pt idx="553">
                  <c:v>57.775222363405334</c:v>
                </c:pt>
                <c:pt idx="554">
                  <c:v>57.80368487928844</c:v>
                </c:pt>
                <c:pt idx="555">
                  <c:v>57.832147395171539</c:v>
                </c:pt>
                <c:pt idx="556">
                  <c:v>57.860609911054638</c:v>
                </c:pt>
                <c:pt idx="557">
                  <c:v>57.889072426937744</c:v>
                </c:pt>
                <c:pt idx="558">
                  <c:v>57.917534942820836</c:v>
                </c:pt>
                <c:pt idx="559">
                  <c:v>57.945997458703943</c:v>
                </c:pt>
                <c:pt idx="560">
                  <c:v>57.974459974587042</c:v>
                </c:pt>
                <c:pt idx="561">
                  <c:v>58.002922490470141</c:v>
                </c:pt>
                <c:pt idx="562">
                  <c:v>58.03138500635324</c:v>
                </c:pt>
                <c:pt idx="563">
                  <c:v>58.059847522236339</c:v>
                </c:pt>
                <c:pt idx="564">
                  <c:v>58.088310038119445</c:v>
                </c:pt>
                <c:pt idx="565">
                  <c:v>58.116772554002544</c:v>
                </c:pt>
                <c:pt idx="566">
                  <c:v>58.145235069885643</c:v>
                </c:pt>
                <c:pt idx="567">
                  <c:v>58.17369758576875</c:v>
                </c:pt>
                <c:pt idx="568">
                  <c:v>58.202160101651842</c:v>
                </c:pt>
                <c:pt idx="569">
                  <c:v>58.230622617534948</c:v>
                </c:pt>
                <c:pt idx="570">
                  <c:v>58.25908513341804</c:v>
                </c:pt>
                <c:pt idx="571">
                  <c:v>58.287547649301146</c:v>
                </c:pt>
                <c:pt idx="572">
                  <c:v>58.316010165184245</c:v>
                </c:pt>
                <c:pt idx="573">
                  <c:v>58.344472681067344</c:v>
                </c:pt>
                <c:pt idx="574">
                  <c:v>58.372935196950451</c:v>
                </c:pt>
                <c:pt idx="575">
                  <c:v>58.401397712833543</c:v>
                </c:pt>
                <c:pt idx="576">
                  <c:v>58.429860228716649</c:v>
                </c:pt>
                <c:pt idx="577">
                  <c:v>58.458322744599748</c:v>
                </c:pt>
                <c:pt idx="578">
                  <c:v>58.486785260482847</c:v>
                </c:pt>
                <c:pt idx="579">
                  <c:v>58.515247776365946</c:v>
                </c:pt>
                <c:pt idx="580">
                  <c:v>58.543710292249045</c:v>
                </c:pt>
                <c:pt idx="581">
                  <c:v>58.572172808132152</c:v>
                </c:pt>
                <c:pt idx="582">
                  <c:v>58.600635324015251</c:v>
                </c:pt>
                <c:pt idx="583">
                  <c:v>58.62909783989835</c:v>
                </c:pt>
                <c:pt idx="584">
                  <c:v>58.657560355781456</c:v>
                </c:pt>
                <c:pt idx="585">
                  <c:v>58.686022871664548</c:v>
                </c:pt>
                <c:pt idx="586">
                  <c:v>58.714485387547654</c:v>
                </c:pt>
                <c:pt idx="587">
                  <c:v>58.742947903430746</c:v>
                </c:pt>
                <c:pt idx="588">
                  <c:v>58.799872935196952</c:v>
                </c:pt>
                <c:pt idx="589">
                  <c:v>58.828335451080051</c:v>
                </c:pt>
                <c:pt idx="590">
                  <c:v>58.885260482846256</c:v>
                </c:pt>
                <c:pt idx="591">
                  <c:v>58.942185514612454</c:v>
                </c:pt>
                <c:pt idx="592">
                  <c:v>58.970648030495553</c:v>
                </c:pt>
                <c:pt idx="593">
                  <c:v>59.027573062261752</c:v>
                </c:pt>
                <c:pt idx="594">
                  <c:v>59.056035578144858</c:v>
                </c:pt>
                <c:pt idx="595">
                  <c:v>59.084498094027957</c:v>
                </c:pt>
                <c:pt idx="596">
                  <c:v>59.141423125794162</c:v>
                </c:pt>
                <c:pt idx="597">
                  <c:v>59.169885641677254</c:v>
                </c:pt>
                <c:pt idx="598">
                  <c:v>59.198348157560361</c:v>
                </c:pt>
                <c:pt idx="599">
                  <c:v>59.226810673443453</c:v>
                </c:pt>
                <c:pt idx="600">
                  <c:v>59.255273189326559</c:v>
                </c:pt>
                <c:pt idx="601">
                  <c:v>59.283735705209658</c:v>
                </c:pt>
                <c:pt idx="602">
                  <c:v>59.312198221092757</c:v>
                </c:pt>
                <c:pt idx="603">
                  <c:v>59.340660736975863</c:v>
                </c:pt>
                <c:pt idx="604">
                  <c:v>59.369123252858962</c:v>
                </c:pt>
                <c:pt idx="605">
                  <c:v>59.397585768742061</c:v>
                </c:pt>
                <c:pt idx="606">
                  <c:v>59.426048284625161</c:v>
                </c:pt>
                <c:pt idx="607">
                  <c:v>59.45451080050826</c:v>
                </c:pt>
                <c:pt idx="608">
                  <c:v>59.482973316391366</c:v>
                </c:pt>
                <c:pt idx="609">
                  <c:v>59.511435832274458</c:v>
                </c:pt>
                <c:pt idx="610">
                  <c:v>59.539898348157564</c:v>
                </c:pt>
                <c:pt idx="611">
                  <c:v>59.568360864040663</c:v>
                </c:pt>
                <c:pt idx="612">
                  <c:v>59.596823379923762</c:v>
                </c:pt>
                <c:pt idx="613">
                  <c:v>59.625285895806869</c:v>
                </c:pt>
                <c:pt idx="614">
                  <c:v>59.653748411689961</c:v>
                </c:pt>
                <c:pt idx="615">
                  <c:v>59.682210927573067</c:v>
                </c:pt>
                <c:pt idx="616">
                  <c:v>59.739135959339265</c:v>
                </c:pt>
                <c:pt idx="617">
                  <c:v>59.767598475222364</c:v>
                </c:pt>
                <c:pt idx="618">
                  <c:v>59.796060991105463</c:v>
                </c:pt>
                <c:pt idx="619">
                  <c:v>59.824523506988569</c:v>
                </c:pt>
                <c:pt idx="620">
                  <c:v>59.852986022871669</c:v>
                </c:pt>
                <c:pt idx="621">
                  <c:v>59.881448538754768</c:v>
                </c:pt>
                <c:pt idx="622">
                  <c:v>59.909911054637867</c:v>
                </c:pt>
                <c:pt idx="623">
                  <c:v>59.938373570520966</c:v>
                </c:pt>
                <c:pt idx="624">
                  <c:v>59.966836086404072</c:v>
                </c:pt>
                <c:pt idx="625">
                  <c:v>59.995298602287164</c:v>
                </c:pt>
                <c:pt idx="626">
                  <c:v>60.02376111817027</c:v>
                </c:pt>
                <c:pt idx="627">
                  <c:v>60.052223634053369</c:v>
                </c:pt>
                <c:pt idx="628">
                  <c:v>60.080686149936469</c:v>
                </c:pt>
                <c:pt idx="629">
                  <c:v>60.109148665819575</c:v>
                </c:pt>
                <c:pt idx="630">
                  <c:v>60.137611181702667</c:v>
                </c:pt>
                <c:pt idx="631">
                  <c:v>60.166073697585773</c:v>
                </c:pt>
                <c:pt idx="632">
                  <c:v>60.194536213468872</c:v>
                </c:pt>
                <c:pt idx="633">
                  <c:v>60.222998729351971</c:v>
                </c:pt>
                <c:pt idx="634">
                  <c:v>60.25146124523507</c:v>
                </c:pt>
                <c:pt idx="635">
                  <c:v>60.27992376111817</c:v>
                </c:pt>
                <c:pt idx="636">
                  <c:v>60.308386277001276</c:v>
                </c:pt>
                <c:pt idx="637">
                  <c:v>60.336848792884375</c:v>
                </c:pt>
                <c:pt idx="638">
                  <c:v>60.365311308767474</c:v>
                </c:pt>
                <c:pt idx="639">
                  <c:v>60.393773824650573</c:v>
                </c:pt>
                <c:pt idx="640">
                  <c:v>60.422236340533672</c:v>
                </c:pt>
                <c:pt idx="641">
                  <c:v>60.450698856416778</c:v>
                </c:pt>
                <c:pt idx="642">
                  <c:v>60.47916137229987</c:v>
                </c:pt>
                <c:pt idx="643">
                  <c:v>60.507623888182977</c:v>
                </c:pt>
                <c:pt idx="644">
                  <c:v>60.536086404066076</c:v>
                </c:pt>
                <c:pt idx="645">
                  <c:v>60.564548919949175</c:v>
                </c:pt>
                <c:pt idx="646">
                  <c:v>60.621473951715373</c:v>
                </c:pt>
                <c:pt idx="647">
                  <c:v>60.649936467598479</c:v>
                </c:pt>
                <c:pt idx="648">
                  <c:v>60.678398983481578</c:v>
                </c:pt>
                <c:pt idx="649">
                  <c:v>60.706861499364678</c:v>
                </c:pt>
                <c:pt idx="650">
                  <c:v>60.735324015247777</c:v>
                </c:pt>
                <c:pt idx="651">
                  <c:v>60.763786531130876</c:v>
                </c:pt>
                <c:pt idx="652">
                  <c:v>60.792249047013982</c:v>
                </c:pt>
                <c:pt idx="653">
                  <c:v>60.820711562897081</c:v>
                </c:pt>
                <c:pt idx="654">
                  <c:v>60.84917407878018</c:v>
                </c:pt>
                <c:pt idx="655">
                  <c:v>60.877636594663279</c:v>
                </c:pt>
                <c:pt idx="656">
                  <c:v>60.906099110546378</c:v>
                </c:pt>
                <c:pt idx="657">
                  <c:v>60.934561626429485</c:v>
                </c:pt>
                <c:pt idx="658">
                  <c:v>60.963024142312577</c:v>
                </c:pt>
                <c:pt idx="659">
                  <c:v>60.991486658195683</c:v>
                </c:pt>
                <c:pt idx="660">
                  <c:v>61.019949174078782</c:v>
                </c:pt>
                <c:pt idx="661">
                  <c:v>61.048411689961881</c:v>
                </c:pt>
                <c:pt idx="662">
                  <c:v>61.076874205844987</c:v>
                </c:pt>
                <c:pt idx="663">
                  <c:v>61.105336721728079</c:v>
                </c:pt>
                <c:pt idx="664">
                  <c:v>61.133799237611186</c:v>
                </c:pt>
                <c:pt idx="665">
                  <c:v>61.162261753494285</c:v>
                </c:pt>
                <c:pt idx="666">
                  <c:v>61.190724269377384</c:v>
                </c:pt>
                <c:pt idx="667">
                  <c:v>61.219186785260483</c:v>
                </c:pt>
                <c:pt idx="668">
                  <c:v>61.247649301143582</c:v>
                </c:pt>
                <c:pt idx="669">
                  <c:v>61.276111817026688</c:v>
                </c:pt>
                <c:pt idx="670">
                  <c:v>61.304574332909787</c:v>
                </c:pt>
                <c:pt idx="671">
                  <c:v>61.333036848792887</c:v>
                </c:pt>
                <c:pt idx="672">
                  <c:v>61.361499364675986</c:v>
                </c:pt>
                <c:pt idx="673">
                  <c:v>61.389961880559085</c:v>
                </c:pt>
                <c:pt idx="674">
                  <c:v>61.418424396442191</c:v>
                </c:pt>
                <c:pt idx="675">
                  <c:v>61.446886912325283</c:v>
                </c:pt>
                <c:pt idx="676">
                  <c:v>61.475349428208389</c:v>
                </c:pt>
                <c:pt idx="677">
                  <c:v>61.503811944091488</c:v>
                </c:pt>
                <c:pt idx="678">
                  <c:v>61.532274459974587</c:v>
                </c:pt>
                <c:pt idx="679">
                  <c:v>61.560736975857694</c:v>
                </c:pt>
                <c:pt idx="680">
                  <c:v>61.589199491740786</c:v>
                </c:pt>
                <c:pt idx="681">
                  <c:v>61.617662007623892</c:v>
                </c:pt>
                <c:pt idx="682">
                  <c:v>61.646124523506991</c:v>
                </c:pt>
                <c:pt idx="683">
                  <c:v>61.67458703939009</c:v>
                </c:pt>
                <c:pt idx="684">
                  <c:v>61.703049555273189</c:v>
                </c:pt>
                <c:pt idx="685">
                  <c:v>61.731512071156288</c:v>
                </c:pt>
                <c:pt idx="686">
                  <c:v>61.759974587039395</c:v>
                </c:pt>
                <c:pt idx="687">
                  <c:v>61.788437102922494</c:v>
                </c:pt>
                <c:pt idx="688">
                  <c:v>61.816899618805593</c:v>
                </c:pt>
                <c:pt idx="689">
                  <c:v>61.845362134688692</c:v>
                </c:pt>
                <c:pt idx="690">
                  <c:v>61.873824650571791</c:v>
                </c:pt>
                <c:pt idx="691">
                  <c:v>61.902287166454897</c:v>
                </c:pt>
                <c:pt idx="692">
                  <c:v>61.930749682337989</c:v>
                </c:pt>
                <c:pt idx="693">
                  <c:v>61.959212198221095</c:v>
                </c:pt>
                <c:pt idx="694">
                  <c:v>61.987674714104195</c:v>
                </c:pt>
                <c:pt idx="695">
                  <c:v>62.016137229987294</c:v>
                </c:pt>
                <c:pt idx="696">
                  <c:v>62.0445997458704</c:v>
                </c:pt>
                <c:pt idx="697">
                  <c:v>62.073062261753492</c:v>
                </c:pt>
                <c:pt idx="698">
                  <c:v>62.101524777636598</c:v>
                </c:pt>
                <c:pt idx="699">
                  <c:v>62.129987293519697</c:v>
                </c:pt>
                <c:pt idx="700">
                  <c:v>62.158449809402796</c:v>
                </c:pt>
                <c:pt idx="701">
                  <c:v>62.186912325285896</c:v>
                </c:pt>
                <c:pt idx="702">
                  <c:v>62.215374841168995</c:v>
                </c:pt>
                <c:pt idx="703">
                  <c:v>62.243837357052101</c:v>
                </c:pt>
                <c:pt idx="704">
                  <c:v>62.2722998729352</c:v>
                </c:pt>
                <c:pt idx="705">
                  <c:v>62.300762388818299</c:v>
                </c:pt>
                <c:pt idx="706">
                  <c:v>62.329224904701405</c:v>
                </c:pt>
                <c:pt idx="707">
                  <c:v>62.357687420584497</c:v>
                </c:pt>
                <c:pt idx="708">
                  <c:v>62.386149936467604</c:v>
                </c:pt>
                <c:pt idx="709">
                  <c:v>62.414612452350696</c:v>
                </c:pt>
                <c:pt idx="710">
                  <c:v>62.443074968233802</c:v>
                </c:pt>
                <c:pt idx="711">
                  <c:v>62.471537484116901</c:v>
                </c:pt>
                <c:pt idx="712">
                  <c:v>62.5</c:v>
                </c:pt>
                <c:pt idx="713">
                  <c:v>62.528462515883106</c:v>
                </c:pt>
                <c:pt idx="714">
                  <c:v>62.556925031766198</c:v>
                </c:pt>
                <c:pt idx="715">
                  <c:v>62.585387547649304</c:v>
                </c:pt>
                <c:pt idx="716">
                  <c:v>62.613850063532396</c:v>
                </c:pt>
                <c:pt idx="717">
                  <c:v>62.642312579415503</c:v>
                </c:pt>
                <c:pt idx="718">
                  <c:v>62.670775095298609</c:v>
                </c:pt>
                <c:pt idx="719">
                  <c:v>62.699237611181701</c:v>
                </c:pt>
                <c:pt idx="720">
                  <c:v>62.727700127064807</c:v>
                </c:pt>
                <c:pt idx="721">
                  <c:v>62.756162642947906</c:v>
                </c:pt>
                <c:pt idx="722">
                  <c:v>62.784625158831005</c:v>
                </c:pt>
                <c:pt idx="723">
                  <c:v>62.813087674714104</c:v>
                </c:pt>
                <c:pt idx="724">
                  <c:v>62.841550190597204</c:v>
                </c:pt>
                <c:pt idx="725">
                  <c:v>62.87001270648031</c:v>
                </c:pt>
                <c:pt idx="726">
                  <c:v>62.898475222363402</c:v>
                </c:pt>
                <c:pt idx="727">
                  <c:v>62.926937738246508</c:v>
                </c:pt>
                <c:pt idx="728">
                  <c:v>62.955400254129607</c:v>
                </c:pt>
                <c:pt idx="729">
                  <c:v>62.983862770012706</c:v>
                </c:pt>
                <c:pt idx="730">
                  <c:v>63.012325285895805</c:v>
                </c:pt>
                <c:pt idx="731">
                  <c:v>63.040787801778905</c:v>
                </c:pt>
                <c:pt idx="732">
                  <c:v>63.069250317662004</c:v>
                </c:pt>
                <c:pt idx="733">
                  <c:v>63.09771283354511</c:v>
                </c:pt>
                <c:pt idx="734">
                  <c:v>63.126175349428209</c:v>
                </c:pt>
                <c:pt idx="735">
                  <c:v>63.154637865311308</c:v>
                </c:pt>
                <c:pt idx="736">
                  <c:v>63.183100381194407</c:v>
                </c:pt>
                <c:pt idx="737">
                  <c:v>63.211562897077513</c:v>
                </c:pt>
                <c:pt idx="738">
                  <c:v>39.729987293519699</c:v>
                </c:pt>
                <c:pt idx="739">
                  <c:v>39.729987293519699</c:v>
                </c:pt>
                <c:pt idx="740">
                  <c:v>39.729987293519699</c:v>
                </c:pt>
                <c:pt idx="741">
                  <c:v>39.729987293519699</c:v>
                </c:pt>
                <c:pt idx="742">
                  <c:v>39.729987293519699</c:v>
                </c:pt>
                <c:pt idx="743">
                  <c:v>39.729987293519699</c:v>
                </c:pt>
                <c:pt idx="744">
                  <c:v>39.729987293519699</c:v>
                </c:pt>
                <c:pt idx="745">
                  <c:v>39.729987293519699</c:v>
                </c:pt>
                <c:pt idx="746">
                  <c:v>39.729987293519699</c:v>
                </c:pt>
                <c:pt idx="747">
                  <c:v>39.729987293519699</c:v>
                </c:pt>
                <c:pt idx="748">
                  <c:v>39.729987293519699</c:v>
                </c:pt>
                <c:pt idx="749">
                  <c:v>39.729987293519699</c:v>
                </c:pt>
                <c:pt idx="750">
                  <c:v>39.729987293519699</c:v>
                </c:pt>
                <c:pt idx="751">
                  <c:v>39.729987293519699</c:v>
                </c:pt>
                <c:pt idx="752">
                  <c:v>39.729987293519699</c:v>
                </c:pt>
                <c:pt idx="753">
                  <c:v>39.729987293519699</c:v>
                </c:pt>
                <c:pt idx="754">
                  <c:v>39.729987293519699</c:v>
                </c:pt>
                <c:pt idx="755">
                  <c:v>39.729987293519699</c:v>
                </c:pt>
                <c:pt idx="756">
                  <c:v>39.729987293519699</c:v>
                </c:pt>
                <c:pt idx="757">
                  <c:v>39.729987293519699</c:v>
                </c:pt>
                <c:pt idx="758">
                  <c:v>39.729987293519699</c:v>
                </c:pt>
                <c:pt idx="759">
                  <c:v>39.729987293519699</c:v>
                </c:pt>
                <c:pt idx="760">
                  <c:v>39.729987293519699</c:v>
                </c:pt>
                <c:pt idx="761">
                  <c:v>39.729987293519699</c:v>
                </c:pt>
                <c:pt idx="762">
                  <c:v>39.729987293519699</c:v>
                </c:pt>
                <c:pt idx="763">
                  <c:v>39.729987293519699</c:v>
                </c:pt>
                <c:pt idx="764">
                  <c:v>39.729987293519699</c:v>
                </c:pt>
                <c:pt idx="765">
                  <c:v>39.729987293519699</c:v>
                </c:pt>
                <c:pt idx="766">
                  <c:v>39.729987293519699</c:v>
                </c:pt>
                <c:pt idx="767">
                  <c:v>39.729987293519699</c:v>
                </c:pt>
                <c:pt idx="768">
                  <c:v>39.729987293519699</c:v>
                </c:pt>
                <c:pt idx="769">
                  <c:v>39.729987293519699</c:v>
                </c:pt>
                <c:pt idx="770">
                  <c:v>39.729987293519699</c:v>
                </c:pt>
                <c:pt idx="771">
                  <c:v>39.729987293519699</c:v>
                </c:pt>
                <c:pt idx="772">
                  <c:v>39.729987293519699</c:v>
                </c:pt>
                <c:pt idx="773">
                  <c:v>39.729987293519699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EA-4F0E-9195-09733FFC39BC}"/>
            </c:ext>
          </c:extLst>
        </c:ser>
        <c:ser>
          <c:idx val="2"/>
          <c:order val="2"/>
          <c:tx>
            <c:v>Lin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600828449940587E-2"/>
                  <c:y val="-0.506287956514316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TEST2!$M$20:$M$192</c:f>
              <c:numCache>
                <c:formatCode>0.000</c:formatCode>
                <c:ptCount val="173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0.81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0.91500000000000004</c:v>
                </c:pt>
                <c:pt idx="168">
                  <c:v>0.92</c:v>
                </c:pt>
                <c:pt idx="169">
                  <c:v>0.92500000000000004</c:v>
                </c:pt>
                <c:pt idx="170">
                  <c:v>0.93</c:v>
                </c:pt>
                <c:pt idx="171">
                  <c:v>0.93500000000000005</c:v>
                </c:pt>
                <c:pt idx="172">
                  <c:v>0.94</c:v>
                </c:pt>
              </c:numCache>
            </c:numRef>
          </c:xVal>
          <c:yVal>
            <c:numRef>
              <c:f>TEST2!$D$20:$D$192</c:f>
              <c:numCache>
                <c:formatCode>0.0</c:formatCode>
                <c:ptCount val="173"/>
                <c:pt idx="0">
                  <c:v>40.1</c:v>
                </c:pt>
                <c:pt idx="1">
                  <c:v>40.6</c:v>
                </c:pt>
                <c:pt idx="2">
                  <c:v>40.6</c:v>
                </c:pt>
                <c:pt idx="3">
                  <c:v>40.700000000000003</c:v>
                </c:pt>
                <c:pt idx="4">
                  <c:v>41.1</c:v>
                </c:pt>
                <c:pt idx="5">
                  <c:v>40.9</c:v>
                </c:pt>
                <c:pt idx="6">
                  <c:v>40.5</c:v>
                </c:pt>
                <c:pt idx="7">
                  <c:v>40.200000000000003</c:v>
                </c:pt>
                <c:pt idx="8">
                  <c:v>40</c:v>
                </c:pt>
                <c:pt idx="9">
                  <c:v>40.1</c:v>
                </c:pt>
                <c:pt idx="10">
                  <c:v>40.1</c:v>
                </c:pt>
                <c:pt idx="11">
                  <c:v>40.299999999999997</c:v>
                </c:pt>
                <c:pt idx="12">
                  <c:v>40.200000000000003</c:v>
                </c:pt>
                <c:pt idx="13">
                  <c:v>40.1</c:v>
                </c:pt>
                <c:pt idx="14">
                  <c:v>40</c:v>
                </c:pt>
                <c:pt idx="15">
                  <c:v>39.9</c:v>
                </c:pt>
                <c:pt idx="16">
                  <c:v>40</c:v>
                </c:pt>
                <c:pt idx="17">
                  <c:v>39.9</c:v>
                </c:pt>
                <c:pt idx="18">
                  <c:v>40.1</c:v>
                </c:pt>
                <c:pt idx="19">
                  <c:v>40.1</c:v>
                </c:pt>
                <c:pt idx="20">
                  <c:v>40.200000000000003</c:v>
                </c:pt>
                <c:pt idx="21">
                  <c:v>40.1</c:v>
                </c:pt>
                <c:pt idx="22">
                  <c:v>40</c:v>
                </c:pt>
                <c:pt idx="23">
                  <c:v>39.9</c:v>
                </c:pt>
                <c:pt idx="24">
                  <c:v>39.9</c:v>
                </c:pt>
                <c:pt idx="25">
                  <c:v>39.799999999999997</c:v>
                </c:pt>
                <c:pt idx="26">
                  <c:v>39.700000000000003</c:v>
                </c:pt>
                <c:pt idx="27">
                  <c:v>39.700000000000003</c:v>
                </c:pt>
                <c:pt idx="28">
                  <c:v>39.700000000000003</c:v>
                </c:pt>
                <c:pt idx="29">
                  <c:v>39.6</c:v>
                </c:pt>
                <c:pt idx="30">
                  <c:v>39.6</c:v>
                </c:pt>
                <c:pt idx="31">
                  <c:v>39.6</c:v>
                </c:pt>
                <c:pt idx="32">
                  <c:v>39.6</c:v>
                </c:pt>
                <c:pt idx="33">
                  <c:v>39.9</c:v>
                </c:pt>
                <c:pt idx="34">
                  <c:v>39.9</c:v>
                </c:pt>
                <c:pt idx="35">
                  <c:v>39.9</c:v>
                </c:pt>
                <c:pt idx="36">
                  <c:v>39.700000000000003</c:v>
                </c:pt>
                <c:pt idx="37">
                  <c:v>39.6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39.6</c:v>
                </c:pt>
                <c:pt idx="42">
                  <c:v>39.5</c:v>
                </c:pt>
                <c:pt idx="43">
                  <c:v>39.4</c:v>
                </c:pt>
                <c:pt idx="44">
                  <c:v>39.4</c:v>
                </c:pt>
                <c:pt idx="45">
                  <c:v>39.5</c:v>
                </c:pt>
                <c:pt idx="46">
                  <c:v>39.6</c:v>
                </c:pt>
                <c:pt idx="47">
                  <c:v>39.700000000000003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40</c:v>
                </c:pt>
                <c:pt idx="51">
                  <c:v>40.1</c:v>
                </c:pt>
                <c:pt idx="52">
                  <c:v>40.1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40.299999999999997</c:v>
                </c:pt>
                <c:pt idx="69">
                  <c:v>40.299999999999997</c:v>
                </c:pt>
                <c:pt idx="70">
                  <c:v>40.299999999999997</c:v>
                </c:pt>
                <c:pt idx="71">
                  <c:v>40.299999999999997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40.4</c:v>
                </c:pt>
                <c:pt idx="79">
                  <c:v>40.4</c:v>
                </c:pt>
                <c:pt idx="80">
                  <c:v>40.5</c:v>
                </c:pt>
                <c:pt idx="81">
                  <c:v>40.700000000000003</c:v>
                </c:pt>
                <c:pt idx="82">
                  <c:v>40.9</c:v>
                </c:pt>
                <c:pt idx="83">
                  <c:v>40.799999999999997</c:v>
                </c:pt>
                <c:pt idx="84">
                  <c:v>40.6</c:v>
                </c:pt>
                <c:pt idx="85">
                  <c:v>40.5</c:v>
                </c:pt>
                <c:pt idx="86">
                  <c:v>40.700000000000003</c:v>
                </c:pt>
                <c:pt idx="87">
                  <c:v>40.799999999999997</c:v>
                </c:pt>
                <c:pt idx="88">
                  <c:v>41</c:v>
                </c:pt>
                <c:pt idx="89">
                  <c:v>41</c:v>
                </c:pt>
                <c:pt idx="90">
                  <c:v>40.799999999999997</c:v>
                </c:pt>
                <c:pt idx="91">
                  <c:v>40.700000000000003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41.1</c:v>
                </c:pt>
                <c:pt idx="99">
                  <c:v>41</c:v>
                </c:pt>
                <c:pt idx="100">
                  <c:v>40.9</c:v>
                </c:pt>
                <c:pt idx="101">
                  <c:v>40.9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41.1</c:v>
                </c:pt>
                <c:pt idx="106">
                  <c:v>41</c:v>
                </c:pt>
                <c:pt idx="107">
                  <c:v>41.1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41.2</c:v>
                </c:pt>
                <c:pt idx="112">
                  <c:v>41.2</c:v>
                </c:pt>
                <c:pt idx="113">
                  <c:v>41.3</c:v>
                </c:pt>
                <c:pt idx="114">
                  <c:v>41.4</c:v>
                </c:pt>
                <c:pt idx="115">
                  <c:v>41.3</c:v>
                </c:pt>
                <c:pt idx="116">
                  <c:v>41.3</c:v>
                </c:pt>
                <c:pt idx="117">
                  <c:v>41.4</c:v>
                </c:pt>
                <c:pt idx="118">
                  <c:v>41.4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41.4</c:v>
                </c:pt>
                <c:pt idx="124">
                  <c:v>41.4</c:v>
                </c:pt>
                <c:pt idx="125">
                  <c:v>41.4</c:v>
                </c:pt>
                <c:pt idx="126">
                  <c:v>41.5</c:v>
                </c:pt>
                <c:pt idx="127">
                  <c:v>41.5</c:v>
                </c:pt>
                <c:pt idx="128">
                  <c:v>41.4</c:v>
                </c:pt>
                <c:pt idx="129">
                  <c:v>41.6</c:v>
                </c:pt>
                <c:pt idx="130">
                  <c:v>41.8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42</c:v>
                </c:pt>
                <c:pt idx="135">
                  <c:v>42.1</c:v>
                </c:pt>
                <c:pt idx="136">
                  <c:v>42.2</c:v>
                </c:pt>
                <c:pt idx="137">
                  <c:v>42.1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42.3</c:v>
                </c:pt>
                <c:pt idx="142">
                  <c:v>42.2</c:v>
                </c:pt>
                <c:pt idx="143">
                  <c:v>42.4</c:v>
                </c:pt>
                <c:pt idx="144">
                  <c:v>42.5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42.3</c:v>
                </c:pt>
                <c:pt idx="150">
                  <c:v>42.2</c:v>
                </c:pt>
                <c:pt idx="151">
                  <c:v>42.5</c:v>
                </c:pt>
                <c:pt idx="152">
                  <c:v>42.6</c:v>
                </c:pt>
                <c:pt idx="153">
                  <c:v>42.8</c:v>
                </c:pt>
                <c:pt idx="154">
                  <c:v>42.7</c:v>
                </c:pt>
                <c:pt idx="155">
                  <c:v>42.8</c:v>
                </c:pt>
                <c:pt idx="156">
                  <c:v>42.7</c:v>
                </c:pt>
                <c:pt idx="157">
                  <c:v>42.7</c:v>
                </c:pt>
                <c:pt idx="158">
                  <c:v>42.8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43</c:v>
                </c:pt>
                <c:pt idx="163">
                  <c:v>43.1</c:v>
                </c:pt>
                <c:pt idx="164">
                  <c:v>43.1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43.1</c:v>
                </c:pt>
                <c:pt idx="169">
                  <c:v>43.2</c:v>
                </c:pt>
                <c:pt idx="170">
                  <c:v>43.4</c:v>
                </c:pt>
                <c:pt idx="171">
                  <c:v>43.4</c:v>
                </c:pt>
                <c:pt idx="172">
                  <c:v>43.7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EA-4F0E-9195-09733FFC39BC}"/>
            </c:ext>
          </c:extLst>
        </c:ser>
        <c:ser>
          <c:idx val="3"/>
          <c:order val="3"/>
          <c:tx>
            <c:v>Lin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0967386270294"/>
                  <c:y val="-0.45601092851178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TEST2!$M$387:$M$733</c:f>
              <c:numCache>
                <c:formatCode>0.000</c:formatCode>
                <c:ptCount val="347"/>
                <c:pt idx="0">
                  <c:v>2.1850000000000001</c:v>
                </c:pt>
                <c:pt idx="1">
                  <c:v>2.19</c:v>
                </c:pt>
                <c:pt idx="2">
                  <c:v>2.1949999999999998</c:v>
                </c:pt>
                <c:pt idx="3">
                  <c:v>2.2000000000000002</c:v>
                </c:pt>
                <c:pt idx="4">
                  <c:v>2.2050000000000001</c:v>
                </c:pt>
                <c:pt idx="5">
                  <c:v>2.21</c:v>
                </c:pt>
                <c:pt idx="6">
                  <c:v>2.2149999999999999</c:v>
                </c:pt>
                <c:pt idx="7">
                  <c:v>2.2200000000000002</c:v>
                </c:pt>
                <c:pt idx="8">
                  <c:v>2.2250000000000001</c:v>
                </c:pt>
                <c:pt idx="9">
                  <c:v>2.23</c:v>
                </c:pt>
                <c:pt idx="10">
                  <c:v>2.2349999999999999</c:v>
                </c:pt>
                <c:pt idx="11">
                  <c:v>2.2400000000000002</c:v>
                </c:pt>
                <c:pt idx="12">
                  <c:v>2.2450000000000001</c:v>
                </c:pt>
                <c:pt idx="13">
                  <c:v>2.25</c:v>
                </c:pt>
                <c:pt idx="14">
                  <c:v>2.2549999999999999</c:v>
                </c:pt>
                <c:pt idx="15">
                  <c:v>2.2599999999999998</c:v>
                </c:pt>
                <c:pt idx="16">
                  <c:v>2.2650000000000001</c:v>
                </c:pt>
                <c:pt idx="17">
                  <c:v>2.27</c:v>
                </c:pt>
                <c:pt idx="18">
                  <c:v>2.2749999999999999</c:v>
                </c:pt>
                <c:pt idx="19">
                  <c:v>2.2799999999999998</c:v>
                </c:pt>
                <c:pt idx="20">
                  <c:v>2.2850000000000001</c:v>
                </c:pt>
                <c:pt idx="21">
                  <c:v>2.29</c:v>
                </c:pt>
                <c:pt idx="22">
                  <c:v>2.2949999999999999</c:v>
                </c:pt>
                <c:pt idx="23">
                  <c:v>2.2999999999999998</c:v>
                </c:pt>
                <c:pt idx="24">
                  <c:v>2.3050000000000002</c:v>
                </c:pt>
                <c:pt idx="25">
                  <c:v>2.31</c:v>
                </c:pt>
                <c:pt idx="26">
                  <c:v>2.3149999999999999</c:v>
                </c:pt>
                <c:pt idx="27">
                  <c:v>2.3199999999999998</c:v>
                </c:pt>
                <c:pt idx="28">
                  <c:v>2.3250000000000002</c:v>
                </c:pt>
                <c:pt idx="29">
                  <c:v>2.33</c:v>
                </c:pt>
                <c:pt idx="30">
                  <c:v>2.34</c:v>
                </c:pt>
                <c:pt idx="31">
                  <c:v>2.3450000000000002</c:v>
                </c:pt>
                <c:pt idx="32">
                  <c:v>2.35</c:v>
                </c:pt>
                <c:pt idx="33">
                  <c:v>2.355</c:v>
                </c:pt>
                <c:pt idx="34">
                  <c:v>2.36</c:v>
                </c:pt>
                <c:pt idx="35">
                  <c:v>2.3650000000000002</c:v>
                </c:pt>
                <c:pt idx="36">
                  <c:v>2.37</c:v>
                </c:pt>
                <c:pt idx="37">
                  <c:v>2.375</c:v>
                </c:pt>
                <c:pt idx="38">
                  <c:v>2.38</c:v>
                </c:pt>
                <c:pt idx="39">
                  <c:v>2.3849999999999998</c:v>
                </c:pt>
                <c:pt idx="40">
                  <c:v>2.39</c:v>
                </c:pt>
                <c:pt idx="41">
                  <c:v>2.395</c:v>
                </c:pt>
                <c:pt idx="42">
                  <c:v>2.4</c:v>
                </c:pt>
                <c:pt idx="43">
                  <c:v>2.4049999999999998</c:v>
                </c:pt>
                <c:pt idx="44">
                  <c:v>2.41</c:v>
                </c:pt>
                <c:pt idx="45">
                  <c:v>2.415</c:v>
                </c:pt>
                <c:pt idx="46">
                  <c:v>2.42</c:v>
                </c:pt>
                <c:pt idx="47">
                  <c:v>2.4249999999999998</c:v>
                </c:pt>
                <c:pt idx="48">
                  <c:v>2.4300000000000002</c:v>
                </c:pt>
                <c:pt idx="49">
                  <c:v>2.4350000000000001</c:v>
                </c:pt>
                <c:pt idx="50">
                  <c:v>2.44</c:v>
                </c:pt>
                <c:pt idx="51">
                  <c:v>2.4449999999999998</c:v>
                </c:pt>
                <c:pt idx="52">
                  <c:v>2.4500000000000002</c:v>
                </c:pt>
                <c:pt idx="53">
                  <c:v>2.4550000000000001</c:v>
                </c:pt>
                <c:pt idx="54">
                  <c:v>2.46</c:v>
                </c:pt>
                <c:pt idx="55">
                  <c:v>2.4649999999999999</c:v>
                </c:pt>
                <c:pt idx="56">
                  <c:v>2.4750000000000001</c:v>
                </c:pt>
                <c:pt idx="57">
                  <c:v>2.48</c:v>
                </c:pt>
                <c:pt idx="58">
                  <c:v>2.4900000000000002</c:v>
                </c:pt>
                <c:pt idx="59">
                  <c:v>2.5</c:v>
                </c:pt>
                <c:pt idx="60">
                  <c:v>2.5099999999999998</c:v>
                </c:pt>
                <c:pt idx="61">
                  <c:v>2.52</c:v>
                </c:pt>
                <c:pt idx="62">
                  <c:v>2.5299999999999998</c:v>
                </c:pt>
                <c:pt idx="63">
                  <c:v>2.5350000000000001</c:v>
                </c:pt>
                <c:pt idx="64">
                  <c:v>2.54</c:v>
                </c:pt>
                <c:pt idx="65">
                  <c:v>2.5499999999999998</c:v>
                </c:pt>
                <c:pt idx="66">
                  <c:v>2.5550000000000002</c:v>
                </c:pt>
                <c:pt idx="67">
                  <c:v>2.56</c:v>
                </c:pt>
                <c:pt idx="68">
                  <c:v>2.5649999999999999</c:v>
                </c:pt>
                <c:pt idx="69">
                  <c:v>2.57</c:v>
                </c:pt>
                <c:pt idx="70">
                  <c:v>2.5750000000000002</c:v>
                </c:pt>
                <c:pt idx="71">
                  <c:v>2.58</c:v>
                </c:pt>
                <c:pt idx="72">
                  <c:v>2.585</c:v>
                </c:pt>
                <c:pt idx="73">
                  <c:v>2.59</c:v>
                </c:pt>
                <c:pt idx="74">
                  <c:v>2.5950000000000002</c:v>
                </c:pt>
                <c:pt idx="75">
                  <c:v>2.6</c:v>
                </c:pt>
                <c:pt idx="76">
                  <c:v>2.605</c:v>
                </c:pt>
                <c:pt idx="77">
                  <c:v>2.61</c:v>
                </c:pt>
                <c:pt idx="78">
                  <c:v>2.6150000000000002</c:v>
                </c:pt>
                <c:pt idx="79">
                  <c:v>2.62</c:v>
                </c:pt>
                <c:pt idx="80">
                  <c:v>2.625</c:v>
                </c:pt>
                <c:pt idx="81">
                  <c:v>2.63</c:v>
                </c:pt>
                <c:pt idx="82">
                  <c:v>2.6349999999999998</c:v>
                </c:pt>
                <c:pt idx="83">
                  <c:v>2.64</c:v>
                </c:pt>
                <c:pt idx="84">
                  <c:v>2.645</c:v>
                </c:pt>
                <c:pt idx="85">
                  <c:v>2.65</c:v>
                </c:pt>
                <c:pt idx="86">
                  <c:v>2.6549999999999998</c:v>
                </c:pt>
                <c:pt idx="87">
                  <c:v>2.66</c:v>
                </c:pt>
                <c:pt idx="88">
                  <c:v>2.665</c:v>
                </c:pt>
                <c:pt idx="89">
                  <c:v>2.67</c:v>
                </c:pt>
                <c:pt idx="90">
                  <c:v>2.6749999999999998</c:v>
                </c:pt>
                <c:pt idx="91">
                  <c:v>2.68</c:v>
                </c:pt>
                <c:pt idx="92">
                  <c:v>2.6850000000000001</c:v>
                </c:pt>
                <c:pt idx="93">
                  <c:v>2.69</c:v>
                </c:pt>
                <c:pt idx="94">
                  <c:v>2.6949999999999998</c:v>
                </c:pt>
                <c:pt idx="95">
                  <c:v>2.7</c:v>
                </c:pt>
                <c:pt idx="96">
                  <c:v>2.7050000000000001</c:v>
                </c:pt>
                <c:pt idx="97">
                  <c:v>2.71</c:v>
                </c:pt>
                <c:pt idx="98">
                  <c:v>2.7149999999999999</c:v>
                </c:pt>
                <c:pt idx="99">
                  <c:v>2.72</c:v>
                </c:pt>
                <c:pt idx="100">
                  <c:v>2.7250000000000001</c:v>
                </c:pt>
                <c:pt idx="101">
                  <c:v>2.73</c:v>
                </c:pt>
                <c:pt idx="102">
                  <c:v>2.7349999999999999</c:v>
                </c:pt>
                <c:pt idx="103">
                  <c:v>2.74</c:v>
                </c:pt>
                <c:pt idx="104">
                  <c:v>2.7450000000000001</c:v>
                </c:pt>
                <c:pt idx="105">
                  <c:v>2.75</c:v>
                </c:pt>
                <c:pt idx="106">
                  <c:v>2.7549999999999999</c:v>
                </c:pt>
                <c:pt idx="107">
                  <c:v>2.76</c:v>
                </c:pt>
                <c:pt idx="108">
                  <c:v>2.7650000000000001</c:v>
                </c:pt>
                <c:pt idx="109">
                  <c:v>2.77</c:v>
                </c:pt>
                <c:pt idx="110">
                  <c:v>2.7749999999999999</c:v>
                </c:pt>
                <c:pt idx="111">
                  <c:v>2.78</c:v>
                </c:pt>
                <c:pt idx="112">
                  <c:v>2.7850000000000001</c:v>
                </c:pt>
                <c:pt idx="113">
                  <c:v>2.79</c:v>
                </c:pt>
                <c:pt idx="114">
                  <c:v>2.7949999999999999</c:v>
                </c:pt>
                <c:pt idx="115">
                  <c:v>2.8</c:v>
                </c:pt>
                <c:pt idx="116">
                  <c:v>2.8050000000000002</c:v>
                </c:pt>
                <c:pt idx="117">
                  <c:v>2.81</c:v>
                </c:pt>
                <c:pt idx="118">
                  <c:v>2.8149999999999999</c:v>
                </c:pt>
                <c:pt idx="119">
                  <c:v>2.82</c:v>
                </c:pt>
                <c:pt idx="120">
                  <c:v>2.8250000000000002</c:v>
                </c:pt>
                <c:pt idx="121">
                  <c:v>2.83</c:v>
                </c:pt>
                <c:pt idx="122">
                  <c:v>2.835</c:v>
                </c:pt>
                <c:pt idx="123">
                  <c:v>2.84</c:v>
                </c:pt>
                <c:pt idx="124">
                  <c:v>2.8450000000000002</c:v>
                </c:pt>
                <c:pt idx="125">
                  <c:v>2.85</c:v>
                </c:pt>
                <c:pt idx="126">
                  <c:v>2.855</c:v>
                </c:pt>
                <c:pt idx="127">
                  <c:v>2.86</c:v>
                </c:pt>
                <c:pt idx="128">
                  <c:v>2.87</c:v>
                </c:pt>
                <c:pt idx="129">
                  <c:v>2.875</c:v>
                </c:pt>
                <c:pt idx="130">
                  <c:v>2.88</c:v>
                </c:pt>
                <c:pt idx="131">
                  <c:v>2.8849999999999998</c:v>
                </c:pt>
                <c:pt idx="132">
                  <c:v>2.89</c:v>
                </c:pt>
                <c:pt idx="133">
                  <c:v>2.895</c:v>
                </c:pt>
                <c:pt idx="134">
                  <c:v>2.9</c:v>
                </c:pt>
                <c:pt idx="135">
                  <c:v>2.9049999999999998</c:v>
                </c:pt>
                <c:pt idx="136">
                  <c:v>2.91</c:v>
                </c:pt>
                <c:pt idx="137">
                  <c:v>2.915</c:v>
                </c:pt>
                <c:pt idx="138">
                  <c:v>2.92</c:v>
                </c:pt>
                <c:pt idx="139">
                  <c:v>2.9249999999999998</c:v>
                </c:pt>
                <c:pt idx="140">
                  <c:v>2.93</c:v>
                </c:pt>
                <c:pt idx="141">
                  <c:v>2.9350000000000001</c:v>
                </c:pt>
                <c:pt idx="142">
                  <c:v>2.94</c:v>
                </c:pt>
                <c:pt idx="143">
                  <c:v>2.9449999999999998</c:v>
                </c:pt>
                <c:pt idx="144">
                  <c:v>2.95</c:v>
                </c:pt>
                <c:pt idx="145">
                  <c:v>2.9550000000000001</c:v>
                </c:pt>
                <c:pt idx="146">
                  <c:v>2.96</c:v>
                </c:pt>
                <c:pt idx="147">
                  <c:v>2.9649999999999999</c:v>
                </c:pt>
                <c:pt idx="148">
                  <c:v>2.97</c:v>
                </c:pt>
                <c:pt idx="149">
                  <c:v>2.9750000000000001</c:v>
                </c:pt>
                <c:pt idx="150">
                  <c:v>2.98</c:v>
                </c:pt>
                <c:pt idx="151">
                  <c:v>2.9849999999999999</c:v>
                </c:pt>
                <c:pt idx="152">
                  <c:v>2.99</c:v>
                </c:pt>
                <c:pt idx="153">
                  <c:v>2.9950000000000001</c:v>
                </c:pt>
                <c:pt idx="154">
                  <c:v>3</c:v>
                </c:pt>
                <c:pt idx="155">
                  <c:v>3.0049999999999999</c:v>
                </c:pt>
                <c:pt idx="156">
                  <c:v>3.01</c:v>
                </c:pt>
                <c:pt idx="157">
                  <c:v>3.0150000000000001</c:v>
                </c:pt>
                <c:pt idx="158">
                  <c:v>3.02</c:v>
                </c:pt>
                <c:pt idx="159">
                  <c:v>3.0249999999999999</c:v>
                </c:pt>
                <c:pt idx="160">
                  <c:v>3.03</c:v>
                </c:pt>
                <c:pt idx="161">
                  <c:v>3.0350000000000001</c:v>
                </c:pt>
                <c:pt idx="162">
                  <c:v>3.04</c:v>
                </c:pt>
                <c:pt idx="163">
                  <c:v>3.0449999999999999</c:v>
                </c:pt>
                <c:pt idx="164">
                  <c:v>3.05</c:v>
                </c:pt>
                <c:pt idx="165">
                  <c:v>3.0550000000000002</c:v>
                </c:pt>
                <c:pt idx="166">
                  <c:v>3.06</c:v>
                </c:pt>
                <c:pt idx="167">
                  <c:v>3.0649999999999999</c:v>
                </c:pt>
                <c:pt idx="168">
                  <c:v>3.07</c:v>
                </c:pt>
                <c:pt idx="169">
                  <c:v>3.0750000000000002</c:v>
                </c:pt>
                <c:pt idx="170">
                  <c:v>3.08</c:v>
                </c:pt>
                <c:pt idx="171">
                  <c:v>3.085</c:v>
                </c:pt>
                <c:pt idx="172">
                  <c:v>3.09</c:v>
                </c:pt>
                <c:pt idx="173">
                  <c:v>3.0950000000000002</c:v>
                </c:pt>
                <c:pt idx="174">
                  <c:v>3.1</c:v>
                </c:pt>
                <c:pt idx="175">
                  <c:v>3.105</c:v>
                </c:pt>
                <c:pt idx="176">
                  <c:v>3.11</c:v>
                </c:pt>
                <c:pt idx="177">
                  <c:v>3.1150000000000002</c:v>
                </c:pt>
                <c:pt idx="178">
                  <c:v>3.12</c:v>
                </c:pt>
                <c:pt idx="179">
                  <c:v>3.125</c:v>
                </c:pt>
                <c:pt idx="180">
                  <c:v>3.13</c:v>
                </c:pt>
                <c:pt idx="181">
                  <c:v>3.1349999999999998</c:v>
                </c:pt>
                <c:pt idx="182">
                  <c:v>3.14</c:v>
                </c:pt>
                <c:pt idx="183">
                  <c:v>3.15</c:v>
                </c:pt>
                <c:pt idx="184">
                  <c:v>3.1549999999999998</c:v>
                </c:pt>
                <c:pt idx="185">
                  <c:v>3.16</c:v>
                </c:pt>
                <c:pt idx="186">
                  <c:v>3.165</c:v>
                </c:pt>
                <c:pt idx="187">
                  <c:v>3.17</c:v>
                </c:pt>
                <c:pt idx="188">
                  <c:v>3.1749999999999998</c:v>
                </c:pt>
                <c:pt idx="189">
                  <c:v>3.18</c:v>
                </c:pt>
                <c:pt idx="190">
                  <c:v>3.1850000000000001</c:v>
                </c:pt>
                <c:pt idx="191">
                  <c:v>3.19</c:v>
                </c:pt>
                <c:pt idx="192">
                  <c:v>3.1949999999999998</c:v>
                </c:pt>
                <c:pt idx="193">
                  <c:v>3.2</c:v>
                </c:pt>
                <c:pt idx="194">
                  <c:v>3.2050000000000001</c:v>
                </c:pt>
                <c:pt idx="195">
                  <c:v>3.21</c:v>
                </c:pt>
                <c:pt idx="196">
                  <c:v>3.2149999999999999</c:v>
                </c:pt>
                <c:pt idx="197">
                  <c:v>3.22</c:v>
                </c:pt>
                <c:pt idx="198">
                  <c:v>3.2250000000000001</c:v>
                </c:pt>
                <c:pt idx="199">
                  <c:v>3.23</c:v>
                </c:pt>
                <c:pt idx="200">
                  <c:v>3.2349999999999999</c:v>
                </c:pt>
                <c:pt idx="201">
                  <c:v>3.24</c:v>
                </c:pt>
                <c:pt idx="202">
                  <c:v>3.2450000000000001</c:v>
                </c:pt>
                <c:pt idx="203">
                  <c:v>3.25</c:v>
                </c:pt>
                <c:pt idx="204">
                  <c:v>3.2549999999999999</c:v>
                </c:pt>
                <c:pt idx="205">
                  <c:v>3.26</c:v>
                </c:pt>
                <c:pt idx="206">
                  <c:v>3.2650000000000001</c:v>
                </c:pt>
                <c:pt idx="207">
                  <c:v>3.27</c:v>
                </c:pt>
                <c:pt idx="208">
                  <c:v>3.2749999999999999</c:v>
                </c:pt>
                <c:pt idx="209">
                  <c:v>3.28</c:v>
                </c:pt>
                <c:pt idx="210">
                  <c:v>3.2850000000000001</c:v>
                </c:pt>
                <c:pt idx="211">
                  <c:v>3.29</c:v>
                </c:pt>
                <c:pt idx="212">
                  <c:v>3.2949999999999999</c:v>
                </c:pt>
                <c:pt idx="213">
                  <c:v>3.3</c:v>
                </c:pt>
                <c:pt idx="214">
                  <c:v>3.3050000000000002</c:v>
                </c:pt>
                <c:pt idx="215">
                  <c:v>3.31</c:v>
                </c:pt>
                <c:pt idx="216">
                  <c:v>3.3149999999999999</c:v>
                </c:pt>
                <c:pt idx="217">
                  <c:v>3.32</c:v>
                </c:pt>
                <c:pt idx="218">
                  <c:v>3.3250000000000002</c:v>
                </c:pt>
                <c:pt idx="219">
                  <c:v>3.33</c:v>
                </c:pt>
                <c:pt idx="220">
                  <c:v>3.335</c:v>
                </c:pt>
                <c:pt idx="221">
                  <c:v>3.34</c:v>
                </c:pt>
                <c:pt idx="222">
                  <c:v>3.35</c:v>
                </c:pt>
                <c:pt idx="223">
                  <c:v>3.355</c:v>
                </c:pt>
                <c:pt idx="224">
                  <c:v>3.3650000000000002</c:v>
                </c:pt>
                <c:pt idx="225">
                  <c:v>3.375</c:v>
                </c:pt>
                <c:pt idx="226">
                  <c:v>3.38</c:v>
                </c:pt>
                <c:pt idx="227">
                  <c:v>3.39</c:v>
                </c:pt>
                <c:pt idx="228">
                  <c:v>3.395</c:v>
                </c:pt>
                <c:pt idx="229">
                  <c:v>3.4</c:v>
                </c:pt>
                <c:pt idx="230">
                  <c:v>3.41</c:v>
                </c:pt>
                <c:pt idx="231">
                  <c:v>3.415</c:v>
                </c:pt>
                <c:pt idx="232">
                  <c:v>3.42</c:v>
                </c:pt>
                <c:pt idx="233">
                  <c:v>3.4249999999999998</c:v>
                </c:pt>
                <c:pt idx="234">
                  <c:v>3.43</c:v>
                </c:pt>
                <c:pt idx="235">
                  <c:v>3.4350000000000001</c:v>
                </c:pt>
                <c:pt idx="236">
                  <c:v>3.44</c:v>
                </c:pt>
                <c:pt idx="237">
                  <c:v>3.4449999999999998</c:v>
                </c:pt>
                <c:pt idx="238">
                  <c:v>3.45</c:v>
                </c:pt>
                <c:pt idx="239">
                  <c:v>3.4550000000000001</c:v>
                </c:pt>
                <c:pt idx="240">
                  <c:v>3.46</c:v>
                </c:pt>
                <c:pt idx="241">
                  <c:v>3.4649999999999999</c:v>
                </c:pt>
                <c:pt idx="242">
                  <c:v>3.47</c:v>
                </c:pt>
                <c:pt idx="243">
                  <c:v>3.4750000000000001</c:v>
                </c:pt>
                <c:pt idx="244">
                  <c:v>3.48</c:v>
                </c:pt>
                <c:pt idx="245">
                  <c:v>3.4849999999999999</c:v>
                </c:pt>
                <c:pt idx="246">
                  <c:v>3.49</c:v>
                </c:pt>
                <c:pt idx="247">
                  <c:v>3.4950000000000001</c:v>
                </c:pt>
                <c:pt idx="248">
                  <c:v>3.5</c:v>
                </c:pt>
                <c:pt idx="249">
                  <c:v>3.5049999999999999</c:v>
                </c:pt>
                <c:pt idx="250">
                  <c:v>3.5150000000000001</c:v>
                </c:pt>
                <c:pt idx="251">
                  <c:v>3.52</c:v>
                </c:pt>
                <c:pt idx="252">
                  <c:v>3.5249999999999999</c:v>
                </c:pt>
                <c:pt idx="253">
                  <c:v>3.53</c:v>
                </c:pt>
                <c:pt idx="254">
                  <c:v>3.5350000000000001</c:v>
                </c:pt>
                <c:pt idx="255">
                  <c:v>3.54</c:v>
                </c:pt>
                <c:pt idx="256">
                  <c:v>3.5449999999999999</c:v>
                </c:pt>
                <c:pt idx="257">
                  <c:v>3.55</c:v>
                </c:pt>
                <c:pt idx="258">
                  <c:v>3.5550000000000002</c:v>
                </c:pt>
                <c:pt idx="259">
                  <c:v>3.56</c:v>
                </c:pt>
                <c:pt idx="260">
                  <c:v>3.5649999999999999</c:v>
                </c:pt>
                <c:pt idx="261">
                  <c:v>3.57</c:v>
                </c:pt>
                <c:pt idx="262">
                  <c:v>3.5750000000000002</c:v>
                </c:pt>
                <c:pt idx="263">
                  <c:v>3.58</c:v>
                </c:pt>
                <c:pt idx="264">
                  <c:v>3.585</c:v>
                </c:pt>
                <c:pt idx="265">
                  <c:v>3.59</c:v>
                </c:pt>
                <c:pt idx="266">
                  <c:v>3.5950000000000002</c:v>
                </c:pt>
                <c:pt idx="267">
                  <c:v>3.6</c:v>
                </c:pt>
                <c:pt idx="268">
                  <c:v>3.605</c:v>
                </c:pt>
                <c:pt idx="269">
                  <c:v>3.61</c:v>
                </c:pt>
                <c:pt idx="270">
                  <c:v>3.6150000000000002</c:v>
                </c:pt>
                <c:pt idx="271">
                  <c:v>3.62</c:v>
                </c:pt>
                <c:pt idx="272">
                  <c:v>3.625</c:v>
                </c:pt>
                <c:pt idx="273">
                  <c:v>3.63</c:v>
                </c:pt>
                <c:pt idx="274">
                  <c:v>3.6349999999999998</c:v>
                </c:pt>
                <c:pt idx="275">
                  <c:v>3.64</c:v>
                </c:pt>
                <c:pt idx="276">
                  <c:v>3.645</c:v>
                </c:pt>
                <c:pt idx="277">
                  <c:v>3.65</c:v>
                </c:pt>
                <c:pt idx="278">
                  <c:v>3.6549999999999998</c:v>
                </c:pt>
                <c:pt idx="279">
                  <c:v>3.66</c:v>
                </c:pt>
                <c:pt idx="280">
                  <c:v>3.67</c:v>
                </c:pt>
                <c:pt idx="281">
                  <c:v>3.6749999999999998</c:v>
                </c:pt>
                <c:pt idx="282">
                  <c:v>3.68</c:v>
                </c:pt>
                <c:pt idx="283">
                  <c:v>3.6850000000000001</c:v>
                </c:pt>
                <c:pt idx="284">
                  <c:v>3.69</c:v>
                </c:pt>
                <c:pt idx="285">
                  <c:v>3.6949999999999998</c:v>
                </c:pt>
                <c:pt idx="286">
                  <c:v>3.7</c:v>
                </c:pt>
                <c:pt idx="287">
                  <c:v>3.7050000000000001</c:v>
                </c:pt>
                <c:pt idx="288">
                  <c:v>3.71</c:v>
                </c:pt>
                <c:pt idx="289">
                  <c:v>3.7149999999999999</c:v>
                </c:pt>
                <c:pt idx="290">
                  <c:v>3.72</c:v>
                </c:pt>
                <c:pt idx="291">
                  <c:v>3.7250000000000001</c:v>
                </c:pt>
                <c:pt idx="292">
                  <c:v>3.73</c:v>
                </c:pt>
                <c:pt idx="293">
                  <c:v>3.7349999999999999</c:v>
                </c:pt>
                <c:pt idx="294">
                  <c:v>3.74</c:v>
                </c:pt>
                <c:pt idx="295">
                  <c:v>3.7450000000000001</c:v>
                </c:pt>
                <c:pt idx="296">
                  <c:v>3.75</c:v>
                </c:pt>
                <c:pt idx="297">
                  <c:v>3.7549999999999999</c:v>
                </c:pt>
                <c:pt idx="298">
                  <c:v>3.76</c:v>
                </c:pt>
                <c:pt idx="299">
                  <c:v>3.7650000000000001</c:v>
                </c:pt>
                <c:pt idx="300">
                  <c:v>3.77</c:v>
                </c:pt>
                <c:pt idx="301">
                  <c:v>3.7749999999999999</c:v>
                </c:pt>
                <c:pt idx="302">
                  <c:v>3.78</c:v>
                </c:pt>
                <c:pt idx="303">
                  <c:v>3.7850000000000001</c:v>
                </c:pt>
                <c:pt idx="304">
                  <c:v>3.79</c:v>
                </c:pt>
                <c:pt idx="305">
                  <c:v>3.7949999999999999</c:v>
                </c:pt>
                <c:pt idx="306">
                  <c:v>3.8</c:v>
                </c:pt>
                <c:pt idx="307">
                  <c:v>3.8050000000000002</c:v>
                </c:pt>
                <c:pt idx="308">
                  <c:v>3.81</c:v>
                </c:pt>
                <c:pt idx="309">
                  <c:v>3.8149999999999999</c:v>
                </c:pt>
                <c:pt idx="310">
                  <c:v>3.82</c:v>
                </c:pt>
                <c:pt idx="311">
                  <c:v>3.8250000000000002</c:v>
                </c:pt>
                <c:pt idx="312">
                  <c:v>3.83</c:v>
                </c:pt>
                <c:pt idx="313">
                  <c:v>3.835</c:v>
                </c:pt>
                <c:pt idx="314">
                  <c:v>3.84</c:v>
                </c:pt>
                <c:pt idx="315">
                  <c:v>3.8450000000000002</c:v>
                </c:pt>
                <c:pt idx="316">
                  <c:v>3.85</c:v>
                </c:pt>
                <c:pt idx="317">
                  <c:v>3.855</c:v>
                </c:pt>
                <c:pt idx="318">
                  <c:v>3.86</c:v>
                </c:pt>
                <c:pt idx="319">
                  <c:v>3.8650000000000002</c:v>
                </c:pt>
                <c:pt idx="320">
                  <c:v>3.87</c:v>
                </c:pt>
                <c:pt idx="321">
                  <c:v>3.875</c:v>
                </c:pt>
                <c:pt idx="322">
                  <c:v>3.88</c:v>
                </c:pt>
                <c:pt idx="323">
                  <c:v>3.8849999999999998</c:v>
                </c:pt>
                <c:pt idx="324">
                  <c:v>3.89</c:v>
                </c:pt>
                <c:pt idx="325">
                  <c:v>3.895</c:v>
                </c:pt>
                <c:pt idx="326">
                  <c:v>3.9</c:v>
                </c:pt>
                <c:pt idx="327">
                  <c:v>3.9049999999999998</c:v>
                </c:pt>
                <c:pt idx="328">
                  <c:v>3.91</c:v>
                </c:pt>
                <c:pt idx="329">
                  <c:v>3.915</c:v>
                </c:pt>
                <c:pt idx="330">
                  <c:v>3.92</c:v>
                </c:pt>
                <c:pt idx="331">
                  <c:v>3.9249999999999998</c:v>
                </c:pt>
                <c:pt idx="332">
                  <c:v>3.93</c:v>
                </c:pt>
                <c:pt idx="333">
                  <c:v>3.9350000000000001</c:v>
                </c:pt>
                <c:pt idx="334">
                  <c:v>3.94</c:v>
                </c:pt>
                <c:pt idx="335">
                  <c:v>3.9449999999999998</c:v>
                </c:pt>
                <c:pt idx="336">
                  <c:v>3.95</c:v>
                </c:pt>
                <c:pt idx="337">
                  <c:v>3.9550000000000001</c:v>
                </c:pt>
                <c:pt idx="338">
                  <c:v>3.96</c:v>
                </c:pt>
                <c:pt idx="339">
                  <c:v>3.9649999999999999</c:v>
                </c:pt>
                <c:pt idx="340">
                  <c:v>3.97</c:v>
                </c:pt>
                <c:pt idx="341">
                  <c:v>3.9750000000000001</c:v>
                </c:pt>
                <c:pt idx="342">
                  <c:v>3.98</c:v>
                </c:pt>
                <c:pt idx="343">
                  <c:v>3.9849999999999999</c:v>
                </c:pt>
                <c:pt idx="344">
                  <c:v>3.99</c:v>
                </c:pt>
                <c:pt idx="345">
                  <c:v>3.9950000000000001</c:v>
                </c:pt>
                <c:pt idx="346">
                  <c:v>4</c:v>
                </c:pt>
              </c:numCache>
            </c:numRef>
          </c:xVal>
          <c:yVal>
            <c:numRef>
              <c:f>TEST2!$D$387:$D$733</c:f>
              <c:numCache>
                <c:formatCode>0.0</c:formatCode>
                <c:ptCount val="347"/>
                <c:pt idx="0">
                  <c:v>50.2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50.4</c:v>
                </c:pt>
                <c:pt idx="5">
                  <c:v>50.4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50.8</c:v>
                </c:pt>
                <c:pt idx="24">
                  <c:v>50.8</c:v>
                </c:pt>
                <c:pt idx="25">
                  <c:v>50.8</c:v>
                </c:pt>
                <c:pt idx="26">
                  <c:v>50.8</c:v>
                </c:pt>
                <c:pt idx="27">
                  <c:v>50.8</c:v>
                </c:pt>
                <c:pt idx="28">
                  <c:v>50.9</c:v>
                </c:pt>
                <c:pt idx="29">
                  <c:v>50.9</c:v>
                </c:pt>
                <c:pt idx="30">
                  <c:v>51.1</c:v>
                </c:pt>
                <c:pt idx="31">
                  <c:v>51.1</c:v>
                </c:pt>
                <c:pt idx="32">
                  <c:v>51.2</c:v>
                </c:pt>
                <c:pt idx="33">
                  <c:v>51.2</c:v>
                </c:pt>
                <c:pt idx="34">
                  <c:v>51.2</c:v>
                </c:pt>
                <c:pt idx="35">
                  <c:v>51.3</c:v>
                </c:pt>
                <c:pt idx="36">
                  <c:v>51.3</c:v>
                </c:pt>
                <c:pt idx="37">
                  <c:v>51.3</c:v>
                </c:pt>
                <c:pt idx="38">
                  <c:v>51.3</c:v>
                </c:pt>
                <c:pt idx="39">
                  <c:v>51.3</c:v>
                </c:pt>
                <c:pt idx="40">
                  <c:v>51.4</c:v>
                </c:pt>
                <c:pt idx="41">
                  <c:v>51.4</c:v>
                </c:pt>
                <c:pt idx="42">
                  <c:v>51.4</c:v>
                </c:pt>
                <c:pt idx="43">
                  <c:v>51.4</c:v>
                </c:pt>
                <c:pt idx="44">
                  <c:v>51.4</c:v>
                </c:pt>
                <c:pt idx="45">
                  <c:v>51.5</c:v>
                </c:pt>
                <c:pt idx="46">
                  <c:v>51.5</c:v>
                </c:pt>
                <c:pt idx="47">
                  <c:v>51.5</c:v>
                </c:pt>
                <c:pt idx="48">
                  <c:v>51.5</c:v>
                </c:pt>
                <c:pt idx="49">
                  <c:v>51.5</c:v>
                </c:pt>
                <c:pt idx="50">
                  <c:v>51.6</c:v>
                </c:pt>
                <c:pt idx="51">
                  <c:v>51.7</c:v>
                </c:pt>
                <c:pt idx="52">
                  <c:v>51.7</c:v>
                </c:pt>
                <c:pt idx="53">
                  <c:v>51.7</c:v>
                </c:pt>
                <c:pt idx="54">
                  <c:v>51.8</c:v>
                </c:pt>
                <c:pt idx="55">
                  <c:v>51.8</c:v>
                </c:pt>
                <c:pt idx="56">
                  <c:v>51.8</c:v>
                </c:pt>
                <c:pt idx="57">
                  <c:v>51.9</c:v>
                </c:pt>
                <c:pt idx="58">
                  <c:v>52</c:v>
                </c:pt>
                <c:pt idx="59">
                  <c:v>52</c:v>
                </c:pt>
                <c:pt idx="60">
                  <c:v>52.1</c:v>
                </c:pt>
                <c:pt idx="61">
                  <c:v>52.2</c:v>
                </c:pt>
                <c:pt idx="62">
                  <c:v>52.2</c:v>
                </c:pt>
                <c:pt idx="63">
                  <c:v>52.3</c:v>
                </c:pt>
                <c:pt idx="64">
                  <c:v>52.3</c:v>
                </c:pt>
                <c:pt idx="65">
                  <c:v>52.3</c:v>
                </c:pt>
                <c:pt idx="66">
                  <c:v>52.3</c:v>
                </c:pt>
                <c:pt idx="67">
                  <c:v>52.4</c:v>
                </c:pt>
                <c:pt idx="68">
                  <c:v>52.4</c:v>
                </c:pt>
                <c:pt idx="69">
                  <c:v>52.4</c:v>
                </c:pt>
                <c:pt idx="70">
                  <c:v>52.5</c:v>
                </c:pt>
                <c:pt idx="71">
                  <c:v>52.5</c:v>
                </c:pt>
                <c:pt idx="72">
                  <c:v>52.5</c:v>
                </c:pt>
                <c:pt idx="73">
                  <c:v>52.5</c:v>
                </c:pt>
                <c:pt idx="74">
                  <c:v>52.5</c:v>
                </c:pt>
                <c:pt idx="75">
                  <c:v>52.6</c:v>
                </c:pt>
                <c:pt idx="76">
                  <c:v>52.6</c:v>
                </c:pt>
                <c:pt idx="77">
                  <c:v>52.6</c:v>
                </c:pt>
                <c:pt idx="78">
                  <c:v>52.6</c:v>
                </c:pt>
                <c:pt idx="79">
                  <c:v>52.7</c:v>
                </c:pt>
                <c:pt idx="80">
                  <c:v>52.7</c:v>
                </c:pt>
                <c:pt idx="81">
                  <c:v>52.7</c:v>
                </c:pt>
                <c:pt idx="82">
                  <c:v>52.8</c:v>
                </c:pt>
                <c:pt idx="83">
                  <c:v>52.8</c:v>
                </c:pt>
                <c:pt idx="84">
                  <c:v>52.8</c:v>
                </c:pt>
                <c:pt idx="85">
                  <c:v>52.9</c:v>
                </c:pt>
                <c:pt idx="86">
                  <c:v>52.9</c:v>
                </c:pt>
                <c:pt idx="87">
                  <c:v>52.9</c:v>
                </c:pt>
                <c:pt idx="88">
                  <c:v>52.9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53.1</c:v>
                </c:pt>
                <c:pt idx="93">
                  <c:v>53.1</c:v>
                </c:pt>
                <c:pt idx="94">
                  <c:v>53.1</c:v>
                </c:pt>
                <c:pt idx="95">
                  <c:v>53.2</c:v>
                </c:pt>
                <c:pt idx="96">
                  <c:v>53.2</c:v>
                </c:pt>
                <c:pt idx="97">
                  <c:v>53.2</c:v>
                </c:pt>
                <c:pt idx="98">
                  <c:v>53.2</c:v>
                </c:pt>
                <c:pt idx="99">
                  <c:v>53.3</c:v>
                </c:pt>
                <c:pt idx="100">
                  <c:v>53.3</c:v>
                </c:pt>
                <c:pt idx="101">
                  <c:v>53.3</c:v>
                </c:pt>
                <c:pt idx="102">
                  <c:v>53.4</c:v>
                </c:pt>
                <c:pt idx="103">
                  <c:v>53.4</c:v>
                </c:pt>
                <c:pt idx="104">
                  <c:v>53.4</c:v>
                </c:pt>
                <c:pt idx="105">
                  <c:v>53.4</c:v>
                </c:pt>
                <c:pt idx="106">
                  <c:v>53.5</c:v>
                </c:pt>
                <c:pt idx="107">
                  <c:v>53.5</c:v>
                </c:pt>
                <c:pt idx="108">
                  <c:v>53.5</c:v>
                </c:pt>
                <c:pt idx="109">
                  <c:v>53.6</c:v>
                </c:pt>
                <c:pt idx="110">
                  <c:v>53.6</c:v>
                </c:pt>
                <c:pt idx="111">
                  <c:v>53.6</c:v>
                </c:pt>
                <c:pt idx="112">
                  <c:v>53.7</c:v>
                </c:pt>
                <c:pt idx="113">
                  <c:v>53.7</c:v>
                </c:pt>
                <c:pt idx="114">
                  <c:v>53.8</c:v>
                </c:pt>
                <c:pt idx="115">
                  <c:v>53.8</c:v>
                </c:pt>
                <c:pt idx="116">
                  <c:v>53.8</c:v>
                </c:pt>
                <c:pt idx="117">
                  <c:v>53.8</c:v>
                </c:pt>
                <c:pt idx="118">
                  <c:v>53.9</c:v>
                </c:pt>
                <c:pt idx="119">
                  <c:v>53.9</c:v>
                </c:pt>
                <c:pt idx="120">
                  <c:v>54</c:v>
                </c:pt>
                <c:pt idx="121">
                  <c:v>54</c:v>
                </c:pt>
                <c:pt idx="122">
                  <c:v>54</c:v>
                </c:pt>
                <c:pt idx="123">
                  <c:v>54</c:v>
                </c:pt>
                <c:pt idx="124">
                  <c:v>54.1</c:v>
                </c:pt>
                <c:pt idx="125">
                  <c:v>54.1</c:v>
                </c:pt>
                <c:pt idx="126">
                  <c:v>54.1</c:v>
                </c:pt>
                <c:pt idx="127">
                  <c:v>54.2</c:v>
                </c:pt>
                <c:pt idx="128">
                  <c:v>54.3</c:v>
                </c:pt>
                <c:pt idx="129">
                  <c:v>54.2</c:v>
                </c:pt>
                <c:pt idx="130">
                  <c:v>54.3</c:v>
                </c:pt>
                <c:pt idx="131">
                  <c:v>54.3</c:v>
                </c:pt>
                <c:pt idx="132">
                  <c:v>54.3</c:v>
                </c:pt>
                <c:pt idx="133">
                  <c:v>54.4</c:v>
                </c:pt>
                <c:pt idx="134">
                  <c:v>54.4</c:v>
                </c:pt>
                <c:pt idx="135">
                  <c:v>54.4</c:v>
                </c:pt>
                <c:pt idx="136">
                  <c:v>54.5</c:v>
                </c:pt>
                <c:pt idx="137">
                  <c:v>54.5</c:v>
                </c:pt>
                <c:pt idx="138">
                  <c:v>54.5</c:v>
                </c:pt>
                <c:pt idx="139">
                  <c:v>54.5</c:v>
                </c:pt>
                <c:pt idx="140">
                  <c:v>54.6</c:v>
                </c:pt>
                <c:pt idx="141">
                  <c:v>54.7</c:v>
                </c:pt>
                <c:pt idx="142">
                  <c:v>54.7</c:v>
                </c:pt>
                <c:pt idx="143">
                  <c:v>54.7</c:v>
                </c:pt>
                <c:pt idx="144">
                  <c:v>54.7</c:v>
                </c:pt>
                <c:pt idx="145">
                  <c:v>54.8</c:v>
                </c:pt>
                <c:pt idx="146">
                  <c:v>54.8</c:v>
                </c:pt>
                <c:pt idx="147">
                  <c:v>54.8</c:v>
                </c:pt>
                <c:pt idx="148">
                  <c:v>54.9</c:v>
                </c:pt>
                <c:pt idx="149">
                  <c:v>54.9</c:v>
                </c:pt>
                <c:pt idx="150">
                  <c:v>54.9</c:v>
                </c:pt>
                <c:pt idx="151">
                  <c:v>55</c:v>
                </c:pt>
                <c:pt idx="152">
                  <c:v>55</c:v>
                </c:pt>
                <c:pt idx="153">
                  <c:v>55</c:v>
                </c:pt>
                <c:pt idx="154">
                  <c:v>55</c:v>
                </c:pt>
                <c:pt idx="155">
                  <c:v>55</c:v>
                </c:pt>
                <c:pt idx="156">
                  <c:v>55.1</c:v>
                </c:pt>
                <c:pt idx="157">
                  <c:v>55.1</c:v>
                </c:pt>
                <c:pt idx="158">
                  <c:v>55.1</c:v>
                </c:pt>
                <c:pt idx="159">
                  <c:v>55.2</c:v>
                </c:pt>
                <c:pt idx="160">
                  <c:v>55.2</c:v>
                </c:pt>
                <c:pt idx="161">
                  <c:v>55.2</c:v>
                </c:pt>
                <c:pt idx="162">
                  <c:v>55.3</c:v>
                </c:pt>
                <c:pt idx="163">
                  <c:v>55.3</c:v>
                </c:pt>
                <c:pt idx="164">
                  <c:v>55.3</c:v>
                </c:pt>
                <c:pt idx="165">
                  <c:v>55.4</c:v>
                </c:pt>
                <c:pt idx="166">
                  <c:v>55.4</c:v>
                </c:pt>
                <c:pt idx="167">
                  <c:v>55.4</c:v>
                </c:pt>
                <c:pt idx="168">
                  <c:v>55.5</c:v>
                </c:pt>
                <c:pt idx="169">
                  <c:v>55.5</c:v>
                </c:pt>
                <c:pt idx="170">
                  <c:v>55.6</c:v>
                </c:pt>
                <c:pt idx="171">
                  <c:v>55.6</c:v>
                </c:pt>
                <c:pt idx="172">
                  <c:v>55.6</c:v>
                </c:pt>
                <c:pt idx="173">
                  <c:v>55.6</c:v>
                </c:pt>
                <c:pt idx="174">
                  <c:v>55.6</c:v>
                </c:pt>
                <c:pt idx="175">
                  <c:v>55.7</c:v>
                </c:pt>
                <c:pt idx="176">
                  <c:v>55.7</c:v>
                </c:pt>
                <c:pt idx="177">
                  <c:v>55.7</c:v>
                </c:pt>
                <c:pt idx="178">
                  <c:v>55.8</c:v>
                </c:pt>
                <c:pt idx="179">
                  <c:v>55.8</c:v>
                </c:pt>
                <c:pt idx="180">
                  <c:v>55.9</c:v>
                </c:pt>
                <c:pt idx="181">
                  <c:v>55.9</c:v>
                </c:pt>
                <c:pt idx="182">
                  <c:v>55.9</c:v>
                </c:pt>
                <c:pt idx="183">
                  <c:v>56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56.1</c:v>
                </c:pt>
                <c:pt idx="188">
                  <c:v>56.1</c:v>
                </c:pt>
                <c:pt idx="189">
                  <c:v>56.1</c:v>
                </c:pt>
                <c:pt idx="190">
                  <c:v>56.2</c:v>
                </c:pt>
                <c:pt idx="191">
                  <c:v>56.2</c:v>
                </c:pt>
                <c:pt idx="192">
                  <c:v>56.2</c:v>
                </c:pt>
                <c:pt idx="193">
                  <c:v>56.2</c:v>
                </c:pt>
                <c:pt idx="194">
                  <c:v>56.3</c:v>
                </c:pt>
                <c:pt idx="195">
                  <c:v>56.3</c:v>
                </c:pt>
                <c:pt idx="196">
                  <c:v>56.3</c:v>
                </c:pt>
                <c:pt idx="197">
                  <c:v>56.3</c:v>
                </c:pt>
                <c:pt idx="198">
                  <c:v>56.4</c:v>
                </c:pt>
                <c:pt idx="199">
                  <c:v>56.4</c:v>
                </c:pt>
                <c:pt idx="200">
                  <c:v>56.4</c:v>
                </c:pt>
                <c:pt idx="201">
                  <c:v>56.5</c:v>
                </c:pt>
                <c:pt idx="202">
                  <c:v>56.5</c:v>
                </c:pt>
                <c:pt idx="203">
                  <c:v>56.5</c:v>
                </c:pt>
                <c:pt idx="204">
                  <c:v>56.6</c:v>
                </c:pt>
                <c:pt idx="205">
                  <c:v>56.6</c:v>
                </c:pt>
                <c:pt idx="206">
                  <c:v>56.6</c:v>
                </c:pt>
                <c:pt idx="207">
                  <c:v>56.7</c:v>
                </c:pt>
                <c:pt idx="208">
                  <c:v>56.7</c:v>
                </c:pt>
                <c:pt idx="209">
                  <c:v>56.7</c:v>
                </c:pt>
                <c:pt idx="210">
                  <c:v>56.7</c:v>
                </c:pt>
                <c:pt idx="211">
                  <c:v>56.8</c:v>
                </c:pt>
                <c:pt idx="212">
                  <c:v>56.9</c:v>
                </c:pt>
                <c:pt idx="213">
                  <c:v>56.9</c:v>
                </c:pt>
                <c:pt idx="214">
                  <c:v>57.1</c:v>
                </c:pt>
                <c:pt idx="215">
                  <c:v>57.1</c:v>
                </c:pt>
                <c:pt idx="216">
                  <c:v>57.1</c:v>
                </c:pt>
                <c:pt idx="217">
                  <c:v>57.2</c:v>
                </c:pt>
                <c:pt idx="218">
                  <c:v>57.3</c:v>
                </c:pt>
                <c:pt idx="219">
                  <c:v>57.3</c:v>
                </c:pt>
                <c:pt idx="220">
                  <c:v>57.4</c:v>
                </c:pt>
                <c:pt idx="221">
                  <c:v>57.4</c:v>
                </c:pt>
                <c:pt idx="222">
                  <c:v>57.5</c:v>
                </c:pt>
                <c:pt idx="223">
                  <c:v>57.6</c:v>
                </c:pt>
                <c:pt idx="224">
                  <c:v>57.6</c:v>
                </c:pt>
                <c:pt idx="225">
                  <c:v>57.7</c:v>
                </c:pt>
                <c:pt idx="226">
                  <c:v>57.8</c:v>
                </c:pt>
                <c:pt idx="227">
                  <c:v>57.8</c:v>
                </c:pt>
                <c:pt idx="228">
                  <c:v>57.9</c:v>
                </c:pt>
                <c:pt idx="229">
                  <c:v>57.9</c:v>
                </c:pt>
                <c:pt idx="230">
                  <c:v>57.9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58.1</c:v>
                </c:pt>
                <c:pt idx="235">
                  <c:v>58.2</c:v>
                </c:pt>
                <c:pt idx="236">
                  <c:v>58.2</c:v>
                </c:pt>
                <c:pt idx="237">
                  <c:v>58.2</c:v>
                </c:pt>
                <c:pt idx="238">
                  <c:v>58.2</c:v>
                </c:pt>
                <c:pt idx="239">
                  <c:v>58.2</c:v>
                </c:pt>
                <c:pt idx="240">
                  <c:v>58.3</c:v>
                </c:pt>
                <c:pt idx="241">
                  <c:v>58.3</c:v>
                </c:pt>
                <c:pt idx="242">
                  <c:v>58.3</c:v>
                </c:pt>
                <c:pt idx="243">
                  <c:v>58.4</c:v>
                </c:pt>
                <c:pt idx="244">
                  <c:v>58.4</c:v>
                </c:pt>
                <c:pt idx="245">
                  <c:v>58.4</c:v>
                </c:pt>
                <c:pt idx="246">
                  <c:v>58.5</c:v>
                </c:pt>
                <c:pt idx="247">
                  <c:v>58.6</c:v>
                </c:pt>
                <c:pt idx="248">
                  <c:v>58.7</c:v>
                </c:pt>
                <c:pt idx="249">
                  <c:v>58.7</c:v>
                </c:pt>
                <c:pt idx="250">
                  <c:v>58.7</c:v>
                </c:pt>
                <c:pt idx="251">
                  <c:v>58.8</c:v>
                </c:pt>
                <c:pt idx="252">
                  <c:v>58.8</c:v>
                </c:pt>
                <c:pt idx="253">
                  <c:v>58.8</c:v>
                </c:pt>
                <c:pt idx="254">
                  <c:v>58.8</c:v>
                </c:pt>
                <c:pt idx="255">
                  <c:v>58.9</c:v>
                </c:pt>
                <c:pt idx="256">
                  <c:v>58.9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59.1</c:v>
                </c:pt>
                <c:pt idx="262">
                  <c:v>59.1</c:v>
                </c:pt>
                <c:pt idx="263">
                  <c:v>59.2</c:v>
                </c:pt>
                <c:pt idx="264">
                  <c:v>59.2</c:v>
                </c:pt>
                <c:pt idx="265">
                  <c:v>59.3</c:v>
                </c:pt>
                <c:pt idx="266">
                  <c:v>59.3</c:v>
                </c:pt>
                <c:pt idx="267">
                  <c:v>59.3</c:v>
                </c:pt>
                <c:pt idx="268">
                  <c:v>59.3</c:v>
                </c:pt>
                <c:pt idx="269">
                  <c:v>59.3</c:v>
                </c:pt>
                <c:pt idx="270">
                  <c:v>59.5</c:v>
                </c:pt>
                <c:pt idx="271">
                  <c:v>59.5</c:v>
                </c:pt>
                <c:pt idx="272">
                  <c:v>59.5</c:v>
                </c:pt>
                <c:pt idx="273">
                  <c:v>59.5</c:v>
                </c:pt>
                <c:pt idx="274">
                  <c:v>59.5</c:v>
                </c:pt>
                <c:pt idx="275">
                  <c:v>59.6</c:v>
                </c:pt>
                <c:pt idx="276">
                  <c:v>59.6</c:v>
                </c:pt>
                <c:pt idx="277">
                  <c:v>59.7</c:v>
                </c:pt>
                <c:pt idx="278">
                  <c:v>59.8</c:v>
                </c:pt>
                <c:pt idx="279">
                  <c:v>59.8</c:v>
                </c:pt>
                <c:pt idx="280">
                  <c:v>59.9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60</c:v>
                </c:pt>
                <c:pt idx="287">
                  <c:v>60.1</c:v>
                </c:pt>
                <c:pt idx="288">
                  <c:v>60.1</c:v>
                </c:pt>
                <c:pt idx="289">
                  <c:v>60.1</c:v>
                </c:pt>
                <c:pt idx="290">
                  <c:v>60.2</c:v>
                </c:pt>
                <c:pt idx="291">
                  <c:v>60.2</c:v>
                </c:pt>
                <c:pt idx="292">
                  <c:v>60.3</c:v>
                </c:pt>
                <c:pt idx="293">
                  <c:v>60.3</c:v>
                </c:pt>
                <c:pt idx="294">
                  <c:v>60.4</c:v>
                </c:pt>
                <c:pt idx="295">
                  <c:v>60.4</c:v>
                </c:pt>
                <c:pt idx="296">
                  <c:v>60.4</c:v>
                </c:pt>
                <c:pt idx="297">
                  <c:v>60.4</c:v>
                </c:pt>
                <c:pt idx="298">
                  <c:v>60.5</c:v>
                </c:pt>
                <c:pt idx="299">
                  <c:v>60.5</c:v>
                </c:pt>
                <c:pt idx="300">
                  <c:v>60.6</c:v>
                </c:pt>
                <c:pt idx="301">
                  <c:v>60.6</c:v>
                </c:pt>
                <c:pt idx="302">
                  <c:v>60.6</c:v>
                </c:pt>
                <c:pt idx="303">
                  <c:v>60.6</c:v>
                </c:pt>
                <c:pt idx="304">
                  <c:v>60.8</c:v>
                </c:pt>
                <c:pt idx="305">
                  <c:v>60.8</c:v>
                </c:pt>
                <c:pt idx="306">
                  <c:v>60.8</c:v>
                </c:pt>
                <c:pt idx="307">
                  <c:v>60.9</c:v>
                </c:pt>
                <c:pt idx="308">
                  <c:v>60.9</c:v>
                </c:pt>
                <c:pt idx="309">
                  <c:v>60.9</c:v>
                </c:pt>
                <c:pt idx="310">
                  <c:v>61</c:v>
                </c:pt>
                <c:pt idx="311">
                  <c:v>61</c:v>
                </c:pt>
                <c:pt idx="312">
                  <c:v>61</c:v>
                </c:pt>
                <c:pt idx="313">
                  <c:v>61.1</c:v>
                </c:pt>
                <c:pt idx="314">
                  <c:v>61.2</c:v>
                </c:pt>
                <c:pt idx="315">
                  <c:v>61.2</c:v>
                </c:pt>
                <c:pt idx="316">
                  <c:v>61.3</c:v>
                </c:pt>
                <c:pt idx="317">
                  <c:v>61.3</c:v>
                </c:pt>
                <c:pt idx="318">
                  <c:v>61.4</c:v>
                </c:pt>
                <c:pt idx="319">
                  <c:v>61.4</c:v>
                </c:pt>
                <c:pt idx="320">
                  <c:v>61.5</c:v>
                </c:pt>
                <c:pt idx="321">
                  <c:v>61.5</c:v>
                </c:pt>
                <c:pt idx="322">
                  <c:v>61.6</c:v>
                </c:pt>
                <c:pt idx="323">
                  <c:v>61.6</c:v>
                </c:pt>
                <c:pt idx="324">
                  <c:v>61.7</c:v>
                </c:pt>
                <c:pt idx="325">
                  <c:v>61.8</c:v>
                </c:pt>
                <c:pt idx="326">
                  <c:v>61.8</c:v>
                </c:pt>
                <c:pt idx="327">
                  <c:v>61.9</c:v>
                </c:pt>
                <c:pt idx="328">
                  <c:v>61.9</c:v>
                </c:pt>
                <c:pt idx="329">
                  <c:v>61.9</c:v>
                </c:pt>
                <c:pt idx="330">
                  <c:v>61.9</c:v>
                </c:pt>
                <c:pt idx="331">
                  <c:v>62</c:v>
                </c:pt>
                <c:pt idx="332">
                  <c:v>62</c:v>
                </c:pt>
                <c:pt idx="333">
                  <c:v>62</c:v>
                </c:pt>
                <c:pt idx="334">
                  <c:v>62.1</c:v>
                </c:pt>
                <c:pt idx="335">
                  <c:v>62.1</c:v>
                </c:pt>
                <c:pt idx="336">
                  <c:v>62.1</c:v>
                </c:pt>
                <c:pt idx="337">
                  <c:v>62.1</c:v>
                </c:pt>
                <c:pt idx="338">
                  <c:v>62.1</c:v>
                </c:pt>
                <c:pt idx="339">
                  <c:v>62.1</c:v>
                </c:pt>
                <c:pt idx="340">
                  <c:v>62.2</c:v>
                </c:pt>
                <c:pt idx="341">
                  <c:v>62.2</c:v>
                </c:pt>
                <c:pt idx="342">
                  <c:v>62.3</c:v>
                </c:pt>
                <c:pt idx="343">
                  <c:v>62.3</c:v>
                </c:pt>
                <c:pt idx="344">
                  <c:v>62.3</c:v>
                </c:pt>
                <c:pt idx="345">
                  <c:v>62.4</c:v>
                </c:pt>
                <c:pt idx="346">
                  <c:v>62.5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EA-4F0E-9195-09733FFC3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495299</xdr:colOff>
      <xdr:row>0</xdr:row>
      <xdr:rowOff>147636</xdr:rowOff>
    </xdr:from>
    <xdr:to>
      <xdr:col>27</xdr:col>
      <xdr:colOff>942975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B5761-D5A2-4FB9-8413-9B53FE0B7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495299</xdr:colOff>
      <xdr:row>0</xdr:row>
      <xdr:rowOff>147636</xdr:rowOff>
    </xdr:from>
    <xdr:to>
      <xdr:col>27</xdr:col>
      <xdr:colOff>942975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EBC66-ABB8-4B1F-BF0C-69CB76590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466724</xdr:colOff>
      <xdr:row>0</xdr:row>
      <xdr:rowOff>138111</xdr:rowOff>
    </xdr:from>
    <xdr:to>
      <xdr:col>27</xdr:col>
      <xdr:colOff>914400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62D6A-CB47-44CC-A6F2-408C2313F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495299</xdr:colOff>
      <xdr:row>0</xdr:row>
      <xdr:rowOff>147636</xdr:rowOff>
    </xdr:from>
    <xdr:to>
      <xdr:col>27</xdr:col>
      <xdr:colOff>942975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366F4-B916-4EBF-A933-9913D68C8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327D-73AB-46B3-B37A-48DC077C4489}">
  <dimension ref="B1:BJ1110"/>
  <sheetViews>
    <sheetView tabSelected="1" topLeftCell="Q1" zoomScale="80" zoomScaleNormal="80" workbookViewId="0">
      <selection activeCell="AT25" sqref="AT25"/>
    </sheetView>
  </sheetViews>
  <sheetFormatPr defaultRowHeight="15" x14ac:dyDescent="0.25"/>
  <cols>
    <col min="2" max="3" width="9.140625" style="1"/>
    <col min="4" max="4" width="9.140625" style="13"/>
    <col min="5" max="5" width="9.140625" style="1"/>
    <col min="6" max="6" width="13.28515625" style="2" bestFit="1" customWidth="1"/>
    <col min="7" max="9" width="9.140625" style="1"/>
    <col min="10" max="10" width="10.42578125" style="14" bestFit="1" customWidth="1"/>
    <col min="11" max="11" width="9.7109375" style="15" bestFit="1" customWidth="1"/>
    <col min="12" max="12" width="9.140625" style="1"/>
    <col min="13" max="20" width="9.140625" style="2"/>
    <col min="22" max="22" width="14" bestFit="1" customWidth="1"/>
    <col min="23" max="23" width="9.140625" style="1"/>
    <col min="24" max="24" width="9.140625" style="2"/>
    <col min="26" max="27" width="9.140625" style="1"/>
    <col min="28" max="28" width="20" bestFit="1" customWidth="1"/>
    <col min="29" max="29" width="9.140625" style="2" customWidth="1"/>
    <col min="30" max="30" width="9.140625" style="1"/>
    <col min="32" max="32" width="19.140625" bestFit="1" customWidth="1"/>
    <col min="33" max="33" width="9.140625" style="1"/>
    <col min="35" max="35" width="10.5703125" bestFit="1" customWidth="1"/>
  </cols>
  <sheetData>
    <row r="1" spans="2:25" x14ac:dyDescent="0.25">
      <c r="D1" s="1"/>
      <c r="F1" s="1"/>
      <c r="J1" s="1"/>
      <c r="K1" s="1"/>
      <c r="S1" s="17"/>
      <c r="V1" s="3"/>
      <c r="Y1" s="1"/>
    </row>
    <row r="2" spans="2:25" x14ac:dyDescent="0.25">
      <c r="C2" s="4" t="s">
        <v>0</v>
      </c>
      <c r="D2" s="32" t="s">
        <v>54</v>
      </c>
      <c r="E2" s="32"/>
      <c r="F2" s="32"/>
      <c r="G2" s="32"/>
      <c r="H2" s="32"/>
      <c r="I2" s="32"/>
      <c r="J2" s="32"/>
      <c r="K2" s="33"/>
      <c r="L2" s="3"/>
      <c r="M2" s="5"/>
      <c r="N2" s="5"/>
      <c r="O2" s="5"/>
      <c r="P2" s="5"/>
      <c r="Q2" s="5"/>
      <c r="R2" s="5"/>
      <c r="S2" s="17" t="s">
        <v>27</v>
      </c>
      <c r="T2" s="5"/>
      <c r="V2" s="3"/>
      <c r="Y2" s="1"/>
    </row>
    <row r="3" spans="2:25" x14ac:dyDescent="0.25">
      <c r="C3" s="6" t="s">
        <v>1</v>
      </c>
      <c r="D3" s="34"/>
      <c r="E3" s="34"/>
      <c r="F3" s="34"/>
      <c r="G3" s="34"/>
      <c r="H3" s="34"/>
      <c r="I3" s="34"/>
      <c r="J3" s="34"/>
      <c r="K3" s="35"/>
      <c r="L3" s="3"/>
      <c r="M3" s="5"/>
      <c r="N3" s="5"/>
      <c r="O3" s="5"/>
      <c r="P3" s="5"/>
      <c r="Q3" s="5"/>
      <c r="R3" s="5"/>
      <c r="S3" s="17" t="s">
        <v>28</v>
      </c>
      <c r="T3" s="5"/>
      <c r="V3" s="3"/>
      <c r="Y3" s="1"/>
    </row>
    <row r="4" spans="2:25" x14ac:dyDescent="0.25">
      <c r="C4" s="10"/>
      <c r="D4" s="3"/>
      <c r="E4" s="3"/>
      <c r="F4" s="3"/>
      <c r="G4" s="3"/>
      <c r="H4" s="3"/>
      <c r="I4" s="3"/>
      <c r="J4" s="3"/>
      <c r="K4" s="3"/>
      <c r="L4" s="3"/>
      <c r="M4" s="5"/>
      <c r="N4" s="5"/>
      <c r="O4" s="5"/>
      <c r="P4" s="5"/>
      <c r="Q4" s="5"/>
      <c r="R4" s="5"/>
      <c r="S4" s="20" t="s">
        <v>29</v>
      </c>
      <c r="T4" s="5"/>
      <c r="V4" s="3"/>
      <c r="Y4" s="1"/>
    </row>
    <row r="5" spans="2:25" x14ac:dyDescent="0.25">
      <c r="C5" s="1">
        <v>1</v>
      </c>
      <c r="D5" s="1">
        <v>2</v>
      </c>
      <c r="E5" s="1">
        <v>3</v>
      </c>
      <c r="F5" s="1">
        <f>E5+1</f>
        <v>4</v>
      </c>
      <c r="G5" s="1">
        <f t="shared" ref="G5:S5" si="0">F5+1</f>
        <v>5</v>
      </c>
      <c r="H5" s="1">
        <f t="shared" si="0"/>
        <v>6</v>
      </c>
      <c r="I5" s="1">
        <f t="shared" si="0"/>
        <v>7</v>
      </c>
      <c r="J5" s="1">
        <f t="shared" si="0"/>
        <v>8</v>
      </c>
      <c r="K5" s="1">
        <f t="shared" si="0"/>
        <v>9</v>
      </c>
      <c r="L5" s="1">
        <f t="shared" si="0"/>
        <v>10</v>
      </c>
      <c r="M5" s="1">
        <f t="shared" si="0"/>
        <v>11</v>
      </c>
      <c r="N5" s="1">
        <f t="shared" si="0"/>
        <v>12</v>
      </c>
      <c r="O5" s="1">
        <f t="shared" si="0"/>
        <v>13</v>
      </c>
      <c r="P5" s="1">
        <f t="shared" si="0"/>
        <v>14</v>
      </c>
      <c r="Q5" s="1">
        <f t="shared" si="0"/>
        <v>15</v>
      </c>
      <c r="R5" s="1">
        <f t="shared" si="0"/>
        <v>16</v>
      </c>
      <c r="S5" s="1">
        <f t="shared" si="0"/>
        <v>17</v>
      </c>
      <c r="V5" s="3"/>
      <c r="Y5" s="1"/>
    </row>
    <row r="6" spans="2:25" x14ac:dyDescent="0.25">
      <c r="C6" s="7" t="s">
        <v>2</v>
      </c>
      <c r="D6" s="8" t="s">
        <v>3</v>
      </c>
      <c r="E6" s="8" t="s">
        <v>4</v>
      </c>
      <c r="F6" s="8" t="s">
        <v>5</v>
      </c>
      <c r="G6" s="8" t="s">
        <v>4</v>
      </c>
      <c r="H6" s="8" t="s">
        <v>6</v>
      </c>
      <c r="I6" s="8" t="s">
        <v>7</v>
      </c>
      <c r="J6" s="8" t="s">
        <v>8</v>
      </c>
      <c r="K6" s="9" t="s">
        <v>9</v>
      </c>
      <c r="L6" s="10"/>
      <c r="M6" s="11" t="s">
        <v>10</v>
      </c>
      <c r="N6" s="12"/>
      <c r="O6" s="12"/>
      <c r="P6" s="12"/>
      <c r="Q6" s="12" t="s">
        <v>24</v>
      </c>
      <c r="R6" s="12" t="s">
        <v>25</v>
      </c>
      <c r="S6" s="12" t="s">
        <v>26</v>
      </c>
      <c r="T6" s="12"/>
      <c r="V6" s="16"/>
      <c r="W6" s="10"/>
      <c r="X6" s="12"/>
      <c r="Y6" s="16"/>
    </row>
    <row r="7" spans="2:25" x14ac:dyDescent="0.25">
      <c r="B7" s="1">
        <v>1</v>
      </c>
      <c r="L7" s="15"/>
      <c r="O7" s="2">
        <f>M7-$X$23</f>
        <v>0</v>
      </c>
      <c r="P7" s="2" t="e">
        <f>O7*$AC$21+$Y$23</f>
        <v>#DIV/0!</v>
      </c>
      <c r="Q7" s="2">
        <f>((D7+D8)/2)*(M8-M7)</f>
        <v>0</v>
      </c>
      <c r="R7" s="2" t="e">
        <f>((P7+P8)/2)*(O8-O7)</f>
        <v>#DIV/0!</v>
      </c>
      <c r="S7" s="2" t="e">
        <f>Q7-R7</f>
        <v>#DIV/0!</v>
      </c>
      <c r="V7" s="16"/>
      <c r="W7" s="10"/>
      <c r="X7" s="12"/>
      <c r="Y7" s="16"/>
    </row>
    <row r="8" spans="2:25" x14ac:dyDescent="0.25">
      <c r="B8" s="1">
        <f>B7+1</f>
        <v>2</v>
      </c>
      <c r="L8" s="15"/>
      <c r="O8" s="2">
        <f t="shared" ref="O8:O71" si="1">M8-$X$23</f>
        <v>0</v>
      </c>
      <c r="P8" s="2" t="e">
        <f t="shared" ref="P8:P71" si="2">O8*$AC$21+$Y$23</f>
        <v>#DIV/0!</v>
      </c>
      <c r="Q8" s="2">
        <f t="shared" ref="Q8:Q71" si="3">((D8+D9)/2)*(M9-M8)</f>
        <v>0</v>
      </c>
      <c r="R8" s="2" t="e">
        <f t="shared" ref="R8:R71" si="4">((P8+P9)/2)*(O9-O8)</f>
        <v>#DIV/0!</v>
      </c>
      <c r="S8" s="2" t="e">
        <f t="shared" ref="S8:S71" si="5">Q8-R8</f>
        <v>#DIV/0!</v>
      </c>
      <c r="V8" s="16"/>
      <c r="W8" s="10"/>
      <c r="X8" s="12"/>
      <c r="Y8" s="16"/>
    </row>
    <row r="9" spans="2:25" x14ac:dyDescent="0.25">
      <c r="B9" s="1">
        <f t="shared" ref="B9:B72" si="6">B8+1</f>
        <v>3</v>
      </c>
      <c r="L9" s="15"/>
      <c r="O9" s="2">
        <f t="shared" si="1"/>
        <v>0</v>
      </c>
      <c r="P9" s="2" t="e">
        <f t="shared" si="2"/>
        <v>#DIV/0!</v>
      </c>
      <c r="Q9" s="2">
        <f t="shared" si="3"/>
        <v>0</v>
      </c>
      <c r="R9" s="2" t="e">
        <f t="shared" si="4"/>
        <v>#DIV/0!</v>
      </c>
      <c r="S9" s="2" t="e">
        <f t="shared" si="5"/>
        <v>#DIV/0!</v>
      </c>
      <c r="V9" s="16"/>
      <c r="W9" s="10"/>
      <c r="X9" s="12"/>
      <c r="Y9" s="16"/>
    </row>
    <row r="10" spans="2:25" x14ac:dyDescent="0.25">
      <c r="B10" s="1">
        <f t="shared" si="6"/>
        <v>4</v>
      </c>
      <c r="L10" s="15"/>
      <c r="O10" s="2">
        <f t="shared" si="1"/>
        <v>0</v>
      </c>
      <c r="P10" s="2" t="e">
        <f t="shared" si="2"/>
        <v>#DIV/0!</v>
      </c>
      <c r="Q10" s="2">
        <f t="shared" si="3"/>
        <v>0</v>
      </c>
      <c r="R10" s="2" t="e">
        <f t="shared" si="4"/>
        <v>#DIV/0!</v>
      </c>
      <c r="S10" s="2" t="e">
        <f t="shared" si="5"/>
        <v>#DIV/0!</v>
      </c>
      <c r="V10" s="16"/>
      <c r="W10" s="10"/>
      <c r="X10" s="12"/>
      <c r="Y10" s="16"/>
    </row>
    <row r="11" spans="2:25" x14ac:dyDescent="0.25">
      <c r="B11" s="1">
        <f t="shared" si="6"/>
        <v>5</v>
      </c>
      <c r="L11" s="15"/>
      <c r="O11" s="2">
        <f t="shared" si="1"/>
        <v>0</v>
      </c>
      <c r="P11" s="2" t="e">
        <f t="shared" si="2"/>
        <v>#DIV/0!</v>
      </c>
      <c r="Q11" s="2">
        <f t="shared" si="3"/>
        <v>0</v>
      </c>
      <c r="R11" s="2" t="e">
        <f t="shared" si="4"/>
        <v>#DIV/0!</v>
      </c>
      <c r="S11" s="2" t="e">
        <f t="shared" si="5"/>
        <v>#DIV/0!</v>
      </c>
      <c r="V11" s="16"/>
      <c r="W11" s="10"/>
      <c r="X11" s="12"/>
      <c r="Y11" s="16"/>
    </row>
    <row r="12" spans="2:25" x14ac:dyDescent="0.25">
      <c r="B12" s="1">
        <f t="shared" si="6"/>
        <v>6</v>
      </c>
      <c r="L12" s="15"/>
      <c r="O12" s="2">
        <f t="shared" si="1"/>
        <v>0</v>
      </c>
      <c r="P12" s="2" t="e">
        <f t="shared" si="2"/>
        <v>#DIV/0!</v>
      </c>
      <c r="Q12" s="2">
        <f t="shared" si="3"/>
        <v>0</v>
      </c>
      <c r="R12" s="2" t="e">
        <f t="shared" si="4"/>
        <v>#DIV/0!</v>
      </c>
      <c r="S12" s="2" t="e">
        <f t="shared" si="5"/>
        <v>#DIV/0!</v>
      </c>
      <c r="V12" s="16"/>
      <c r="W12" s="10"/>
      <c r="X12" s="12"/>
      <c r="Y12" s="16"/>
    </row>
    <row r="13" spans="2:25" x14ac:dyDescent="0.25">
      <c r="B13" s="1">
        <f t="shared" si="6"/>
        <v>7</v>
      </c>
      <c r="L13" s="15"/>
      <c r="O13" s="2">
        <f t="shared" si="1"/>
        <v>0</v>
      </c>
      <c r="P13" s="2" t="e">
        <f t="shared" si="2"/>
        <v>#DIV/0!</v>
      </c>
      <c r="Q13" s="2">
        <f t="shared" si="3"/>
        <v>0</v>
      </c>
      <c r="R13" s="2" t="e">
        <f t="shared" si="4"/>
        <v>#DIV/0!</v>
      </c>
      <c r="S13" s="2" t="e">
        <f t="shared" si="5"/>
        <v>#DIV/0!</v>
      </c>
      <c r="V13" s="16"/>
      <c r="W13" s="10"/>
      <c r="X13" s="12"/>
      <c r="Y13" s="16"/>
    </row>
    <row r="14" spans="2:25" x14ac:dyDescent="0.25">
      <c r="B14" s="1">
        <f t="shared" si="6"/>
        <v>8</v>
      </c>
      <c r="L14" s="15"/>
      <c r="O14" s="2">
        <f t="shared" si="1"/>
        <v>0</v>
      </c>
      <c r="P14" s="2" t="e">
        <f t="shared" si="2"/>
        <v>#DIV/0!</v>
      </c>
      <c r="Q14" s="2">
        <f t="shared" si="3"/>
        <v>0</v>
      </c>
      <c r="R14" s="2" t="e">
        <f t="shared" si="4"/>
        <v>#DIV/0!</v>
      </c>
      <c r="S14" s="2" t="e">
        <f t="shared" si="5"/>
        <v>#DIV/0!</v>
      </c>
      <c r="V14" s="16"/>
      <c r="W14" s="10"/>
      <c r="X14" s="12"/>
      <c r="Y14" s="16"/>
    </row>
    <row r="15" spans="2:25" x14ac:dyDescent="0.25">
      <c r="B15" s="1">
        <f t="shared" si="6"/>
        <v>9</v>
      </c>
      <c r="L15" s="15"/>
      <c r="O15" s="2">
        <f t="shared" si="1"/>
        <v>0</v>
      </c>
      <c r="P15" s="2" t="e">
        <f t="shared" si="2"/>
        <v>#DIV/0!</v>
      </c>
      <c r="Q15" s="2">
        <f t="shared" si="3"/>
        <v>0</v>
      </c>
      <c r="R15" s="2" t="e">
        <f t="shared" si="4"/>
        <v>#DIV/0!</v>
      </c>
      <c r="S15" s="2" t="e">
        <f t="shared" si="5"/>
        <v>#DIV/0!</v>
      </c>
      <c r="V15" s="16"/>
      <c r="W15" s="10"/>
      <c r="X15" s="12"/>
      <c r="Y15" s="16"/>
    </row>
    <row r="16" spans="2:25" x14ac:dyDescent="0.25">
      <c r="B16" s="1">
        <f t="shared" si="6"/>
        <v>10</v>
      </c>
      <c r="L16" s="15"/>
      <c r="O16" s="2">
        <f t="shared" si="1"/>
        <v>0</v>
      </c>
      <c r="P16" s="2" t="e">
        <f t="shared" si="2"/>
        <v>#DIV/0!</v>
      </c>
      <c r="Q16" s="2">
        <f t="shared" si="3"/>
        <v>0</v>
      </c>
      <c r="R16" s="2" t="e">
        <f t="shared" si="4"/>
        <v>#DIV/0!</v>
      </c>
      <c r="S16" s="2" t="e">
        <f t="shared" si="5"/>
        <v>#DIV/0!</v>
      </c>
      <c r="V16" s="16"/>
      <c r="W16" s="10"/>
      <c r="X16" s="12"/>
      <c r="Y16" s="16"/>
    </row>
    <row r="17" spans="2:62" x14ac:dyDescent="0.25">
      <c r="B17" s="1">
        <f t="shared" si="6"/>
        <v>11</v>
      </c>
      <c r="L17" s="15"/>
      <c r="O17" s="2">
        <f t="shared" si="1"/>
        <v>0</v>
      </c>
      <c r="P17" s="2" t="e">
        <f t="shared" si="2"/>
        <v>#DIV/0!</v>
      </c>
      <c r="Q17" s="2">
        <f t="shared" si="3"/>
        <v>0</v>
      </c>
      <c r="R17" s="2" t="e">
        <f t="shared" si="4"/>
        <v>#DIV/0!</v>
      </c>
      <c r="S17" s="2" t="e">
        <f t="shared" si="5"/>
        <v>#DIV/0!</v>
      </c>
      <c r="V17" s="3"/>
      <c r="Y17" s="1"/>
    </row>
    <row r="18" spans="2:62" x14ac:dyDescent="0.25">
      <c r="B18" s="1">
        <f t="shared" si="6"/>
        <v>12</v>
      </c>
      <c r="L18" s="15"/>
      <c r="O18" s="2">
        <f t="shared" si="1"/>
        <v>0</v>
      </c>
      <c r="P18" s="2" t="e">
        <f t="shared" si="2"/>
        <v>#DIV/0!</v>
      </c>
      <c r="Q18" s="2">
        <f t="shared" si="3"/>
        <v>0</v>
      </c>
      <c r="R18" s="2" t="e">
        <f t="shared" si="4"/>
        <v>#DIV/0!</v>
      </c>
      <c r="S18" s="2" t="e">
        <f t="shared" si="5"/>
        <v>#DIV/0!</v>
      </c>
      <c r="V18" s="3"/>
      <c r="Y18" s="1"/>
    </row>
    <row r="19" spans="2:62" x14ac:dyDescent="0.25">
      <c r="B19" s="1">
        <f t="shared" si="6"/>
        <v>13</v>
      </c>
      <c r="L19" s="15"/>
      <c r="O19" s="2">
        <f t="shared" si="1"/>
        <v>0</v>
      </c>
      <c r="P19" s="2" t="e">
        <f t="shared" si="2"/>
        <v>#DIV/0!</v>
      </c>
      <c r="Q19" s="2">
        <f t="shared" si="3"/>
        <v>0</v>
      </c>
      <c r="R19" s="2" t="e">
        <f t="shared" si="4"/>
        <v>#DIV/0!</v>
      </c>
      <c r="S19" s="2" t="e">
        <f t="shared" si="5"/>
        <v>#DIV/0!</v>
      </c>
      <c r="V19" s="3"/>
      <c r="Y19" s="1"/>
    </row>
    <row r="20" spans="2:62" x14ac:dyDescent="0.25">
      <c r="B20" s="1">
        <f t="shared" si="6"/>
        <v>14</v>
      </c>
      <c r="L20" s="15"/>
      <c r="O20" s="2">
        <f t="shared" si="1"/>
        <v>0</v>
      </c>
      <c r="P20" s="2" t="e">
        <f t="shared" si="2"/>
        <v>#DIV/0!</v>
      </c>
      <c r="Q20" s="2">
        <f t="shared" si="3"/>
        <v>0</v>
      </c>
      <c r="R20" s="2" t="e">
        <f t="shared" si="4"/>
        <v>#DIV/0!</v>
      </c>
      <c r="S20" s="2" t="e">
        <f t="shared" si="5"/>
        <v>#DIV/0!</v>
      </c>
      <c r="V20" s="3"/>
      <c r="Y20" s="1"/>
    </row>
    <row r="21" spans="2:62" x14ac:dyDescent="0.25">
      <c r="B21" s="1">
        <f t="shared" si="6"/>
        <v>15</v>
      </c>
      <c r="L21" s="15"/>
      <c r="O21" s="2">
        <f t="shared" si="1"/>
        <v>0</v>
      </c>
      <c r="P21" s="2" t="e">
        <f t="shared" si="2"/>
        <v>#DIV/0!</v>
      </c>
      <c r="Q21" s="2">
        <f t="shared" si="3"/>
        <v>0</v>
      </c>
      <c r="R21" s="2" t="e">
        <f t="shared" si="4"/>
        <v>#DIV/0!</v>
      </c>
      <c r="S21" s="2" t="e">
        <f t="shared" si="5"/>
        <v>#DIV/0!</v>
      </c>
      <c r="V21" s="3"/>
      <c r="Y21" s="1"/>
      <c r="AB21" t="s">
        <v>55</v>
      </c>
      <c r="AC21" s="2" t="e">
        <f>($Y$59-$Y$23)/($X$59-$X$23)</f>
        <v>#DIV/0!</v>
      </c>
      <c r="AF21" t="s">
        <v>23</v>
      </c>
      <c r="AG21" s="3" t="s">
        <v>119</v>
      </c>
      <c r="AI21" s="29" t="s">
        <v>97</v>
      </c>
      <c r="AJ21" s="30"/>
      <c r="AK21" s="30"/>
      <c r="AL21" s="30"/>
      <c r="AM21" s="31"/>
      <c r="AN21" s="29" t="s">
        <v>98</v>
      </c>
      <c r="AO21" s="30"/>
      <c r="AP21" s="30"/>
      <c r="AQ21" s="30"/>
      <c r="AR21" s="30"/>
      <c r="AS21" s="30"/>
      <c r="AT21" s="30"/>
      <c r="AU21" s="30"/>
      <c r="AV21" s="31"/>
      <c r="AW21" s="29" t="s">
        <v>99</v>
      </c>
      <c r="AX21" s="30"/>
      <c r="AY21" s="30"/>
      <c r="AZ21" s="30"/>
      <c r="BA21" s="30"/>
      <c r="BB21" s="30"/>
      <c r="BC21" s="30"/>
      <c r="BD21" s="30"/>
      <c r="BE21" s="31"/>
      <c r="BF21" s="29" t="s">
        <v>100</v>
      </c>
      <c r="BG21" s="30"/>
      <c r="BH21" s="30"/>
      <c r="BI21" s="30"/>
      <c r="BJ21" s="31"/>
    </row>
    <row r="22" spans="2:62" x14ac:dyDescent="0.25">
      <c r="B22" s="1">
        <f t="shared" si="6"/>
        <v>16</v>
      </c>
      <c r="L22" s="15"/>
      <c r="O22" s="2">
        <f t="shared" si="1"/>
        <v>0</v>
      </c>
      <c r="P22" s="2" t="e">
        <f t="shared" si="2"/>
        <v>#DIV/0!</v>
      </c>
      <c r="Q22" s="2">
        <f t="shared" si="3"/>
        <v>0</v>
      </c>
      <c r="R22" s="2" t="e">
        <f t="shared" si="4"/>
        <v>#DIV/0!</v>
      </c>
      <c r="S22" s="2" t="e">
        <f t="shared" si="5"/>
        <v>#DIV/0!</v>
      </c>
      <c r="V22" s="3"/>
      <c r="Y22" s="1"/>
      <c r="Z22" s="1" t="s">
        <v>38</v>
      </c>
      <c r="AA22" s="1" t="s">
        <v>39</v>
      </c>
      <c r="AI22" s="27" t="s">
        <v>101</v>
      </c>
      <c r="AJ22" s="27" t="s">
        <v>102</v>
      </c>
      <c r="AK22" s="27" t="s">
        <v>103</v>
      </c>
      <c r="AL22" s="27" t="s">
        <v>104</v>
      </c>
      <c r="AM22" s="26" t="s">
        <v>105</v>
      </c>
      <c r="AN22" s="27" t="s">
        <v>101</v>
      </c>
      <c r="AO22" s="27" t="s">
        <v>102</v>
      </c>
      <c r="AP22" s="27" t="s">
        <v>106</v>
      </c>
      <c r="AQ22" s="27" t="s">
        <v>106</v>
      </c>
      <c r="AR22" s="26" t="s">
        <v>103</v>
      </c>
      <c r="AS22" s="27" t="s">
        <v>101</v>
      </c>
      <c r="AT22" s="26" t="s">
        <v>103</v>
      </c>
      <c r="AU22" s="27" t="s">
        <v>101</v>
      </c>
      <c r="AV22" s="26" t="s">
        <v>103</v>
      </c>
      <c r="AW22" s="28" t="s">
        <v>101</v>
      </c>
      <c r="AX22" s="27" t="s">
        <v>102</v>
      </c>
      <c r="AY22" s="27" t="s">
        <v>106</v>
      </c>
      <c r="AZ22" s="27" t="s">
        <v>106</v>
      </c>
      <c r="BA22" s="26" t="s">
        <v>103</v>
      </c>
      <c r="BB22" s="27" t="s">
        <v>101</v>
      </c>
      <c r="BC22" s="26" t="s">
        <v>103</v>
      </c>
      <c r="BD22" s="27" t="s">
        <v>101</v>
      </c>
      <c r="BE22" s="26" t="s">
        <v>103</v>
      </c>
      <c r="BF22" s="27" t="s">
        <v>101</v>
      </c>
      <c r="BG22" s="27" t="s">
        <v>102</v>
      </c>
      <c r="BH22" s="26" t="s">
        <v>103</v>
      </c>
      <c r="BI22" s="27" t="s">
        <v>104</v>
      </c>
      <c r="BJ22" s="26" t="s">
        <v>105</v>
      </c>
    </row>
    <row r="23" spans="2:62" x14ac:dyDescent="0.25">
      <c r="B23" s="1">
        <f t="shared" si="6"/>
        <v>17</v>
      </c>
      <c r="L23" s="15"/>
      <c r="O23" s="2">
        <f t="shared" si="1"/>
        <v>0</v>
      </c>
      <c r="P23" s="2" t="e">
        <f t="shared" si="2"/>
        <v>#DIV/0!</v>
      </c>
      <c r="Q23" s="2">
        <f t="shared" si="3"/>
        <v>0</v>
      </c>
      <c r="R23" s="2" t="e">
        <f t="shared" si="4"/>
        <v>#DIV/0!</v>
      </c>
      <c r="S23" s="2" t="e">
        <f t="shared" si="5"/>
        <v>#DIV/0!</v>
      </c>
      <c r="V23" s="3"/>
      <c r="W23" s="1" t="s">
        <v>15</v>
      </c>
      <c r="X23" s="22"/>
      <c r="Y23" s="25">
        <f>_xlfn.XLOOKUP(X23,M$7:M$2001,D$7:D$2001,0,-1)</f>
        <v>0</v>
      </c>
      <c r="Z23" s="1" cm="1">
        <f t="array" aca="1" ref="Z23" ca="1">CELL("row",_xlfn.XLOOKUP(X23,M$7:M$2001,D$7:D$2001,0,-1))</f>
        <v>7</v>
      </c>
      <c r="AA23" s="1">
        <f ca="1">Z23-6</f>
        <v>1</v>
      </c>
      <c r="AB23" t="s">
        <v>66</v>
      </c>
      <c r="AC23" s="2" t="e">
        <f ca="1">SUM(INDEX(C7:S1000,AA23,17):(INDEX(C7:S1000,AA24,17)))</f>
        <v>#VALUE!</v>
      </c>
      <c r="AD23" s="1">
        <v>17</v>
      </c>
      <c r="AE23" t="s">
        <v>40</v>
      </c>
      <c r="AF23" t="s">
        <v>32</v>
      </c>
      <c r="AG23" s="1" t="s">
        <v>12</v>
      </c>
      <c r="AI23" s="28" t="s">
        <v>107</v>
      </c>
      <c r="AJ23" s="28" t="s">
        <v>108</v>
      </c>
      <c r="AK23" s="28" t="s">
        <v>109</v>
      </c>
      <c r="AL23" s="28" t="s">
        <v>110</v>
      </c>
      <c r="AM23" s="28" t="s">
        <v>111</v>
      </c>
      <c r="AN23" s="28" t="s">
        <v>107</v>
      </c>
      <c r="AO23" s="28" t="s">
        <v>108</v>
      </c>
      <c r="AP23" s="28" t="s">
        <v>112</v>
      </c>
      <c r="AQ23" s="28" t="s">
        <v>113</v>
      </c>
      <c r="AR23" s="28" t="s">
        <v>109</v>
      </c>
      <c r="AS23" s="28" t="s">
        <v>114</v>
      </c>
      <c r="AT23" s="28" t="s">
        <v>115</v>
      </c>
      <c r="AU23" s="28" t="s">
        <v>116</v>
      </c>
      <c r="AV23" s="28" t="s">
        <v>117</v>
      </c>
      <c r="AW23" s="28" t="s">
        <v>107</v>
      </c>
      <c r="AX23" s="28" t="s">
        <v>108</v>
      </c>
      <c r="AY23" s="28" t="s">
        <v>112</v>
      </c>
      <c r="AZ23" s="28" t="s">
        <v>113</v>
      </c>
      <c r="BA23" s="28" t="s">
        <v>118</v>
      </c>
      <c r="BB23" s="28" t="s">
        <v>114</v>
      </c>
      <c r="BC23" s="28" t="s">
        <v>115</v>
      </c>
      <c r="BD23" s="28" t="s">
        <v>116</v>
      </c>
      <c r="BE23" s="28" t="s">
        <v>117</v>
      </c>
      <c r="BF23" s="28" t="s">
        <v>107</v>
      </c>
      <c r="BG23" s="28" t="s">
        <v>108</v>
      </c>
      <c r="BH23" s="28" t="s">
        <v>109</v>
      </c>
      <c r="BI23" s="28" t="s">
        <v>110</v>
      </c>
      <c r="BJ23" s="28" t="s">
        <v>111</v>
      </c>
    </row>
    <row r="24" spans="2:62" x14ac:dyDescent="0.25">
      <c r="B24" s="1">
        <f t="shared" si="6"/>
        <v>18</v>
      </c>
      <c r="L24" s="15"/>
      <c r="O24" s="2">
        <f t="shared" si="1"/>
        <v>0</v>
      </c>
      <c r="P24" s="2" t="e">
        <f t="shared" si="2"/>
        <v>#DIV/0!</v>
      </c>
      <c r="Q24" s="2">
        <f t="shared" si="3"/>
        <v>0</v>
      </c>
      <c r="R24" s="2" t="e">
        <f t="shared" si="4"/>
        <v>#DIV/0!</v>
      </c>
      <c r="S24" s="2" t="e">
        <f t="shared" si="5"/>
        <v>#DIV/0!</v>
      </c>
      <c r="W24" s="1" t="s">
        <v>16</v>
      </c>
      <c r="X24" s="2">
        <f>X28</f>
        <v>0</v>
      </c>
      <c r="Y24" s="1">
        <f>_xlfn.XLOOKUP(X24,M$7:M$2001,D$7:D$2001,0,-1)</f>
        <v>0</v>
      </c>
      <c r="Z24" s="1" t="e" cm="1">
        <f t="array" aca="1" ref="Z24" ca="1">CELL("row",_xlfn.XLOOKUP(X24,M$7:M$2001,D$7:D$2001,0,-1))</f>
        <v>#VALUE!</v>
      </c>
      <c r="AA24" s="1" t="e">
        <f t="shared" ref="AA24:AA58" ca="1" si="7">Z24-6</f>
        <v>#VALUE!</v>
      </c>
      <c r="AB24" t="s">
        <v>85</v>
      </c>
      <c r="AC24" s="2">
        <f>X24-X23</f>
        <v>0</v>
      </c>
      <c r="AF24" t="s">
        <v>48</v>
      </c>
      <c r="AG24" s="2" t="e">
        <f ca="1">X32</f>
        <v>#VALUE!</v>
      </c>
      <c r="AI24" s="2">
        <f>AC24</f>
        <v>0</v>
      </c>
      <c r="AJ24" s="2" t="e">
        <f>AC25</f>
        <v>#DIV/0!</v>
      </c>
      <c r="AK24" s="2" t="e">
        <f ca="1">AC23</f>
        <v>#VALUE!</v>
      </c>
      <c r="AL24" s="2"/>
      <c r="AM24" s="2"/>
      <c r="AN24" s="2">
        <f>AC32</f>
        <v>0</v>
      </c>
      <c r="AO24" s="2" t="e">
        <f>AC33</f>
        <v>#DIV/0!</v>
      </c>
      <c r="AP24" s="2" t="e">
        <f ca="1">AC30</f>
        <v>#VALUE!</v>
      </c>
      <c r="AQ24" s="2" t="e">
        <f ca="1">AC31</f>
        <v>#VALUE!</v>
      </c>
      <c r="AR24" s="2" t="e">
        <f ca="1">AC28</f>
        <v>#VALUE!</v>
      </c>
      <c r="AS24" s="2" t="e">
        <f ca="1">AC34</f>
        <v>#VALUE!</v>
      </c>
      <c r="AT24" s="2" t="e">
        <f ca="1">AC35</f>
        <v>#VALUE!</v>
      </c>
      <c r="AU24" s="2" t="e">
        <f ca="1">AC38</f>
        <v>#VALUE!</v>
      </c>
      <c r="AV24" s="2" t="e">
        <f ca="1">AC39</f>
        <v>#VALUE!</v>
      </c>
      <c r="AW24" s="2">
        <f>AC47</f>
        <v>0</v>
      </c>
      <c r="AX24" s="2" t="e">
        <f>AC48</f>
        <v>#DIV/0!</v>
      </c>
      <c r="AY24" s="2" t="e">
        <f ca="1">AC45</f>
        <v>#VALUE!</v>
      </c>
      <c r="AZ24" s="2" t="e">
        <f ca="1">AC46</f>
        <v>#VALUE!</v>
      </c>
      <c r="BA24" s="2" t="e">
        <f ca="1">AC43</f>
        <v>#VALUE!</v>
      </c>
      <c r="BB24" s="2" t="e">
        <f ca="1">AC49</f>
        <v>#VALUE!</v>
      </c>
      <c r="BC24" s="2" t="e">
        <f ca="1">AC50</f>
        <v>#VALUE!</v>
      </c>
      <c r="BD24" s="2" t="e">
        <f ca="1">AC53</f>
        <v>#VALUE!</v>
      </c>
      <c r="BE24" s="2" t="e">
        <f ca="1">AC54</f>
        <v>#VALUE!</v>
      </c>
      <c r="BF24" s="2">
        <f>AC59</f>
        <v>0</v>
      </c>
      <c r="BG24" s="2" t="e">
        <f>AC60</f>
        <v>#DIV/0!</v>
      </c>
      <c r="BH24" s="2" t="e">
        <f ca="1">AC58</f>
        <v>#DIV/0!</v>
      </c>
      <c r="BI24" s="2"/>
      <c r="BJ24" s="2"/>
    </row>
    <row r="25" spans="2:62" x14ac:dyDescent="0.25">
      <c r="B25" s="1">
        <f t="shared" si="6"/>
        <v>19</v>
      </c>
      <c r="L25" s="15"/>
      <c r="O25" s="2">
        <f t="shared" si="1"/>
        <v>0</v>
      </c>
      <c r="P25" s="2" t="e">
        <f t="shared" si="2"/>
        <v>#DIV/0!</v>
      </c>
      <c r="Q25" s="2">
        <f t="shared" si="3"/>
        <v>0</v>
      </c>
      <c r="R25" s="2" t="e">
        <f t="shared" si="4"/>
        <v>#DIV/0!</v>
      </c>
      <c r="S25" s="2" t="e">
        <f t="shared" si="5"/>
        <v>#DIV/0!</v>
      </c>
      <c r="Y25" s="1"/>
      <c r="AB25" t="s">
        <v>56</v>
      </c>
      <c r="AC25" s="2" t="e">
        <f>(AC24)/(AC24+AC32+AC47+AC59) *100</f>
        <v>#DIV/0!</v>
      </c>
      <c r="AF25" t="s">
        <v>50</v>
      </c>
    </row>
    <row r="26" spans="2:62" x14ac:dyDescent="0.25">
      <c r="B26" s="1">
        <f t="shared" si="6"/>
        <v>20</v>
      </c>
      <c r="L26" s="15"/>
      <c r="O26" s="2">
        <f t="shared" si="1"/>
        <v>0</v>
      </c>
      <c r="P26" s="2" t="e">
        <f t="shared" si="2"/>
        <v>#DIV/0!</v>
      </c>
      <c r="Q26" s="2">
        <f t="shared" si="3"/>
        <v>0</v>
      </c>
      <c r="R26" s="2" t="e">
        <f t="shared" si="4"/>
        <v>#DIV/0!</v>
      </c>
      <c r="S26" s="2" t="e">
        <f t="shared" si="5"/>
        <v>#DIV/0!</v>
      </c>
      <c r="Y26" s="1"/>
    </row>
    <row r="27" spans="2:62" x14ac:dyDescent="0.25">
      <c r="B27" s="1">
        <f t="shared" si="6"/>
        <v>21</v>
      </c>
      <c r="L27" s="15"/>
      <c r="O27" s="2">
        <f t="shared" si="1"/>
        <v>0</v>
      </c>
      <c r="P27" s="2" t="e">
        <f t="shared" si="2"/>
        <v>#DIV/0!</v>
      </c>
      <c r="Q27" s="2">
        <f t="shared" si="3"/>
        <v>0</v>
      </c>
      <c r="R27" s="2" t="e">
        <f t="shared" si="4"/>
        <v>#DIV/0!</v>
      </c>
      <c r="S27" s="2" t="e">
        <f t="shared" si="5"/>
        <v>#DIV/0!</v>
      </c>
      <c r="Y27" s="1"/>
    </row>
    <row r="28" spans="2:62" x14ac:dyDescent="0.25">
      <c r="B28" s="1">
        <f t="shared" si="6"/>
        <v>22</v>
      </c>
      <c r="L28" s="15"/>
      <c r="O28" s="2">
        <f t="shared" si="1"/>
        <v>0</v>
      </c>
      <c r="P28" s="2" t="e">
        <f t="shared" si="2"/>
        <v>#DIV/0!</v>
      </c>
      <c r="Q28" s="2">
        <f t="shared" si="3"/>
        <v>0</v>
      </c>
      <c r="R28" s="2" t="e">
        <f t="shared" si="4"/>
        <v>#DIV/0!</v>
      </c>
      <c r="S28" s="2" t="e">
        <f t="shared" si="5"/>
        <v>#DIV/0!</v>
      </c>
      <c r="W28" s="1" t="s">
        <v>17</v>
      </c>
      <c r="X28" s="22"/>
      <c r="Y28" s="18">
        <f>_xlfn.XLOOKUP(X28,M$7:M$2001,D$7:D$2001,0,-1)</f>
        <v>0</v>
      </c>
      <c r="Z28" s="1" cm="1">
        <f t="array" aca="1" ref="Z28" ca="1">CELL("row",_xlfn.XLOOKUP(X28,M$7:M$2001,D$7:D$2001,0,-1))</f>
        <v>7</v>
      </c>
      <c r="AA28" s="1">
        <f t="shared" ca="1" si="7"/>
        <v>1</v>
      </c>
      <c r="AB28" t="s">
        <v>57</v>
      </c>
      <c r="AC28" s="2" t="e">
        <f ca="1">SUM(INDEX(C7:S1000,AA28,17):(INDEX(C7:S1000,AA29,17)))</f>
        <v>#VALUE!</v>
      </c>
      <c r="AD28" s="1">
        <v>16</v>
      </c>
      <c r="AE28" t="s">
        <v>35</v>
      </c>
      <c r="AF28" t="s">
        <v>30</v>
      </c>
    </row>
    <row r="29" spans="2:62" x14ac:dyDescent="0.25">
      <c r="B29" s="1">
        <f t="shared" si="6"/>
        <v>23</v>
      </c>
      <c r="L29" s="15"/>
      <c r="O29" s="2">
        <f t="shared" si="1"/>
        <v>0</v>
      </c>
      <c r="P29" s="2" t="e">
        <f t="shared" si="2"/>
        <v>#DIV/0!</v>
      </c>
      <c r="Q29" s="2">
        <f t="shared" si="3"/>
        <v>0</v>
      </c>
      <c r="R29" s="2" t="e">
        <f t="shared" si="4"/>
        <v>#DIV/0!</v>
      </c>
      <c r="S29" s="2" t="e">
        <f t="shared" si="5"/>
        <v>#DIV/0!</v>
      </c>
      <c r="W29" s="1" t="s">
        <v>18</v>
      </c>
      <c r="X29" s="2">
        <f>X43</f>
        <v>0</v>
      </c>
      <c r="Y29" s="21">
        <f>_xlfn.XLOOKUP(X29,M$7:M$2001,D$7:D$2001,0,-1)</f>
        <v>0</v>
      </c>
      <c r="Z29" s="1" t="e" cm="1">
        <f t="array" aca="1" ref="Z29" ca="1">CELL("row",_xlfn.XLOOKUP(X29,M$7:M$2001,D$7:D$2001,0,-1))</f>
        <v>#VALUE!</v>
      </c>
      <c r="AA29" s="1" t="e">
        <f t="shared" ca="1" si="7"/>
        <v>#VALUE!</v>
      </c>
      <c r="AB29" t="s">
        <v>58</v>
      </c>
      <c r="AC29" s="2" t="e">
        <f ca="1">MAX(INDEX(C7:S1000,AA28,2):(INDEX(C7:S1000,AA29,2)))</f>
        <v>#VALUE!</v>
      </c>
      <c r="AD29" s="1">
        <v>2</v>
      </c>
      <c r="AE29" t="s">
        <v>43</v>
      </c>
      <c r="AF29" t="s">
        <v>34</v>
      </c>
    </row>
    <row r="30" spans="2:62" x14ac:dyDescent="0.25">
      <c r="B30" s="1">
        <f t="shared" si="6"/>
        <v>24</v>
      </c>
      <c r="L30" s="15"/>
      <c r="O30" s="2">
        <f t="shared" si="1"/>
        <v>0</v>
      </c>
      <c r="P30" s="2" t="e">
        <f t="shared" si="2"/>
        <v>#DIV/0!</v>
      </c>
      <c r="Q30" s="2">
        <f t="shared" si="3"/>
        <v>0</v>
      </c>
      <c r="R30" s="2" t="e">
        <f t="shared" si="4"/>
        <v>#DIV/0!</v>
      </c>
      <c r="S30" s="2" t="e">
        <f t="shared" si="5"/>
        <v>#DIV/0!</v>
      </c>
      <c r="Y30" s="1"/>
      <c r="AB30" t="s">
        <v>59</v>
      </c>
      <c r="AC30" s="2" t="e">
        <f ca="1">AC29-_xlfn.XLOOKUP(AC29,D2:D1000,P2:P1000)</f>
        <v>#VALUE!</v>
      </c>
      <c r="AD30" s="1" t="s">
        <v>42</v>
      </c>
      <c r="AE30" t="s">
        <v>41</v>
      </c>
      <c r="AF30" t="s">
        <v>44</v>
      </c>
    </row>
    <row r="31" spans="2:62" x14ac:dyDescent="0.25">
      <c r="B31" s="1">
        <f t="shared" si="6"/>
        <v>25</v>
      </c>
      <c r="L31" s="15"/>
      <c r="O31" s="2">
        <f t="shared" si="1"/>
        <v>0</v>
      </c>
      <c r="P31" s="2" t="e">
        <f t="shared" si="2"/>
        <v>#DIV/0!</v>
      </c>
      <c r="Q31" s="2">
        <f t="shared" si="3"/>
        <v>0</v>
      </c>
      <c r="R31" s="2" t="e">
        <f t="shared" si="4"/>
        <v>#DIV/0!</v>
      </c>
      <c r="S31" s="2" t="e">
        <f t="shared" si="5"/>
        <v>#DIV/0!</v>
      </c>
      <c r="Y31" s="1"/>
      <c r="AB31" t="s">
        <v>84</v>
      </c>
      <c r="AC31" s="2" t="e">
        <f ca="1">Y32-Y28</f>
        <v>#VALUE!</v>
      </c>
    </row>
    <row r="32" spans="2:62" x14ac:dyDescent="0.25">
      <c r="B32" s="1">
        <f t="shared" si="6"/>
        <v>26</v>
      </c>
      <c r="L32" s="15"/>
      <c r="O32" s="2">
        <f t="shared" si="1"/>
        <v>0</v>
      </c>
      <c r="P32" s="2" t="e">
        <f t="shared" si="2"/>
        <v>#DIV/0!</v>
      </c>
      <c r="Q32" s="2">
        <f t="shared" si="3"/>
        <v>0</v>
      </c>
      <c r="R32" s="2" t="e">
        <f t="shared" si="4"/>
        <v>#DIV/0!</v>
      </c>
      <c r="S32" s="2" t="e">
        <f t="shared" si="5"/>
        <v>#DIV/0!</v>
      </c>
      <c r="X32" s="2" t="e">
        <f ca="1">_xlfn.XLOOKUP(Y32,D$7:D$2001,M$7:M$2001,0,-1)</f>
        <v>#VALUE!</v>
      </c>
      <c r="Y32" s="2" t="e">
        <f ca="1">AC29</f>
        <v>#VALUE!</v>
      </c>
      <c r="Z32" s="1" t="e" cm="1">
        <f t="array" aca="1" ref="Z32" ca="1">CELL("row",_xlfn.XLOOKUP(Y32,D$7:D$2001,M$7:M$2001,0,-1))</f>
        <v>#VALUE!</v>
      </c>
      <c r="AA32" s="1" t="e">
        <f t="shared" ca="1" si="7"/>
        <v>#VALUE!</v>
      </c>
      <c r="AB32" t="s">
        <v>86</v>
      </c>
      <c r="AC32" s="2">
        <f>X29-X28</f>
        <v>0</v>
      </c>
      <c r="AF32" t="s">
        <v>46</v>
      </c>
    </row>
    <row r="33" spans="2:32" x14ac:dyDescent="0.25">
      <c r="B33" s="1">
        <f t="shared" si="6"/>
        <v>27</v>
      </c>
      <c r="L33" s="15"/>
      <c r="O33" s="2">
        <f t="shared" si="1"/>
        <v>0</v>
      </c>
      <c r="P33" s="2" t="e">
        <f t="shared" si="2"/>
        <v>#DIV/0!</v>
      </c>
      <c r="Q33" s="2">
        <f t="shared" si="3"/>
        <v>0</v>
      </c>
      <c r="R33" s="2" t="e">
        <f t="shared" si="4"/>
        <v>#DIV/0!</v>
      </c>
      <c r="S33" s="2" t="e">
        <f t="shared" si="5"/>
        <v>#DIV/0!</v>
      </c>
      <c r="Y33" s="1"/>
      <c r="AB33" s="23" t="s">
        <v>60</v>
      </c>
      <c r="AC33" s="24" t="e">
        <f>(AC32)/(AC24+AC32+AC47+AC59) * 100</f>
        <v>#DIV/0!</v>
      </c>
      <c r="AF33" t="s">
        <v>51</v>
      </c>
    </row>
    <row r="34" spans="2:32" x14ac:dyDescent="0.25">
      <c r="B34" s="1">
        <f t="shared" si="6"/>
        <v>28</v>
      </c>
      <c r="L34" s="15"/>
      <c r="O34" s="2">
        <f t="shared" si="1"/>
        <v>0</v>
      </c>
      <c r="P34" s="2" t="e">
        <f t="shared" si="2"/>
        <v>#DIV/0!</v>
      </c>
      <c r="Q34" s="2">
        <f t="shared" si="3"/>
        <v>0</v>
      </c>
      <c r="R34" s="2" t="e">
        <f t="shared" si="4"/>
        <v>#DIV/0!</v>
      </c>
      <c r="S34" s="2" t="e">
        <f t="shared" si="5"/>
        <v>#DIV/0!</v>
      </c>
      <c r="Y34" s="1"/>
      <c r="AB34" t="s">
        <v>87</v>
      </c>
      <c r="AC34" s="2" t="e">
        <f ca="1">X32-X28</f>
        <v>#VALUE!</v>
      </c>
    </row>
    <row r="35" spans="2:32" x14ac:dyDescent="0.25">
      <c r="B35" s="1">
        <f t="shared" si="6"/>
        <v>29</v>
      </c>
      <c r="L35" s="15"/>
      <c r="O35" s="2">
        <f t="shared" si="1"/>
        <v>0</v>
      </c>
      <c r="P35" s="2" t="e">
        <f t="shared" si="2"/>
        <v>#DIV/0!</v>
      </c>
      <c r="Q35" s="2">
        <f t="shared" si="3"/>
        <v>0</v>
      </c>
      <c r="R35" s="2" t="e">
        <f t="shared" si="4"/>
        <v>#DIV/0!</v>
      </c>
      <c r="S35" s="2" t="e">
        <f t="shared" si="5"/>
        <v>#DIV/0!</v>
      </c>
      <c r="Y35" s="1"/>
      <c r="AB35" t="s">
        <v>73</v>
      </c>
      <c r="AC35" s="2" t="e">
        <f ca="1">SUM(INDEX(C7:S1000,AA28,17):(INDEX(C7:S1000,AA32,17)))</f>
        <v>#VALUE!</v>
      </c>
    </row>
    <row r="36" spans="2:32" x14ac:dyDescent="0.25">
      <c r="B36" s="1">
        <f t="shared" si="6"/>
        <v>30</v>
      </c>
      <c r="L36" s="15"/>
      <c r="O36" s="2">
        <f t="shared" si="1"/>
        <v>0</v>
      </c>
      <c r="P36" s="2" t="e">
        <f t="shared" si="2"/>
        <v>#DIV/0!</v>
      </c>
      <c r="Q36" s="2">
        <f t="shared" si="3"/>
        <v>0</v>
      </c>
      <c r="R36" s="2" t="e">
        <f t="shared" si="4"/>
        <v>#DIV/0!</v>
      </c>
      <c r="S36" s="2" t="e">
        <f t="shared" si="5"/>
        <v>#DIV/0!</v>
      </c>
      <c r="Y36" s="1"/>
      <c r="AB36" t="s">
        <v>88</v>
      </c>
      <c r="AC36" s="2" t="e">
        <f ca="1">(AC34/AC32)*100</f>
        <v>#VALUE!</v>
      </c>
    </row>
    <row r="37" spans="2:32" x14ac:dyDescent="0.25">
      <c r="B37" s="1">
        <f t="shared" si="6"/>
        <v>31</v>
      </c>
      <c r="L37" s="15"/>
      <c r="O37" s="2">
        <f t="shared" si="1"/>
        <v>0</v>
      </c>
      <c r="P37" s="2" t="e">
        <f t="shared" si="2"/>
        <v>#DIV/0!</v>
      </c>
      <c r="Q37" s="2">
        <f t="shared" si="3"/>
        <v>0</v>
      </c>
      <c r="R37" s="2" t="e">
        <f t="shared" si="4"/>
        <v>#DIV/0!</v>
      </c>
      <c r="S37" s="2" t="e">
        <f t="shared" si="5"/>
        <v>#DIV/0!</v>
      </c>
      <c r="Y37" s="1"/>
      <c r="AA37" s="1" t="e">
        <f ca="1">AC37/AC36</f>
        <v>#VALUE!</v>
      </c>
      <c r="AB37" s="23" t="s">
        <v>74</v>
      </c>
      <c r="AC37" s="24" t="e">
        <f ca="1">(AC35/AC28)*100</f>
        <v>#VALUE!</v>
      </c>
    </row>
    <row r="38" spans="2:32" x14ac:dyDescent="0.25">
      <c r="B38" s="1">
        <f t="shared" si="6"/>
        <v>32</v>
      </c>
      <c r="L38" s="15"/>
      <c r="O38" s="2">
        <f t="shared" si="1"/>
        <v>0</v>
      </c>
      <c r="P38" s="2" t="e">
        <f t="shared" si="2"/>
        <v>#DIV/0!</v>
      </c>
      <c r="Q38" s="2">
        <f t="shared" si="3"/>
        <v>0</v>
      </c>
      <c r="R38" s="2" t="e">
        <f t="shared" si="4"/>
        <v>#DIV/0!</v>
      </c>
      <c r="S38" s="2" t="e">
        <f t="shared" si="5"/>
        <v>#DIV/0!</v>
      </c>
      <c r="Y38" s="1"/>
      <c r="AB38" t="s">
        <v>89</v>
      </c>
      <c r="AC38" s="2" t="e">
        <f ca="1">X29-X32</f>
        <v>#VALUE!</v>
      </c>
    </row>
    <row r="39" spans="2:32" x14ac:dyDescent="0.25">
      <c r="B39" s="1">
        <f t="shared" si="6"/>
        <v>33</v>
      </c>
      <c r="L39" s="15"/>
      <c r="O39" s="2">
        <f t="shared" si="1"/>
        <v>0</v>
      </c>
      <c r="P39" s="2" t="e">
        <f t="shared" si="2"/>
        <v>#DIV/0!</v>
      </c>
      <c r="Q39" s="2">
        <f t="shared" si="3"/>
        <v>0</v>
      </c>
      <c r="R39" s="2" t="e">
        <f t="shared" si="4"/>
        <v>#DIV/0!</v>
      </c>
      <c r="S39" s="2" t="e">
        <f t="shared" si="5"/>
        <v>#DIV/0!</v>
      </c>
      <c r="Y39" s="1"/>
      <c r="AB39" t="s">
        <v>76</v>
      </c>
      <c r="AC39" s="2" t="e">
        <f ca="1">AC28-AC35</f>
        <v>#VALUE!</v>
      </c>
    </row>
    <row r="40" spans="2:32" x14ac:dyDescent="0.25">
      <c r="B40" s="1">
        <f t="shared" si="6"/>
        <v>34</v>
      </c>
      <c r="L40" s="15"/>
      <c r="O40" s="2">
        <f t="shared" si="1"/>
        <v>0</v>
      </c>
      <c r="P40" s="2" t="e">
        <f t="shared" si="2"/>
        <v>#DIV/0!</v>
      </c>
      <c r="Q40" s="2">
        <f t="shared" si="3"/>
        <v>0</v>
      </c>
      <c r="R40" s="2" t="e">
        <f t="shared" si="4"/>
        <v>#DIV/0!</v>
      </c>
      <c r="S40" s="2" t="e">
        <f t="shared" si="5"/>
        <v>#DIV/0!</v>
      </c>
      <c r="Y40" s="1"/>
      <c r="AB40" t="s">
        <v>90</v>
      </c>
      <c r="AC40" s="2" t="e">
        <f ca="1">100-AC36</f>
        <v>#VALUE!</v>
      </c>
    </row>
    <row r="41" spans="2:32" x14ac:dyDescent="0.25">
      <c r="B41" s="1">
        <f t="shared" si="6"/>
        <v>35</v>
      </c>
      <c r="L41" s="15"/>
      <c r="O41" s="2">
        <f t="shared" si="1"/>
        <v>0</v>
      </c>
      <c r="P41" s="2" t="e">
        <f t="shared" si="2"/>
        <v>#DIV/0!</v>
      </c>
      <c r="Q41" s="2">
        <f t="shared" si="3"/>
        <v>0</v>
      </c>
      <c r="R41" s="2" t="e">
        <f t="shared" si="4"/>
        <v>#DIV/0!</v>
      </c>
      <c r="S41" s="2" t="e">
        <f t="shared" si="5"/>
        <v>#DIV/0!</v>
      </c>
      <c r="Y41" s="1"/>
      <c r="AA41" s="1" t="e">
        <f ca="1">AC41/AC40</f>
        <v>#VALUE!</v>
      </c>
      <c r="AB41" t="s">
        <v>77</v>
      </c>
      <c r="AC41" s="2" t="e">
        <f ca="1">100-AC37</f>
        <v>#VALUE!</v>
      </c>
    </row>
    <row r="42" spans="2:32" x14ac:dyDescent="0.25">
      <c r="B42" s="1">
        <f t="shared" si="6"/>
        <v>36</v>
      </c>
      <c r="L42" s="15"/>
      <c r="O42" s="2">
        <f t="shared" si="1"/>
        <v>0</v>
      </c>
      <c r="P42" s="2" t="e">
        <f t="shared" si="2"/>
        <v>#DIV/0!</v>
      </c>
      <c r="Q42" s="2">
        <f t="shared" si="3"/>
        <v>0</v>
      </c>
      <c r="R42" s="2" t="e">
        <f t="shared" si="4"/>
        <v>#DIV/0!</v>
      </c>
      <c r="S42" s="2" t="e">
        <f t="shared" si="5"/>
        <v>#DIV/0!</v>
      </c>
      <c r="Y42" s="1"/>
    </row>
    <row r="43" spans="2:32" x14ac:dyDescent="0.25">
      <c r="B43" s="1">
        <f t="shared" si="6"/>
        <v>37</v>
      </c>
      <c r="L43" s="15"/>
      <c r="O43" s="2">
        <f t="shared" si="1"/>
        <v>0</v>
      </c>
      <c r="P43" s="2" t="e">
        <f t="shared" si="2"/>
        <v>#DIV/0!</v>
      </c>
      <c r="Q43" s="2">
        <f t="shared" si="3"/>
        <v>0</v>
      </c>
      <c r="R43" s="2" t="e">
        <f t="shared" si="4"/>
        <v>#DIV/0!</v>
      </c>
      <c r="S43" s="2" t="e">
        <f t="shared" si="5"/>
        <v>#DIV/0!</v>
      </c>
      <c r="W43" s="1" t="s">
        <v>19</v>
      </c>
      <c r="X43" s="22"/>
      <c r="Y43" s="21">
        <f>_xlfn.XLOOKUP(X43,M$7:M$2001,D$7:D$2001,0,-1)</f>
        <v>0</v>
      </c>
      <c r="Z43" s="1" cm="1">
        <f t="array" aca="1" ref="Z43" ca="1">CELL("row",_xlfn.XLOOKUP(X43,M$7:M$2001,D$7:D$2001,0,-1))</f>
        <v>7</v>
      </c>
      <c r="AA43" s="1">
        <f t="shared" ca="1" si="7"/>
        <v>1</v>
      </c>
      <c r="AB43" t="s">
        <v>61</v>
      </c>
      <c r="AC43" s="2" t="e">
        <f ca="1">SUM(INDEX(C7:S1000,AA43,17):(INDEX(C7:S1000,AA44,17)))</f>
        <v>#VALUE!</v>
      </c>
      <c r="AD43" s="1">
        <v>16</v>
      </c>
      <c r="AE43" t="s">
        <v>35</v>
      </c>
      <c r="AF43" t="s">
        <v>31</v>
      </c>
    </row>
    <row r="44" spans="2:32" x14ac:dyDescent="0.25">
      <c r="B44" s="1">
        <f t="shared" si="6"/>
        <v>38</v>
      </c>
      <c r="L44" s="15"/>
      <c r="O44" s="2">
        <f t="shared" si="1"/>
        <v>0</v>
      </c>
      <c r="P44" s="2" t="e">
        <f t="shared" si="2"/>
        <v>#DIV/0!</v>
      </c>
      <c r="Q44" s="2">
        <f t="shared" si="3"/>
        <v>0</v>
      </c>
      <c r="R44" s="2" t="e">
        <f t="shared" si="4"/>
        <v>#DIV/0!</v>
      </c>
      <c r="S44" s="2" t="e">
        <f t="shared" si="5"/>
        <v>#DIV/0!</v>
      </c>
      <c r="W44" s="1" t="s">
        <v>20</v>
      </c>
      <c r="X44" s="2">
        <f>X58</f>
        <v>0</v>
      </c>
      <c r="Y44" s="19">
        <f>_xlfn.XLOOKUP(X44,M$7:M$2001,D$7:D$2001,0,-1)</f>
        <v>0</v>
      </c>
      <c r="Z44" s="1" t="e" cm="1">
        <f t="array" aca="1" ref="Z44" ca="1">CELL("row",_xlfn.XLOOKUP(X44,M$7:M$2001,D$7:D$2001,0,-1))</f>
        <v>#VALUE!</v>
      </c>
      <c r="AA44" s="1" t="e">
        <f t="shared" ca="1" si="7"/>
        <v>#VALUE!</v>
      </c>
      <c r="AB44" t="s">
        <v>62</v>
      </c>
      <c r="AC44" s="2" t="e">
        <f ca="1">MIN(INDEX(C7:S1000,AA43,2):(INDEX(C7:S1000,AA44,2)))</f>
        <v>#VALUE!</v>
      </c>
      <c r="AD44" s="1">
        <v>1</v>
      </c>
      <c r="AE44" t="s">
        <v>36</v>
      </c>
      <c r="AF44" t="s">
        <v>37</v>
      </c>
    </row>
    <row r="45" spans="2:32" x14ac:dyDescent="0.25">
      <c r="B45" s="1">
        <f t="shared" si="6"/>
        <v>39</v>
      </c>
      <c r="L45" s="15"/>
      <c r="O45" s="2">
        <f t="shared" si="1"/>
        <v>0</v>
      </c>
      <c r="P45" s="2" t="e">
        <f t="shared" si="2"/>
        <v>#DIV/0!</v>
      </c>
      <c r="Q45" s="2">
        <f t="shared" si="3"/>
        <v>0</v>
      </c>
      <c r="R45" s="2" t="e">
        <f t="shared" si="4"/>
        <v>#DIV/0!</v>
      </c>
      <c r="S45" s="2" t="e">
        <f t="shared" si="5"/>
        <v>#DIV/0!</v>
      </c>
      <c r="Y45" s="1"/>
      <c r="AB45" t="s">
        <v>63</v>
      </c>
      <c r="AC45" s="2" t="e">
        <f ca="1">_xlfn.XLOOKUP(AC44,D2:D1000,P2:P1000)-AC44</f>
        <v>#VALUE!</v>
      </c>
      <c r="AF45" t="s">
        <v>45</v>
      </c>
    </row>
    <row r="46" spans="2:32" x14ac:dyDescent="0.25">
      <c r="B46" s="1">
        <f t="shared" si="6"/>
        <v>40</v>
      </c>
      <c r="L46" s="15"/>
      <c r="O46" s="2">
        <f t="shared" si="1"/>
        <v>0</v>
      </c>
      <c r="P46" s="2" t="e">
        <f t="shared" si="2"/>
        <v>#DIV/0!</v>
      </c>
      <c r="Q46" s="2">
        <f t="shared" si="3"/>
        <v>0</v>
      </c>
      <c r="R46" s="2" t="e">
        <f t="shared" si="4"/>
        <v>#DIV/0!</v>
      </c>
      <c r="S46" s="2" t="e">
        <f t="shared" si="5"/>
        <v>#DIV/0!</v>
      </c>
      <c r="Y46" s="1"/>
      <c r="AB46" t="s">
        <v>84</v>
      </c>
      <c r="AC46" s="2" t="e">
        <f ca="1">Y43-Y47</f>
        <v>#VALUE!</v>
      </c>
    </row>
    <row r="47" spans="2:32" x14ac:dyDescent="0.25">
      <c r="B47" s="1">
        <f t="shared" si="6"/>
        <v>41</v>
      </c>
      <c r="L47" s="15"/>
      <c r="O47" s="2">
        <f t="shared" si="1"/>
        <v>0</v>
      </c>
      <c r="P47" s="2" t="e">
        <f t="shared" si="2"/>
        <v>#DIV/0!</v>
      </c>
      <c r="Q47" s="2">
        <f t="shared" si="3"/>
        <v>0</v>
      </c>
      <c r="R47" s="2" t="e">
        <f t="shared" si="4"/>
        <v>#DIV/0!</v>
      </c>
      <c r="S47" s="2" t="e">
        <f t="shared" si="5"/>
        <v>#DIV/0!</v>
      </c>
      <c r="X47" s="2" t="e">
        <f ca="1">_xlfn.XLOOKUP(Y47,D$7:D$2001,M$7:M$2001,0,-1)</f>
        <v>#VALUE!</v>
      </c>
      <c r="Y47" s="2" t="e">
        <f ca="1">AC44</f>
        <v>#VALUE!</v>
      </c>
      <c r="Z47" s="1" t="e" cm="1">
        <f t="array" aca="1" ref="Z47" ca="1">CELL("row",_xlfn.XLOOKUP(Y47,D$7:D$2001,M$7:M$2001,0,-1))</f>
        <v>#VALUE!</v>
      </c>
      <c r="AA47" s="1" t="e">
        <f t="shared" ca="1" si="7"/>
        <v>#VALUE!</v>
      </c>
      <c r="AB47" t="s">
        <v>91</v>
      </c>
      <c r="AC47" s="2">
        <f>X44-X43</f>
        <v>0</v>
      </c>
      <c r="AF47" t="s">
        <v>47</v>
      </c>
    </row>
    <row r="48" spans="2:32" x14ac:dyDescent="0.25">
      <c r="B48" s="1">
        <f t="shared" si="6"/>
        <v>42</v>
      </c>
      <c r="L48" s="15"/>
      <c r="O48" s="2">
        <f t="shared" si="1"/>
        <v>0</v>
      </c>
      <c r="P48" s="2" t="e">
        <f t="shared" si="2"/>
        <v>#DIV/0!</v>
      </c>
      <c r="Q48" s="2">
        <f t="shared" si="3"/>
        <v>0</v>
      </c>
      <c r="R48" s="2" t="e">
        <f t="shared" si="4"/>
        <v>#DIV/0!</v>
      </c>
      <c r="S48" s="2" t="e">
        <f t="shared" si="5"/>
        <v>#DIV/0!</v>
      </c>
      <c r="Y48" s="1"/>
      <c r="AB48" s="23" t="s">
        <v>64</v>
      </c>
      <c r="AC48" s="24" t="e">
        <f>(AC47)/(AC24+AC32+AC47+AC59) * 100</f>
        <v>#DIV/0!</v>
      </c>
      <c r="AF48" t="s">
        <v>52</v>
      </c>
    </row>
    <row r="49" spans="2:32" x14ac:dyDescent="0.25">
      <c r="B49" s="1">
        <f t="shared" si="6"/>
        <v>43</v>
      </c>
      <c r="L49" s="15"/>
      <c r="O49" s="2">
        <f t="shared" si="1"/>
        <v>0</v>
      </c>
      <c r="P49" s="2" t="e">
        <f t="shared" si="2"/>
        <v>#DIV/0!</v>
      </c>
      <c r="Q49" s="2">
        <f t="shared" si="3"/>
        <v>0</v>
      </c>
      <c r="R49" s="2" t="e">
        <f t="shared" si="4"/>
        <v>#DIV/0!</v>
      </c>
      <c r="S49" s="2" t="e">
        <f t="shared" si="5"/>
        <v>#DIV/0!</v>
      </c>
      <c r="Y49" s="1"/>
      <c r="AB49" t="s">
        <v>92</v>
      </c>
      <c r="AC49" s="2" t="e">
        <f ca="1">X47-X43</f>
        <v>#VALUE!</v>
      </c>
    </row>
    <row r="50" spans="2:32" x14ac:dyDescent="0.25">
      <c r="B50" s="1">
        <f t="shared" si="6"/>
        <v>44</v>
      </c>
      <c r="L50" s="15"/>
      <c r="O50" s="2">
        <f t="shared" si="1"/>
        <v>0</v>
      </c>
      <c r="P50" s="2" t="e">
        <f t="shared" si="2"/>
        <v>#DIV/0!</v>
      </c>
      <c r="Q50" s="2">
        <f t="shared" si="3"/>
        <v>0</v>
      </c>
      <c r="R50" s="2" t="e">
        <f t="shared" si="4"/>
        <v>#DIV/0!</v>
      </c>
      <c r="S50" s="2" t="e">
        <f t="shared" si="5"/>
        <v>#DIV/0!</v>
      </c>
      <c r="Y50" s="1"/>
      <c r="AB50" t="s">
        <v>79</v>
      </c>
      <c r="AC50" s="2" t="e">
        <f ca="1">SUM(INDEX(C7:S1000,AA43,17):(INDEX(C7:S1000,AA47,17)))</f>
        <v>#VALUE!</v>
      </c>
    </row>
    <row r="51" spans="2:32" x14ac:dyDescent="0.25">
      <c r="B51" s="1">
        <f t="shared" si="6"/>
        <v>45</v>
      </c>
      <c r="L51" s="15"/>
      <c r="O51" s="2">
        <f t="shared" si="1"/>
        <v>0</v>
      </c>
      <c r="P51" s="2" t="e">
        <f t="shared" si="2"/>
        <v>#DIV/0!</v>
      </c>
      <c r="Q51" s="2">
        <f t="shared" si="3"/>
        <v>0</v>
      </c>
      <c r="R51" s="2" t="e">
        <f t="shared" si="4"/>
        <v>#DIV/0!</v>
      </c>
      <c r="S51" s="2" t="e">
        <f t="shared" si="5"/>
        <v>#DIV/0!</v>
      </c>
      <c r="Y51" s="1"/>
      <c r="AB51" t="s">
        <v>95</v>
      </c>
      <c r="AC51" s="2" t="e">
        <f ca="1">(AC49/AC47)*100</f>
        <v>#VALUE!</v>
      </c>
    </row>
    <row r="52" spans="2:32" x14ac:dyDescent="0.25">
      <c r="B52" s="1">
        <f t="shared" si="6"/>
        <v>46</v>
      </c>
      <c r="L52" s="15"/>
      <c r="O52" s="2">
        <f t="shared" si="1"/>
        <v>0</v>
      </c>
      <c r="P52" s="2" t="e">
        <f t="shared" si="2"/>
        <v>#DIV/0!</v>
      </c>
      <c r="Q52" s="2">
        <f t="shared" si="3"/>
        <v>0</v>
      </c>
      <c r="R52" s="2" t="e">
        <f t="shared" si="4"/>
        <v>#DIV/0!</v>
      </c>
      <c r="S52" s="2" t="e">
        <f t="shared" si="5"/>
        <v>#DIV/0!</v>
      </c>
      <c r="Y52" s="1"/>
      <c r="AA52" s="1" t="e">
        <f ca="1">AC52/AC51</f>
        <v>#VALUE!</v>
      </c>
      <c r="AB52" s="23" t="s">
        <v>80</v>
      </c>
      <c r="AC52" s="24" t="e">
        <f ca="1">(AC50/AC43)*100</f>
        <v>#VALUE!</v>
      </c>
    </row>
    <row r="53" spans="2:32" x14ac:dyDescent="0.25">
      <c r="B53" s="1">
        <f t="shared" si="6"/>
        <v>47</v>
      </c>
      <c r="L53" s="15"/>
      <c r="O53" s="2">
        <f t="shared" si="1"/>
        <v>0</v>
      </c>
      <c r="P53" s="2" t="e">
        <f t="shared" si="2"/>
        <v>#DIV/0!</v>
      </c>
      <c r="Q53" s="2">
        <f t="shared" si="3"/>
        <v>0</v>
      </c>
      <c r="R53" s="2" t="e">
        <f t="shared" si="4"/>
        <v>#DIV/0!</v>
      </c>
      <c r="S53" s="2" t="e">
        <f t="shared" si="5"/>
        <v>#DIV/0!</v>
      </c>
      <c r="Y53" s="1"/>
      <c r="AB53" t="s">
        <v>93</v>
      </c>
      <c r="AC53" s="2" t="e">
        <f ca="1">X44-X47</f>
        <v>#VALUE!</v>
      </c>
    </row>
    <row r="54" spans="2:32" x14ac:dyDescent="0.25">
      <c r="B54" s="1">
        <f t="shared" si="6"/>
        <v>48</v>
      </c>
      <c r="L54" s="15"/>
      <c r="O54" s="2">
        <f t="shared" si="1"/>
        <v>0</v>
      </c>
      <c r="P54" s="2" t="e">
        <f t="shared" si="2"/>
        <v>#DIV/0!</v>
      </c>
      <c r="Q54" s="2">
        <f t="shared" si="3"/>
        <v>0</v>
      </c>
      <c r="R54" s="2" t="e">
        <f t="shared" si="4"/>
        <v>#DIV/0!</v>
      </c>
      <c r="S54" s="2" t="e">
        <f t="shared" si="5"/>
        <v>#DIV/0!</v>
      </c>
      <c r="Y54" s="1"/>
      <c r="AB54" t="s">
        <v>82</v>
      </c>
      <c r="AC54" s="2" t="e">
        <f ca="1">AC43-AC50</f>
        <v>#VALUE!</v>
      </c>
    </row>
    <row r="55" spans="2:32" x14ac:dyDescent="0.25">
      <c r="B55" s="1">
        <f t="shared" si="6"/>
        <v>49</v>
      </c>
      <c r="L55" s="15"/>
      <c r="O55" s="2">
        <f t="shared" si="1"/>
        <v>0</v>
      </c>
      <c r="P55" s="2" t="e">
        <f t="shared" si="2"/>
        <v>#DIV/0!</v>
      </c>
      <c r="Q55" s="2">
        <f t="shared" si="3"/>
        <v>0</v>
      </c>
      <c r="R55" s="2" t="e">
        <f t="shared" si="4"/>
        <v>#DIV/0!</v>
      </c>
      <c r="S55" s="2" t="e">
        <f t="shared" si="5"/>
        <v>#DIV/0!</v>
      </c>
      <c r="Y55" s="1"/>
      <c r="AB55" t="s">
        <v>94</v>
      </c>
      <c r="AC55" s="2" t="e">
        <f ca="1">100-AC51</f>
        <v>#VALUE!</v>
      </c>
    </row>
    <row r="56" spans="2:32" x14ac:dyDescent="0.25">
      <c r="B56" s="1">
        <f t="shared" si="6"/>
        <v>50</v>
      </c>
      <c r="L56" s="15"/>
      <c r="O56" s="2">
        <f t="shared" si="1"/>
        <v>0</v>
      </c>
      <c r="P56" s="2" t="e">
        <f t="shared" si="2"/>
        <v>#DIV/0!</v>
      </c>
      <c r="Q56" s="2">
        <f t="shared" si="3"/>
        <v>0</v>
      </c>
      <c r="R56" s="2" t="e">
        <f t="shared" si="4"/>
        <v>#DIV/0!</v>
      </c>
      <c r="S56" s="2" t="e">
        <f t="shared" si="5"/>
        <v>#DIV/0!</v>
      </c>
      <c r="Y56" s="1"/>
      <c r="AA56" s="1" t="e">
        <f ca="1">AC56/AC55</f>
        <v>#VALUE!</v>
      </c>
      <c r="AB56" t="s">
        <v>83</v>
      </c>
      <c r="AC56" s="2" t="e">
        <f ca="1">100-AC52</f>
        <v>#VALUE!</v>
      </c>
    </row>
    <row r="57" spans="2:32" x14ac:dyDescent="0.25">
      <c r="B57" s="1">
        <f t="shared" si="6"/>
        <v>51</v>
      </c>
      <c r="L57" s="15"/>
      <c r="O57" s="2">
        <f t="shared" si="1"/>
        <v>0</v>
      </c>
      <c r="P57" s="2" t="e">
        <f t="shared" si="2"/>
        <v>#DIV/0!</v>
      </c>
      <c r="Q57" s="2">
        <f t="shared" si="3"/>
        <v>0</v>
      </c>
      <c r="R57" s="2" t="e">
        <f t="shared" si="4"/>
        <v>#DIV/0!</v>
      </c>
      <c r="S57" s="2" t="e">
        <f t="shared" si="5"/>
        <v>#DIV/0!</v>
      </c>
      <c r="Y57" s="1"/>
    </row>
    <row r="58" spans="2:32" x14ac:dyDescent="0.25">
      <c r="B58" s="1">
        <f t="shared" si="6"/>
        <v>52</v>
      </c>
      <c r="L58" s="15"/>
      <c r="O58" s="2">
        <f t="shared" si="1"/>
        <v>0</v>
      </c>
      <c r="P58" s="2" t="e">
        <f t="shared" si="2"/>
        <v>#DIV/0!</v>
      </c>
      <c r="Q58" s="2">
        <f t="shared" si="3"/>
        <v>0</v>
      </c>
      <c r="R58" s="2" t="e">
        <f t="shared" si="4"/>
        <v>#DIV/0!</v>
      </c>
      <c r="S58" s="2" t="e">
        <f t="shared" si="5"/>
        <v>#DIV/0!</v>
      </c>
      <c r="W58" s="1" t="s">
        <v>21</v>
      </c>
      <c r="X58" s="22"/>
      <c r="Y58" s="1">
        <f>_xlfn.XLOOKUP(X58,M$7:M$2001,D$7:D$2001,0,-1)</f>
        <v>0</v>
      </c>
      <c r="Z58" s="1" cm="1">
        <f t="array" aca="1" ref="Z58" ca="1">CELL("row",_xlfn.XLOOKUP(X58,M$7:M$2001,D$7:D$2001,0,-1))</f>
        <v>7</v>
      </c>
      <c r="AA58" s="1">
        <f t="shared" ca="1" si="7"/>
        <v>1</v>
      </c>
      <c r="AB58" t="s">
        <v>65</v>
      </c>
      <c r="AC58" s="2" t="e">
        <f ca="1">SUM(INDEX(C7:S1000,AA58,17):(INDEX(C7:S1000,AA59,17)))</f>
        <v>#DIV/0!</v>
      </c>
      <c r="AF58" t="s">
        <v>33</v>
      </c>
    </row>
    <row r="59" spans="2:32" x14ac:dyDescent="0.25">
      <c r="B59" s="1">
        <f t="shared" si="6"/>
        <v>53</v>
      </c>
      <c r="L59" s="15"/>
      <c r="O59" s="2">
        <f t="shared" si="1"/>
        <v>0</v>
      </c>
      <c r="P59" s="2" t="e">
        <f t="shared" si="2"/>
        <v>#DIV/0!</v>
      </c>
      <c r="Q59" s="2">
        <f t="shared" si="3"/>
        <v>0</v>
      </c>
      <c r="R59" s="2" t="e">
        <f t="shared" si="4"/>
        <v>#DIV/0!</v>
      </c>
      <c r="S59" s="2" t="e">
        <f t="shared" si="5"/>
        <v>#DIV/0!</v>
      </c>
      <c r="W59" s="1" t="s">
        <v>22</v>
      </c>
      <c r="X59" s="22"/>
      <c r="Y59" s="1">
        <f>_xlfn.XLOOKUP(X59,M$7:M$2001,D$7:D$2001,0,-1)</f>
        <v>0</v>
      </c>
      <c r="Z59" s="1" cm="1">
        <f t="array" aca="1" ref="Z59" ca="1">CELL("row",_xlfn.XLOOKUP(X59,M$7:M$2001,D$7:D$2001,0,-1))</f>
        <v>7</v>
      </c>
      <c r="AA59" s="1">
        <f ca="1">Z59-6</f>
        <v>1</v>
      </c>
      <c r="AB59" t="s">
        <v>96</v>
      </c>
      <c r="AC59" s="2">
        <f>X59-X58</f>
        <v>0</v>
      </c>
      <c r="AF59" t="s">
        <v>49</v>
      </c>
    </row>
    <row r="60" spans="2:32" x14ac:dyDescent="0.25">
      <c r="B60" s="1">
        <f t="shared" si="6"/>
        <v>54</v>
      </c>
      <c r="L60" s="15"/>
      <c r="O60" s="2">
        <f t="shared" si="1"/>
        <v>0</v>
      </c>
      <c r="P60" s="2" t="e">
        <f t="shared" si="2"/>
        <v>#DIV/0!</v>
      </c>
      <c r="Q60" s="2">
        <f t="shared" si="3"/>
        <v>0</v>
      </c>
      <c r="R60" s="2" t="e">
        <f t="shared" si="4"/>
        <v>#DIV/0!</v>
      </c>
      <c r="S60" s="2" t="e">
        <f t="shared" si="5"/>
        <v>#DIV/0!</v>
      </c>
      <c r="Y60" s="1"/>
      <c r="AB60" t="s">
        <v>68</v>
      </c>
      <c r="AC60" s="2" t="e">
        <f>AC59/(AC59+AC47+AC32+AC24) * 100</f>
        <v>#DIV/0!</v>
      </c>
      <c r="AF60" t="s">
        <v>53</v>
      </c>
    </row>
    <row r="61" spans="2:32" x14ac:dyDescent="0.25">
      <c r="B61" s="1">
        <f t="shared" si="6"/>
        <v>55</v>
      </c>
      <c r="L61" s="15"/>
      <c r="O61" s="2">
        <f t="shared" si="1"/>
        <v>0</v>
      </c>
      <c r="P61" s="2" t="e">
        <f t="shared" si="2"/>
        <v>#DIV/0!</v>
      </c>
      <c r="Q61" s="2">
        <f t="shared" si="3"/>
        <v>0</v>
      </c>
      <c r="R61" s="2" t="e">
        <f t="shared" si="4"/>
        <v>#DIV/0!</v>
      </c>
      <c r="S61" s="2" t="e">
        <f t="shared" si="5"/>
        <v>#DIV/0!</v>
      </c>
    </row>
    <row r="62" spans="2:32" x14ac:dyDescent="0.25">
      <c r="B62" s="1">
        <f t="shared" si="6"/>
        <v>56</v>
      </c>
      <c r="L62" s="15"/>
      <c r="O62" s="2">
        <f t="shared" si="1"/>
        <v>0</v>
      </c>
      <c r="P62" s="2" t="e">
        <f t="shared" si="2"/>
        <v>#DIV/0!</v>
      </c>
      <c r="Q62" s="2">
        <f t="shared" si="3"/>
        <v>0</v>
      </c>
      <c r="R62" s="2" t="e">
        <f t="shared" si="4"/>
        <v>#DIV/0!</v>
      </c>
      <c r="S62" s="2" t="e">
        <f t="shared" si="5"/>
        <v>#DIV/0!</v>
      </c>
    </row>
    <row r="63" spans="2:32" x14ac:dyDescent="0.25">
      <c r="B63" s="1">
        <f t="shared" si="6"/>
        <v>57</v>
      </c>
      <c r="L63" s="15"/>
      <c r="O63" s="2">
        <f t="shared" si="1"/>
        <v>0</v>
      </c>
      <c r="P63" s="2" t="e">
        <f t="shared" si="2"/>
        <v>#DIV/0!</v>
      </c>
      <c r="Q63" s="2">
        <f t="shared" si="3"/>
        <v>0</v>
      </c>
      <c r="R63" s="2" t="e">
        <f t="shared" si="4"/>
        <v>#DIV/0!</v>
      </c>
      <c r="S63" s="2" t="e">
        <f t="shared" si="5"/>
        <v>#DIV/0!</v>
      </c>
    </row>
    <row r="64" spans="2:32" x14ac:dyDescent="0.25">
      <c r="B64" s="1">
        <f t="shared" si="6"/>
        <v>58</v>
      </c>
      <c r="L64" s="15"/>
      <c r="O64" s="2">
        <f t="shared" si="1"/>
        <v>0</v>
      </c>
      <c r="P64" s="2" t="e">
        <f t="shared" si="2"/>
        <v>#DIV/0!</v>
      </c>
      <c r="Q64" s="2">
        <f t="shared" si="3"/>
        <v>0</v>
      </c>
      <c r="R64" s="2" t="e">
        <f t="shared" si="4"/>
        <v>#DIV/0!</v>
      </c>
      <c r="S64" s="2" t="e">
        <f t="shared" si="5"/>
        <v>#DIV/0!</v>
      </c>
    </row>
    <row r="65" spans="2:19" x14ac:dyDescent="0.25">
      <c r="B65" s="1">
        <f t="shared" si="6"/>
        <v>59</v>
      </c>
      <c r="L65" s="15"/>
      <c r="O65" s="2">
        <f t="shared" si="1"/>
        <v>0</v>
      </c>
      <c r="P65" s="2" t="e">
        <f t="shared" si="2"/>
        <v>#DIV/0!</v>
      </c>
      <c r="Q65" s="2">
        <f t="shared" si="3"/>
        <v>0</v>
      </c>
      <c r="R65" s="2" t="e">
        <f t="shared" si="4"/>
        <v>#DIV/0!</v>
      </c>
      <c r="S65" s="2" t="e">
        <f t="shared" si="5"/>
        <v>#DIV/0!</v>
      </c>
    </row>
    <row r="66" spans="2:19" x14ac:dyDescent="0.25">
      <c r="B66" s="1">
        <f t="shared" si="6"/>
        <v>60</v>
      </c>
      <c r="L66" s="15"/>
      <c r="O66" s="2">
        <f t="shared" si="1"/>
        <v>0</v>
      </c>
      <c r="P66" s="2" t="e">
        <f t="shared" si="2"/>
        <v>#DIV/0!</v>
      </c>
      <c r="Q66" s="2">
        <f t="shared" si="3"/>
        <v>0</v>
      </c>
      <c r="R66" s="2" t="e">
        <f t="shared" si="4"/>
        <v>#DIV/0!</v>
      </c>
      <c r="S66" s="2" t="e">
        <f t="shared" si="5"/>
        <v>#DIV/0!</v>
      </c>
    </row>
    <row r="67" spans="2:19" x14ac:dyDescent="0.25">
      <c r="B67" s="1">
        <f t="shared" si="6"/>
        <v>61</v>
      </c>
      <c r="L67" s="15"/>
      <c r="O67" s="2">
        <f t="shared" si="1"/>
        <v>0</v>
      </c>
      <c r="P67" s="2" t="e">
        <f t="shared" si="2"/>
        <v>#DIV/0!</v>
      </c>
      <c r="Q67" s="2">
        <f t="shared" si="3"/>
        <v>0</v>
      </c>
      <c r="R67" s="2" t="e">
        <f t="shared" si="4"/>
        <v>#DIV/0!</v>
      </c>
      <c r="S67" s="2" t="e">
        <f t="shared" si="5"/>
        <v>#DIV/0!</v>
      </c>
    </row>
    <row r="68" spans="2:19" x14ac:dyDescent="0.25">
      <c r="B68" s="1">
        <f t="shared" si="6"/>
        <v>62</v>
      </c>
      <c r="L68" s="15"/>
      <c r="O68" s="2">
        <f t="shared" si="1"/>
        <v>0</v>
      </c>
      <c r="P68" s="2" t="e">
        <f t="shared" si="2"/>
        <v>#DIV/0!</v>
      </c>
      <c r="Q68" s="2">
        <f t="shared" si="3"/>
        <v>0</v>
      </c>
      <c r="R68" s="2" t="e">
        <f t="shared" si="4"/>
        <v>#DIV/0!</v>
      </c>
      <c r="S68" s="2" t="e">
        <f t="shared" si="5"/>
        <v>#DIV/0!</v>
      </c>
    </row>
    <row r="69" spans="2:19" x14ac:dyDescent="0.25">
      <c r="B69" s="1">
        <f t="shared" si="6"/>
        <v>63</v>
      </c>
      <c r="L69" s="15"/>
      <c r="O69" s="2">
        <f t="shared" si="1"/>
        <v>0</v>
      </c>
      <c r="P69" s="2" t="e">
        <f t="shared" si="2"/>
        <v>#DIV/0!</v>
      </c>
      <c r="Q69" s="2">
        <f t="shared" si="3"/>
        <v>0</v>
      </c>
      <c r="R69" s="2" t="e">
        <f t="shared" si="4"/>
        <v>#DIV/0!</v>
      </c>
      <c r="S69" s="2" t="e">
        <f t="shared" si="5"/>
        <v>#DIV/0!</v>
      </c>
    </row>
    <row r="70" spans="2:19" x14ac:dyDescent="0.25">
      <c r="B70" s="1">
        <f t="shared" si="6"/>
        <v>64</v>
      </c>
      <c r="L70" s="15"/>
      <c r="O70" s="2">
        <f t="shared" si="1"/>
        <v>0</v>
      </c>
      <c r="P70" s="2" t="e">
        <f t="shared" si="2"/>
        <v>#DIV/0!</v>
      </c>
      <c r="Q70" s="2">
        <f t="shared" si="3"/>
        <v>0</v>
      </c>
      <c r="R70" s="2" t="e">
        <f t="shared" si="4"/>
        <v>#DIV/0!</v>
      </c>
      <c r="S70" s="2" t="e">
        <f t="shared" si="5"/>
        <v>#DIV/0!</v>
      </c>
    </row>
    <row r="71" spans="2:19" x14ac:dyDescent="0.25">
      <c r="B71" s="1">
        <f t="shared" si="6"/>
        <v>65</v>
      </c>
      <c r="L71" s="15"/>
      <c r="O71" s="2">
        <f t="shared" si="1"/>
        <v>0</v>
      </c>
      <c r="P71" s="2" t="e">
        <f t="shared" si="2"/>
        <v>#DIV/0!</v>
      </c>
      <c r="Q71" s="2">
        <f t="shared" si="3"/>
        <v>0</v>
      </c>
      <c r="R71" s="2" t="e">
        <f t="shared" si="4"/>
        <v>#DIV/0!</v>
      </c>
      <c r="S71" s="2" t="e">
        <f t="shared" si="5"/>
        <v>#DIV/0!</v>
      </c>
    </row>
    <row r="72" spans="2:19" x14ac:dyDescent="0.25">
      <c r="B72" s="1">
        <f t="shared" si="6"/>
        <v>66</v>
      </c>
      <c r="L72" s="15"/>
      <c r="O72" s="2">
        <f t="shared" ref="O72:O135" si="8">M72-$X$23</f>
        <v>0</v>
      </c>
      <c r="P72" s="2" t="e">
        <f t="shared" ref="P72:P135" si="9">O72*$AC$21+$Y$23</f>
        <v>#DIV/0!</v>
      </c>
      <c r="Q72" s="2">
        <f t="shared" ref="Q72:Q135" si="10">((D72+D73)/2)*(M73-M72)</f>
        <v>0</v>
      </c>
      <c r="R72" s="2" t="e">
        <f t="shared" ref="R72:R135" si="11">((P72+P73)/2)*(O73-O72)</f>
        <v>#DIV/0!</v>
      </c>
      <c r="S72" s="2" t="e">
        <f t="shared" ref="S72:S135" si="12">Q72-R72</f>
        <v>#DIV/0!</v>
      </c>
    </row>
    <row r="73" spans="2:19" x14ac:dyDescent="0.25">
      <c r="B73" s="1">
        <f t="shared" ref="B73:B136" si="13">B72+1</f>
        <v>67</v>
      </c>
      <c r="L73" s="15"/>
      <c r="O73" s="2">
        <f t="shared" si="8"/>
        <v>0</v>
      </c>
      <c r="P73" s="2" t="e">
        <f t="shared" si="9"/>
        <v>#DIV/0!</v>
      </c>
      <c r="Q73" s="2">
        <f t="shared" si="10"/>
        <v>0</v>
      </c>
      <c r="R73" s="2" t="e">
        <f t="shared" si="11"/>
        <v>#DIV/0!</v>
      </c>
      <c r="S73" s="2" t="e">
        <f t="shared" si="12"/>
        <v>#DIV/0!</v>
      </c>
    </row>
    <row r="74" spans="2:19" x14ac:dyDescent="0.25">
      <c r="B74" s="1">
        <f t="shared" si="13"/>
        <v>68</v>
      </c>
      <c r="L74" s="15"/>
      <c r="O74" s="2">
        <f t="shared" si="8"/>
        <v>0</v>
      </c>
      <c r="P74" s="2" t="e">
        <f t="shared" si="9"/>
        <v>#DIV/0!</v>
      </c>
      <c r="Q74" s="2">
        <f t="shared" si="10"/>
        <v>0</v>
      </c>
      <c r="R74" s="2" t="e">
        <f t="shared" si="11"/>
        <v>#DIV/0!</v>
      </c>
      <c r="S74" s="2" t="e">
        <f t="shared" si="12"/>
        <v>#DIV/0!</v>
      </c>
    </row>
    <row r="75" spans="2:19" x14ac:dyDescent="0.25">
      <c r="B75" s="1">
        <f t="shared" si="13"/>
        <v>69</v>
      </c>
      <c r="L75" s="15"/>
      <c r="O75" s="2">
        <f t="shared" si="8"/>
        <v>0</v>
      </c>
      <c r="P75" s="2" t="e">
        <f t="shared" si="9"/>
        <v>#DIV/0!</v>
      </c>
      <c r="Q75" s="2">
        <f t="shared" si="10"/>
        <v>0</v>
      </c>
      <c r="R75" s="2" t="e">
        <f t="shared" si="11"/>
        <v>#DIV/0!</v>
      </c>
      <c r="S75" s="2" t="e">
        <f t="shared" si="12"/>
        <v>#DIV/0!</v>
      </c>
    </row>
    <row r="76" spans="2:19" x14ac:dyDescent="0.25">
      <c r="B76" s="1">
        <f t="shared" si="13"/>
        <v>70</v>
      </c>
      <c r="L76" s="15"/>
      <c r="O76" s="2">
        <f t="shared" si="8"/>
        <v>0</v>
      </c>
      <c r="P76" s="2" t="e">
        <f t="shared" si="9"/>
        <v>#DIV/0!</v>
      </c>
      <c r="Q76" s="2">
        <f t="shared" si="10"/>
        <v>0</v>
      </c>
      <c r="R76" s="2" t="e">
        <f t="shared" si="11"/>
        <v>#DIV/0!</v>
      </c>
      <c r="S76" s="2" t="e">
        <f t="shared" si="12"/>
        <v>#DIV/0!</v>
      </c>
    </row>
    <row r="77" spans="2:19" x14ac:dyDescent="0.25">
      <c r="B77" s="1">
        <f t="shared" si="13"/>
        <v>71</v>
      </c>
      <c r="L77" s="15"/>
      <c r="O77" s="2">
        <f t="shared" si="8"/>
        <v>0</v>
      </c>
      <c r="P77" s="2" t="e">
        <f t="shared" si="9"/>
        <v>#DIV/0!</v>
      </c>
      <c r="Q77" s="2">
        <f t="shared" si="10"/>
        <v>0</v>
      </c>
      <c r="R77" s="2" t="e">
        <f t="shared" si="11"/>
        <v>#DIV/0!</v>
      </c>
      <c r="S77" s="2" t="e">
        <f t="shared" si="12"/>
        <v>#DIV/0!</v>
      </c>
    </row>
    <row r="78" spans="2:19" x14ac:dyDescent="0.25">
      <c r="B78" s="1">
        <f t="shared" si="13"/>
        <v>72</v>
      </c>
      <c r="L78" s="15"/>
      <c r="O78" s="2">
        <f t="shared" si="8"/>
        <v>0</v>
      </c>
      <c r="P78" s="2" t="e">
        <f t="shared" si="9"/>
        <v>#DIV/0!</v>
      </c>
      <c r="Q78" s="2">
        <f t="shared" si="10"/>
        <v>0</v>
      </c>
      <c r="R78" s="2" t="e">
        <f t="shared" si="11"/>
        <v>#DIV/0!</v>
      </c>
      <c r="S78" s="2" t="e">
        <f t="shared" si="12"/>
        <v>#DIV/0!</v>
      </c>
    </row>
    <row r="79" spans="2:19" x14ac:dyDescent="0.25">
      <c r="B79" s="1">
        <f t="shared" si="13"/>
        <v>73</v>
      </c>
      <c r="L79" s="15"/>
      <c r="O79" s="2">
        <f t="shared" si="8"/>
        <v>0</v>
      </c>
      <c r="P79" s="2" t="e">
        <f t="shared" si="9"/>
        <v>#DIV/0!</v>
      </c>
      <c r="Q79" s="2">
        <f t="shared" si="10"/>
        <v>0</v>
      </c>
      <c r="R79" s="2" t="e">
        <f t="shared" si="11"/>
        <v>#DIV/0!</v>
      </c>
      <c r="S79" s="2" t="e">
        <f t="shared" si="12"/>
        <v>#DIV/0!</v>
      </c>
    </row>
    <row r="80" spans="2:19" x14ac:dyDescent="0.25">
      <c r="B80" s="1">
        <f t="shared" si="13"/>
        <v>74</v>
      </c>
      <c r="L80" s="15"/>
      <c r="O80" s="2">
        <f t="shared" si="8"/>
        <v>0</v>
      </c>
      <c r="P80" s="2" t="e">
        <f t="shared" si="9"/>
        <v>#DIV/0!</v>
      </c>
      <c r="Q80" s="2">
        <f t="shared" si="10"/>
        <v>0</v>
      </c>
      <c r="R80" s="2" t="e">
        <f t="shared" si="11"/>
        <v>#DIV/0!</v>
      </c>
      <c r="S80" s="2" t="e">
        <f t="shared" si="12"/>
        <v>#DIV/0!</v>
      </c>
    </row>
    <row r="81" spans="2:19" x14ac:dyDescent="0.25">
      <c r="B81" s="1">
        <f t="shared" si="13"/>
        <v>75</v>
      </c>
      <c r="L81" s="15"/>
      <c r="O81" s="2">
        <f t="shared" si="8"/>
        <v>0</v>
      </c>
      <c r="P81" s="2" t="e">
        <f t="shared" si="9"/>
        <v>#DIV/0!</v>
      </c>
      <c r="Q81" s="2">
        <f t="shared" si="10"/>
        <v>0</v>
      </c>
      <c r="R81" s="2" t="e">
        <f t="shared" si="11"/>
        <v>#DIV/0!</v>
      </c>
      <c r="S81" s="2" t="e">
        <f t="shared" si="12"/>
        <v>#DIV/0!</v>
      </c>
    </row>
    <row r="82" spans="2:19" x14ac:dyDescent="0.25">
      <c r="B82" s="1">
        <f t="shared" si="13"/>
        <v>76</v>
      </c>
      <c r="L82" s="15"/>
      <c r="O82" s="2">
        <f t="shared" si="8"/>
        <v>0</v>
      </c>
      <c r="P82" s="2" t="e">
        <f t="shared" si="9"/>
        <v>#DIV/0!</v>
      </c>
      <c r="Q82" s="2">
        <f t="shared" si="10"/>
        <v>0</v>
      </c>
      <c r="R82" s="2" t="e">
        <f t="shared" si="11"/>
        <v>#DIV/0!</v>
      </c>
      <c r="S82" s="2" t="e">
        <f t="shared" si="12"/>
        <v>#DIV/0!</v>
      </c>
    </row>
    <row r="83" spans="2:19" x14ac:dyDescent="0.25">
      <c r="B83" s="1">
        <f t="shared" si="13"/>
        <v>77</v>
      </c>
      <c r="L83" s="15"/>
      <c r="O83" s="2">
        <f t="shared" si="8"/>
        <v>0</v>
      </c>
      <c r="P83" s="2" t="e">
        <f t="shared" si="9"/>
        <v>#DIV/0!</v>
      </c>
      <c r="Q83" s="2">
        <f t="shared" si="10"/>
        <v>0</v>
      </c>
      <c r="R83" s="2" t="e">
        <f t="shared" si="11"/>
        <v>#DIV/0!</v>
      </c>
      <c r="S83" s="2" t="e">
        <f t="shared" si="12"/>
        <v>#DIV/0!</v>
      </c>
    </row>
    <row r="84" spans="2:19" x14ac:dyDescent="0.25">
      <c r="B84" s="1">
        <f t="shared" si="13"/>
        <v>78</v>
      </c>
      <c r="L84" s="15"/>
      <c r="O84" s="2">
        <f t="shared" si="8"/>
        <v>0</v>
      </c>
      <c r="P84" s="2" t="e">
        <f t="shared" si="9"/>
        <v>#DIV/0!</v>
      </c>
      <c r="Q84" s="2">
        <f t="shared" si="10"/>
        <v>0</v>
      </c>
      <c r="R84" s="2" t="e">
        <f t="shared" si="11"/>
        <v>#DIV/0!</v>
      </c>
      <c r="S84" s="2" t="e">
        <f t="shared" si="12"/>
        <v>#DIV/0!</v>
      </c>
    </row>
    <row r="85" spans="2:19" x14ac:dyDescent="0.25">
      <c r="B85" s="1">
        <f t="shared" si="13"/>
        <v>79</v>
      </c>
      <c r="L85" s="15"/>
      <c r="O85" s="2">
        <f t="shared" si="8"/>
        <v>0</v>
      </c>
      <c r="P85" s="2" t="e">
        <f t="shared" si="9"/>
        <v>#DIV/0!</v>
      </c>
      <c r="Q85" s="2">
        <f t="shared" si="10"/>
        <v>0</v>
      </c>
      <c r="R85" s="2" t="e">
        <f t="shared" si="11"/>
        <v>#DIV/0!</v>
      </c>
      <c r="S85" s="2" t="e">
        <f t="shared" si="12"/>
        <v>#DIV/0!</v>
      </c>
    </row>
    <row r="86" spans="2:19" x14ac:dyDescent="0.25">
      <c r="B86" s="1">
        <f t="shared" si="13"/>
        <v>80</v>
      </c>
      <c r="L86" s="15"/>
      <c r="O86" s="2">
        <f t="shared" si="8"/>
        <v>0</v>
      </c>
      <c r="P86" s="2" t="e">
        <f t="shared" si="9"/>
        <v>#DIV/0!</v>
      </c>
      <c r="Q86" s="2">
        <f t="shared" si="10"/>
        <v>0</v>
      </c>
      <c r="R86" s="2" t="e">
        <f t="shared" si="11"/>
        <v>#DIV/0!</v>
      </c>
      <c r="S86" s="2" t="e">
        <f t="shared" si="12"/>
        <v>#DIV/0!</v>
      </c>
    </row>
    <row r="87" spans="2:19" x14ac:dyDescent="0.25">
      <c r="B87" s="1">
        <f t="shared" si="13"/>
        <v>81</v>
      </c>
      <c r="L87" s="15"/>
      <c r="O87" s="2">
        <f t="shared" si="8"/>
        <v>0</v>
      </c>
      <c r="P87" s="2" t="e">
        <f t="shared" si="9"/>
        <v>#DIV/0!</v>
      </c>
      <c r="Q87" s="2">
        <f t="shared" si="10"/>
        <v>0</v>
      </c>
      <c r="R87" s="2" t="e">
        <f t="shared" si="11"/>
        <v>#DIV/0!</v>
      </c>
      <c r="S87" s="2" t="e">
        <f t="shared" si="12"/>
        <v>#DIV/0!</v>
      </c>
    </row>
    <row r="88" spans="2:19" x14ac:dyDescent="0.25">
      <c r="B88" s="1">
        <f t="shared" si="13"/>
        <v>82</v>
      </c>
      <c r="L88" s="15"/>
      <c r="O88" s="2">
        <f t="shared" si="8"/>
        <v>0</v>
      </c>
      <c r="P88" s="2" t="e">
        <f t="shared" si="9"/>
        <v>#DIV/0!</v>
      </c>
      <c r="Q88" s="2">
        <f t="shared" si="10"/>
        <v>0</v>
      </c>
      <c r="R88" s="2" t="e">
        <f t="shared" si="11"/>
        <v>#DIV/0!</v>
      </c>
      <c r="S88" s="2" t="e">
        <f t="shared" si="12"/>
        <v>#DIV/0!</v>
      </c>
    </row>
    <row r="89" spans="2:19" x14ac:dyDescent="0.25">
      <c r="B89" s="1">
        <f t="shared" si="13"/>
        <v>83</v>
      </c>
      <c r="L89" s="15"/>
      <c r="O89" s="2">
        <f t="shared" si="8"/>
        <v>0</v>
      </c>
      <c r="P89" s="2" t="e">
        <f t="shared" si="9"/>
        <v>#DIV/0!</v>
      </c>
      <c r="Q89" s="2">
        <f t="shared" si="10"/>
        <v>0</v>
      </c>
      <c r="R89" s="2" t="e">
        <f t="shared" si="11"/>
        <v>#DIV/0!</v>
      </c>
      <c r="S89" s="2" t="e">
        <f t="shared" si="12"/>
        <v>#DIV/0!</v>
      </c>
    </row>
    <row r="90" spans="2:19" x14ac:dyDescent="0.25">
      <c r="B90" s="1">
        <f t="shared" si="13"/>
        <v>84</v>
      </c>
      <c r="L90" s="15"/>
      <c r="O90" s="2">
        <f t="shared" si="8"/>
        <v>0</v>
      </c>
      <c r="P90" s="2" t="e">
        <f t="shared" si="9"/>
        <v>#DIV/0!</v>
      </c>
      <c r="Q90" s="2">
        <f t="shared" si="10"/>
        <v>0</v>
      </c>
      <c r="R90" s="2" t="e">
        <f t="shared" si="11"/>
        <v>#DIV/0!</v>
      </c>
      <c r="S90" s="2" t="e">
        <f t="shared" si="12"/>
        <v>#DIV/0!</v>
      </c>
    </row>
    <row r="91" spans="2:19" x14ac:dyDescent="0.25">
      <c r="B91" s="1">
        <f t="shared" si="13"/>
        <v>85</v>
      </c>
      <c r="L91" s="15"/>
      <c r="O91" s="2">
        <f t="shared" si="8"/>
        <v>0</v>
      </c>
      <c r="P91" s="2" t="e">
        <f t="shared" si="9"/>
        <v>#DIV/0!</v>
      </c>
      <c r="Q91" s="2">
        <f t="shared" si="10"/>
        <v>0</v>
      </c>
      <c r="R91" s="2" t="e">
        <f t="shared" si="11"/>
        <v>#DIV/0!</v>
      </c>
      <c r="S91" s="2" t="e">
        <f t="shared" si="12"/>
        <v>#DIV/0!</v>
      </c>
    </row>
    <row r="92" spans="2:19" x14ac:dyDescent="0.25">
      <c r="B92" s="1">
        <f t="shared" si="13"/>
        <v>86</v>
      </c>
      <c r="L92" s="15"/>
      <c r="O92" s="2">
        <f t="shared" si="8"/>
        <v>0</v>
      </c>
      <c r="P92" s="2" t="e">
        <f t="shared" si="9"/>
        <v>#DIV/0!</v>
      </c>
      <c r="Q92" s="2">
        <f t="shared" si="10"/>
        <v>0</v>
      </c>
      <c r="R92" s="2" t="e">
        <f t="shared" si="11"/>
        <v>#DIV/0!</v>
      </c>
      <c r="S92" s="2" t="e">
        <f t="shared" si="12"/>
        <v>#DIV/0!</v>
      </c>
    </row>
    <row r="93" spans="2:19" x14ac:dyDescent="0.25">
      <c r="B93" s="1">
        <f t="shared" si="13"/>
        <v>87</v>
      </c>
      <c r="L93" s="15"/>
      <c r="O93" s="2">
        <f t="shared" si="8"/>
        <v>0</v>
      </c>
      <c r="P93" s="2" t="e">
        <f t="shared" si="9"/>
        <v>#DIV/0!</v>
      </c>
      <c r="Q93" s="2">
        <f t="shared" si="10"/>
        <v>0</v>
      </c>
      <c r="R93" s="2" t="e">
        <f t="shared" si="11"/>
        <v>#DIV/0!</v>
      </c>
      <c r="S93" s="2" t="e">
        <f t="shared" si="12"/>
        <v>#DIV/0!</v>
      </c>
    </row>
    <row r="94" spans="2:19" x14ac:dyDescent="0.25">
      <c r="B94" s="1">
        <f t="shared" si="13"/>
        <v>88</v>
      </c>
      <c r="L94" s="15"/>
      <c r="O94" s="2">
        <f t="shared" si="8"/>
        <v>0</v>
      </c>
      <c r="P94" s="2" t="e">
        <f t="shared" si="9"/>
        <v>#DIV/0!</v>
      </c>
      <c r="Q94" s="2">
        <f t="shared" si="10"/>
        <v>0</v>
      </c>
      <c r="R94" s="2" t="e">
        <f t="shared" si="11"/>
        <v>#DIV/0!</v>
      </c>
      <c r="S94" s="2" t="e">
        <f t="shared" si="12"/>
        <v>#DIV/0!</v>
      </c>
    </row>
    <row r="95" spans="2:19" x14ac:dyDescent="0.25">
      <c r="B95" s="1">
        <f t="shared" si="13"/>
        <v>89</v>
      </c>
      <c r="L95" s="15"/>
      <c r="O95" s="2">
        <f t="shared" si="8"/>
        <v>0</v>
      </c>
      <c r="P95" s="2" t="e">
        <f t="shared" si="9"/>
        <v>#DIV/0!</v>
      </c>
      <c r="Q95" s="2">
        <f t="shared" si="10"/>
        <v>0</v>
      </c>
      <c r="R95" s="2" t="e">
        <f t="shared" si="11"/>
        <v>#DIV/0!</v>
      </c>
      <c r="S95" s="2" t="e">
        <f t="shared" si="12"/>
        <v>#DIV/0!</v>
      </c>
    </row>
    <row r="96" spans="2:19" x14ac:dyDescent="0.25">
      <c r="B96" s="1">
        <f t="shared" si="13"/>
        <v>90</v>
      </c>
      <c r="L96" s="15"/>
      <c r="O96" s="2">
        <f t="shared" si="8"/>
        <v>0</v>
      </c>
      <c r="P96" s="2" t="e">
        <f t="shared" si="9"/>
        <v>#DIV/0!</v>
      </c>
      <c r="Q96" s="2">
        <f t="shared" si="10"/>
        <v>0</v>
      </c>
      <c r="R96" s="2" t="e">
        <f t="shared" si="11"/>
        <v>#DIV/0!</v>
      </c>
      <c r="S96" s="2" t="e">
        <f t="shared" si="12"/>
        <v>#DIV/0!</v>
      </c>
    </row>
    <row r="97" spans="2:19" x14ac:dyDescent="0.25">
      <c r="B97" s="1">
        <f t="shared" si="13"/>
        <v>91</v>
      </c>
      <c r="L97" s="15"/>
      <c r="O97" s="2">
        <f t="shared" si="8"/>
        <v>0</v>
      </c>
      <c r="P97" s="2" t="e">
        <f t="shared" si="9"/>
        <v>#DIV/0!</v>
      </c>
      <c r="Q97" s="2">
        <f t="shared" si="10"/>
        <v>0</v>
      </c>
      <c r="R97" s="2" t="e">
        <f t="shared" si="11"/>
        <v>#DIV/0!</v>
      </c>
      <c r="S97" s="2" t="e">
        <f t="shared" si="12"/>
        <v>#DIV/0!</v>
      </c>
    </row>
    <row r="98" spans="2:19" x14ac:dyDescent="0.25">
      <c r="B98" s="1">
        <f t="shared" si="13"/>
        <v>92</v>
      </c>
      <c r="L98" s="15"/>
      <c r="O98" s="2">
        <f t="shared" si="8"/>
        <v>0</v>
      </c>
      <c r="P98" s="2" t="e">
        <f t="shared" si="9"/>
        <v>#DIV/0!</v>
      </c>
      <c r="Q98" s="2">
        <f t="shared" si="10"/>
        <v>0</v>
      </c>
      <c r="R98" s="2" t="e">
        <f t="shared" si="11"/>
        <v>#DIV/0!</v>
      </c>
      <c r="S98" s="2" t="e">
        <f t="shared" si="12"/>
        <v>#DIV/0!</v>
      </c>
    </row>
    <row r="99" spans="2:19" x14ac:dyDescent="0.25">
      <c r="B99" s="1">
        <f t="shared" si="13"/>
        <v>93</v>
      </c>
      <c r="L99" s="15"/>
      <c r="O99" s="2">
        <f t="shared" si="8"/>
        <v>0</v>
      </c>
      <c r="P99" s="2" t="e">
        <f t="shared" si="9"/>
        <v>#DIV/0!</v>
      </c>
      <c r="Q99" s="2">
        <f t="shared" si="10"/>
        <v>0</v>
      </c>
      <c r="R99" s="2" t="e">
        <f t="shared" si="11"/>
        <v>#DIV/0!</v>
      </c>
      <c r="S99" s="2" t="e">
        <f t="shared" si="12"/>
        <v>#DIV/0!</v>
      </c>
    </row>
    <row r="100" spans="2:19" x14ac:dyDescent="0.25">
      <c r="B100" s="1">
        <f t="shared" si="13"/>
        <v>94</v>
      </c>
      <c r="L100" s="15"/>
      <c r="O100" s="2">
        <f t="shared" si="8"/>
        <v>0</v>
      </c>
      <c r="P100" s="2" t="e">
        <f t="shared" si="9"/>
        <v>#DIV/0!</v>
      </c>
      <c r="Q100" s="2">
        <f t="shared" si="10"/>
        <v>0</v>
      </c>
      <c r="R100" s="2" t="e">
        <f t="shared" si="11"/>
        <v>#DIV/0!</v>
      </c>
      <c r="S100" s="2" t="e">
        <f t="shared" si="12"/>
        <v>#DIV/0!</v>
      </c>
    </row>
    <row r="101" spans="2:19" x14ac:dyDescent="0.25">
      <c r="B101" s="1">
        <f t="shared" si="13"/>
        <v>95</v>
      </c>
      <c r="L101" s="15"/>
      <c r="O101" s="2">
        <f t="shared" si="8"/>
        <v>0</v>
      </c>
      <c r="P101" s="2" t="e">
        <f t="shared" si="9"/>
        <v>#DIV/0!</v>
      </c>
      <c r="Q101" s="2">
        <f t="shared" si="10"/>
        <v>0</v>
      </c>
      <c r="R101" s="2" t="e">
        <f t="shared" si="11"/>
        <v>#DIV/0!</v>
      </c>
      <c r="S101" s="2" t="e">
        <f t="shared" si="12"/>
        <v>#DIV/0!</v>
      </c>
    </row>
    <row r="102" spans="2:19" x14ac:dyDescent="0.25">
      <c r="B102" s="1">
        <f t="shared" si="13"/>
        <v>96</v>
      </c>
      <c r="L102" s="15"/>
      <c r="O102" s="2">
        <f t="shared" si="8"/>
        <v>0</v>
      </c>
      <c r="P102" s="2" t="e">
        <f t="shared" si="9"/>
        <v>#DIV/0!</v>
      </c>
      <c r="Q102" s="2">
        <f t="shared" si="10"/>
        <v>0</v>
      </c>
      <c r="R102" s="2" t="e">
        <f t="shared" si="11"/>
        <v>#DIV/0!</v>
      </c>
      <c r="S102" s="2" t="e">
        <f t="shared" si="12"/>
        <v>#DIV/0!</v>
      </c>
    </row>
    <row r="103" spans="2:19" x14ac:dyDescent="0.25">
      <c r="B103" s="1">
        <f t="shared" si="13"/>
        <v>97</v>
      </c>
      <c r="L103" s="15"/>
      <c r="O103" s="2">
        <f t="shared" si="8"/>
        <v>0</v>
      </c>
      <c r="P103" s="2" t="e">
        <f t="shared" si="9"/>
        <v>#DIV/0!</v>
      </c>
      <c r="Q103" s="2">
        <f t="shared" si="10"/>
        <v>0</v>
      </c>
      <c r="R103" s="2" t="e">
        <f t="shared" si="11"/>
        <v>#DIV/0!</v>
      </c>
      <c r="S103" s="2" t="e">
        <f t="shared" si="12"/>
        <v>#DIV/0!</v>
      </c>
    </row>
    <row r="104" spans="2:19" x14ac:dyDescent="0.25">
      <c r="B104" s="1">
        <f t="shared" si="13"/>
        <v>98</v>
      </c>
      <c r="L104" s="15"/>
      <c r="O104" s="2">
        <f t="shared" si="8"/>
        <v>0</v>
      </c>
      <c r="P104" s="2" t="e">
        <f t="shared" si="9"/>
        <v>#DIV/0!</v>
      </c>
      <c r="Q104" s="2">
        <f t="shared" si="10"/>
        <v>0</v>
      </c>
      <c r="R104" s="2" t="e">
        <f t="shared" si="11"/>
        <v>#DIV/0!</v>
      </c>
      <c r="S104" s="2" t="e">
        <f t="shared" si="12"/>
        <v>#DIV/0!</v>
      </c>
    </row>
    <row r="105" spans="2:19" x14ac:dyDescent="0.25">
      <c r="B105" s="1">
        <f t="shared" si="13"/>
        <v>99</v>
      </c>
      <c r="L105" s="15"/>
      <c r="O105" s="2">
        <f t="shared" si="8"/>
        <v>0</v>
      </c>
      <c r="P105" s="2" t="e">
        <f t="shared" si="9"/>
        <v>#DIV/0!</v>
      </c>
      <c r="Q105" s="2">
        <f t="shared" si="10"/>
        <v>0</v>
      </c>
      <c r="R105" s="2" t="e">
        <f t="shared" si="11"/>
        <v>#DIV/0!</v>
      </c>
      <c r="S105" s="2" t="e">
        <f t="shared" si="12"/>
        <v>#DIV/0!</v>
      </c>
    </row>
    <row r="106" spans="2:19" x14ac:dyDescent="0.25">
      <c r="B106" s="1">
        <f t="shared" si="13"/>
        <v>100</v>
      </c>
      <c r="L106" s="15"/>
      <c r="O106" s="2">
        <f t="shared" si="8"/>
        <v>0</v>
      </c>
      <c r="P106" s="2" t="e">
        <f t="shared" si="9"/>
        <v>#DIV/0!</v>
      </c>
      <c r="Q106" s="2">
        <f t="shared" si="10"/>
        <v>0</v>
      </c>
      <c r="R106" s="2" t="e">
        <f t="shared" si="11"/>
        <v>#DIV/0!</v>
      </c>
      <c r="S106" s="2" t="e">
        <f t="shared" si="12"/>
        <v>#DIV/0!</v>
      </c>
    </row>
    <row r="107" spans="2:19" x14ac:dyDescent="0.25">
      <c r="B107" s="1">
        <f t="shared" si="13"/>
        <v>101</v>
      </c>
      <c r="L107" s="15"/>
      <c r="O107" s="2">
        <f t="shared" si="8"/>
        <v>0</v>
      </c>
      <c r="P107" s="2" t="e">
        <f t="shared" si="9"/>
        <v>#DIV/0!</v>
      </c>
      <c r="Q107" s="2">
        <f t="shared" si="10"/>
        <v>0</v>
      </c>
      <c r="R107" s="2" t="e">
        <f t="shared" si="11"/>
        <v>#DIV/0!</v>
      </c>
      <c r="S107" s="2" t="e">
        <f t="shared" si="12"/>
        <v>#DIV/0!</v>
      </c>
    </row>
    <row r="108" spans="2:19" x14ac:dyDescent="0.25">
      <c r="B108" s="1">
        <f t="shared" si="13"/>
        <v>102</v>
      </c>
      <c r="L108" s="15"/>
      <c r="O108" s="2">
        <f t="shared" si="8"/>
        <v>0</v>
      </c>
      <c r="P108" s="2" t="e">
        <f t="shared" si="9"/>
        <v>#DIV/0!</v>
      </c>
      <c r="Q108" s="2">
        <f t="shared" si="10"/>
        <v>0</v>
      </c>
      <c r="R108" s="2" t="e">
        <f t="shared" si="11"/>
        <v>#DIV/0!</v>
      </c>
      <c r="S108" s="2" t="e">
        <f t="shared" si="12"/>
        <v>#DIV/0!</v>
      </c>
    </row>
    <row r="109" spans="2:19" x14ac:dyDescent="0.25">
      <c r="B109" s="1">
        <f t="shared" si="13"/>
        <v>103</v>
      </c>
      <c r="L109" s="15"/>
      <c r="O109" s="2">
        <f t="shared" si="8"/>
        <v>0</v>
      </c>
      <c r="P109" s="2" t="e">
        <f t="shared" si="9"/>
        <v>#DIV/0!</v>
      </c>
      <c r="Q109" s="2">
        <f t="shared" si="10"/>
        <v>0</v>
      </c>
      <c r="R109" s="2" t="e">
        <f t="shared" si="11"/>
        <v>#DIV/0!</v>
      </c>
      <c r="S109" s="2" t="e">
        <f t="shared" si="12"/>
        <v>#DIV/0!</v>
      </c>
    </row>
    <row r="110" spans="2:19" x14ac:dyDescent="0.25">
      <c r="B110" s="1">
        <f t="shared" si="13"/>
        <v>104</v>
      </c>
      <c r="L110" s="15"/>
      <c r="O110" s="2">
        <f t="shared" si="8"/>
        <v>0</v>
      </c>
      <c r="P110" s="2" t="e">
        <f t="shared" si="9"/>
        <v>#DIV/0!</v>
      </c>
      <c r="Q110" s="2">
        <f t="shared" si="10"/>
        <v>0</v>
      </c>
      <c r="R110" s="2" t="e">
        <f t="shared" si="11"/>
        <v>#DIV/0!</v>
      </c>
      <c r="S110" s="2" t="e">
        <f t="shared" si="12"/>
        <v>#DIV/0!</v>
      </c>
    </row>
    <row r="111" spans="2:19" x14ac:dyDescent="0.25">
      <c r="B111" s="1">
        <f t="shared" si="13"/>
        <v>105</v>
      </c>
      <c r="L111" s="15"/>
      <c r="O111" s="2">
        <f t="shared" si="8"/>
        <v>0</v>
      </c>
      <c r="P111" s="2" t="e">
        <f t="shared" si="9"/>
        <v>#DIV/0!</v>
      </c>
      <c r="Q111" s="2">
        <f t="shared" si="10"/>
        <v>0</v>
      </c>
      <c r="R111" s="2" t="e">
        <f t="shared" si="11"/>
        <v>#DIV/0!</v>
      </c>
      <c r="S111" s="2" t="e">
        <f t="shared" si="12"/>
        <v>#DIV/0!</v>
      </c>
    </row>
    <row r="112" spans="2:19" x14ac:dyDescent="0.25">
      <c r="B112" s="1">
        <f t="shared" si="13"/>
        <v>106</v>
      </c>
      <c r="L112" s="15"/>
      <c r="O112" s="2">
        <f t="shared" si="8"/>
        <v>0</v>
      </c>
      <c r="P112" s="2" t="e">
        <f t="shared" si="9"/>
        <v>#DIV/0!</v>
      </c>
      <c r="Q112" s="2">
        <f t="shared" si="10"/>
        <v>0</v>
      </c>
      <c r="R112" s="2" t="e">
        <f t="shared" si="11"/>
        <v>#DIV/0!</v>
      </c>
      <c r="S112" s="2" t="e">
        <f t="shared" si="12"/>
        <v>#DIV/0!</v>
      </c>
    </row>
    <row r="113" spans="2:19" x14ac:dyDescent="0.25">
      <c r="B113" s="1">
        <f t="shared" si="13"/>
        <v>107</v>
      </c>
      <c r="L113" s="15"/>
      <c r="O113" s="2">
        <f t="shared" si="8"/>
        <v>0</v>
      </c>
      <c r="P113" s="2" t="e">
        <f t="shared" si="9"/>
        <v>#DIV/0!</v>
      </c>
      <c r="Q113" s="2">
        <f t="shared" si="10"/>
        <v>0</v>
      </c>
      <c r="R113" s="2" t="e">
        <f t="shared" si="11"/>
        <v>#DIV/0!</v>
      </c>
      <c r="S113" s="2" t="e">
        <f t="shared" si="12"/>
        <v>#DIV/0!</v>
      </c>
    </row>
    <row r="114" spans="2:19" x14ac:dyDescent="0.25">
      <c r="B114" s="1">
        <f t="shared" si="13"/>
        <v>108</v>
      </c>
      <c r="L114" s="15"/>
      <c r="O114" s="2">
        <f t="shared" si="8"/>
        <v>0</v>
      </c>
      <c r="P114" s="2" t="e">
        <f t="shared" si="9"/>
        <v>#DIV/0!</v>
      </c>
      <c r="Q114" s="2">
        <f t="shared" si="10"/>
        <v>0</v>
      </c>
      <c r="R114" s="2" t="e">
        <f t="shared" si="11"/>
        <v>#DIV/0!</v>
      </c>
      <c r="S114" s="2" t="e">
        <f t="shared" si="12"/>
        <v>#DIV/0!</v>
      </c>
    </row>
    <row r="115" spans="2:19" x14ac:dyDescent="0.25">
      <c r="B115" s="1">
        <f t="shared" si="13"/>
        <v>109</v>
      </c>
      <c r="L115" s="15"/>
      <c r="O115" s="2">
        <f t="shared" si="8"/>
        <v>0</v>
      </c>
      <c r="P115" s="2" t="e">
        <f t="shared" si="9"/>
        <v>#DIV/0!</v>
      </c>
      <c r="Q115" s="2">
        <f t="shared" si="10"/>
        <v>0</v>
      </c>
      <c r="R115" s="2" t="e">
        <f t="shared" si="11"/>
        <v>#DIV/0!</v>
      </c>
      <c r="S115" s="2" t="e">
        <f t="shared" si="12"/>
        <v>#DIV/0!</v>
      </c>
    </row>
    <row r="116" spans="2:19" x14ac:dyDescent="0.25">
      <c r="B116" s="1">
        <f t="shared" si="13"/>
        <v>110</v>
      </c>
      <c r="L116" s="15"/>
      <c r="O116" s="2">
        <f t="shared" si="8"/>
        <v>0</v>
      </c>
      <c r="P116" s="2" t="e">
        <f t="shared" si="9"/>
        <v>#DIV/0!</v>
      </c>
      <c r="Q116" s="2">
        <f t="shared" si="10"/>
        <v>0</v>
      </c>
      <c r="R116" s="2" t="e">
        <f t="shared" si="11"/>
        <v>#DIV/0!</v>
      </c>
      <c r="S116" s="2" t="e">
        <f t="shared" si="12"/>
        <v>#DIV/0!</v>
      </c>
    </row>
    <row r="117" spans="2:19" x14ac:dyDescent="0.25">
      <c r="B117" s="1">
        <f t="shared" si="13"/>
        <v>111</v>
      </c>
      <c r="L117" s="15"/>
      <c r="O117" s="2">
        <f t="shared" si="8"/>
        <v>0</v>
      </c>
      <c r="P117" s="2" t="e">
        <f t="shared" si="9"/>
        <v>#DIV/0!</v>
      </c>
      <c r="Q117" s="2">
        <f t="shared" si="10"/>
        <v>0</v>
      </c>
      <c r="R117" s="2" t="e">
        <f t="shared" si="11"/>
        <v>#DIV/0!</v>
      </c>
      <c r="S117" s="2" t="e">
        <f t="shared" si="12"/>
        <v>#DIV/0!</v>
      </c>
    </row>
    <row r="118" spans="2:19" x14ac:dyDescent="0.25">
      <c r="B118" s="1">
        <f t="shared" si="13"/>
        <v>112</v>
      </c>
      <c r="L118" s="15"/>
      <c r="O118" s="2">
        <f t="shared" si="8"/>
        <v>0</v>
      </c>
      <c r="P118" s="2" t="e">
        <f t="shared" si="9"/>
        <v>#DIV/0!</v>
      </c>
      <c r="Q118" s="2">
        <f t="shared" si="10"/>
        <v>0</v>
      </c>
      <c r="R118" s="2" t="e">
        <f t="shared" si="11"/>
        <v>#DIV/0!</v>
      </c>
      <c r="S118" s="2" t="e">
        <f t="shared" si="12"/>
        <v>#DIV/0!</v>
      </c>
    </row>
    <row r="119" spans="2:19" x14ac:dyDescent="0.25">
      <c r="B119" s="1">
        <f t="shared" si="13"/>
        <v>113</v>
      </c>
      <c r="L119" s="15"/>
      <c r="O119" s="2">
        <f t="shared" si="8"/>
        <v>0</v>
      </c>
      <c r="P119" s="2" t="e">
        <f t="shared" si="9"/>
        <v>#DIV/0!</v>
      </c>
      <c r="Q119" s="2">
        <f t="shared" si="10"/>
        <v>0</v>
      </c>
      <c r="R119" s="2" t="e">
        <f t="shared" si="11"/>
        <v>#DIV/0!</v>
      </c>
      <c r="S119" s="2" t="e">
        <f t="shared" si="12"/>
        <v>#DIV/0!</v>
      </c>
    </row>
    <row r="120" spans="2:19" x14ac:dyDescent="0.25">
      <c r="B120" s="1">
        <f t="shared" si="13"/>
        <v>114</v>
      </c>
      <c r="L120" s="15"/>
      <c r="O120" s="2">
        <f t="shared" si="8"/>
        <v>0</v>
      </c>
      <c r="P120" s="2" t="e">
        <f t="shared" si="9"/>
        <v>#DIV/0!</v>
      </c>
      <c r="Q120" s="2">
        <f t="shared" si="10"/>
        <v>0</v>
      </c>
      <c r="R120" s="2" t="e">
        <f t="shared" si="11"/>
        <v>#DIV/0!</v>
      </c>
      <c r="S120" s="2" t="e">
        <f t="shared" si="12"/>
        <v>#DIV/0!</v>
      </c>
    </row>
    <row r="121" spans="2:19" x14ac:dyDescent="0.25">
      <c r="B121" s="1">
        <f t="shared" si="13"/>
        <v>115</v>
      </c>
      <c r="L121" s="15"/>
      <c r="O121" s="2">
        <f t="shared" si="8"/>
        <v>0</v>
      </c>
      <c r="P121" s="2" t="e">
        <f t="shared" si="9"/>
        <v>#DIV/0!</v>
      </c>
      <c r="Q121" s="2">
        <f t="shared" si="10"/>
        <v>0</v>
      </c>
      <c r="R121" s="2" t="e">
        <f t="shared" si="11"/>
        <v>#DIV/0!</v>
      </c>
      <c r="S121" s="2" t="e">
        <f t="shared" si="12"/>
        <v>#DIV/0!</v>
      </c>
    </row>
    <row r="122" spans="2:19" x14ac:dyDescent="0.25">
      <c r="B122" s="1">
        <f t="shared" si="13"/>
        <v>116</v>
      </c>
      <c r="L122" s="15"/>
      <c r="O122" s="2">
        <f t="shared" si="8"/>
        <v>0</v>
      </c>
      <c r="P122" s="2" t="e">
        <f t="shared" si="9"/>
        <v>#DIV/0!</v>
      </c>
      <c r="Q122" s="2">
        <f t="shared" si="10"/>
        <v>0</v>
      </c>
      <c r="R122" s="2" t="e">
        <f t="shared" si="11"/>
        <v>#DIV/0!</v>
      </c>
      <c r="S122" s="2" t="e">
        <f t="shared" si="12"/>
        <v>#DIV/0!</v>
      </c>
    </row>
    <row r="123" spans="2:19" x14ac:dyDescent="0.25">
      <c r="B123" s="1">
        <f t="shared" si="13"/>
        <v>117</v>
      </c>
      <c r="L123" s="15"/>
      <c r="O123" s="2">
        <f t="shared" si="8"/>
        <v>0</v>
      </c>
      <c r="P123" s="2" t="e">
        <f t="shared" si="9"/>
        <v>#DIV/0!</v>
      </c>
      <c r="Q123" s="2">
        <f t="shared" si="10"/>
        <v>0</v>
      </c>
      <c r="R123" s="2" t="e">
        <f t="shared" si="11"/>
        <v>#DIV/0!</v>
      </c>
      <c r="S123" s="2" t="e">
        <f t="shared" si="12"/>
        <v>#DIV/0!</v>
      </c>
    </row>
    <row r="124" spans="2:19" x14ac:dyDescent="0.25">
      <c r="B124" s="1">
        <f t="shared" si="13"/>
        <v>118</v>
      </c>
      <c r="L124" s="15"/>
      <c r="O124" s="2">
        <f t="shared" si="8"/>
        <v>0</v>
      </c>
      <c r="P124" s="2" t="e">
        <f t="shared" si="9"/>
        <v>#DIV/0!</v>
      </c>
      <c r="Q124" s="2">
        <f t="shared" si="10"/>
        <v>0</v>
      </c>
      <c r="R124" s="2" t="e">
        <f t="shared" si="11"/>
        <v>#DIV/0!</v>
      </c>
      <c r="S124" s="2" t="e">
        <f t="shared" si="12"/>
        <v>#DIV/0!</v>
      </c>
    </row>
    <row r="125" spans="2:19" x14ac:dyDescent="0.25">
      <c r="B125" s="1">
        <f t="shared" si="13"/>
        <v>119</v>
      </c>
      <c r="L125" s="15"/>
      <c r="O125" s="2">
        <f t="shared" si="8"/>
        <v>0</v>
      </c>
      <c r="P125" s="2" t="e">
        <f t="shared" si="9"/>
        <v>#DIV/0!</v>
      </c>
      <c r="Q125" s="2">
        <f t="shared" si="10"/>
        <v>0</v>
      </c>
      <c r="R125" s="2" t="e">
        <f t="shared" si="11"/>
        <v>#DIV/0!</v>
      </c>
      <c r="S125" s="2" t="e">
        <f t="shared" si="12"/>
        <v>#DIV/0!</v>
      </c>
    </row>
    <row r="126" spans="2:19" x14ac:dyDescent="0.25">
      <c r="B126" s="1">
        <f t="shared" si="13"/>
        <v>120</v>
      </c>
      <c r="L126" s="15"/>
      <c r="O126" s="2">
        <f t="shared" si="8"/>
        <v>0</v>
      </c>
      <c r="P126" s="2" t="e">
        <f t="shared" si="9"/>
        <v>#DIV/0!</v>
      </c>
      <c r="Q126" s="2">
        <f t="shared" si="10"/>
        <v>0</v>
      </c>
      <c r="R126" s="2" t="e">
        <f t="shared" si="11"/>
        <v>#DIV/0!</v>
      </c>
      <c r="S126" s="2" t="e">
        <f t="shared" si="12"/>
        <v>#DIV/0!</v>
      </c>
    </row>
    <row r="127" spans="2:19" x14ac:dyDescent="0.25">
      <c r="B127" s="1">
        <f t="shared" si="13"/>
        <v>121</v>
      </c>
      <c r="L127" s="15"/>
      <c r="O127" s="2">
        <f t="shared" si="8"/>
        <v>0</v>
      </c>
      <c r="P127" s="2" t="e">
        <f t="shared" si="9"/>
        <v>#DIV/0!</v>
      </c>
      <c r="Q127" s="2">
        <f t="shared" si="10"/>
        <v>0</v>
      </c>
      <c r="R127" s="2" t="e">
        <f t="shared" si="11"/>
        <v>#DIV/0!</v>
      </c>
      <c r="S127" s="2" t="e">
        <f t="shared" si="12"/>
        <v>#DIV/0!</v>
      </c>
    </row>
    <row r="128" spans="2:19" x14ac:dyDescent="0.25">
      <c r="B128" s="1">
        <f t="shared" si="13"/>
        <v>122</v>
      </c>
      <c r="L128" s="15"/>
      <c r="O128" s="2">
        <f t="shared" si="8"/>
        <v>0</v>
      </c>
      <c r="P128" s="2" t="e">
        <f t="shared" si="9"/>
        <v>#DIV/0!</v>
      </c>
      <c r="Q128" s="2">
        <f t="shared" si="10"/>
        <v>0</v>
      </c>
      <c r="R128" s="2" t="e">
        <f t="shared" si="11"/>
        <v>#DIV/0!</v>
      </c>
      <c r="S128" s="2" t="e">
        <f t="shared" si="12"/>
        <v>#DIV/0!</v>
      </c>
    </row>
    <row r="129" spans="2:19" x14ac:dyDescent="0.25">
      <c r="B129" s="1">
        <f t="shared" si="13"/>
        <v>123</v>
      </c>
      <c r="L129" s="15"/>
      <c r="O129" s="2">
        <f t="shared" si="8"/>
        <v>0</v>
      </c>
      <c r="P129" s="2" t="e">
        <f t="shared" si="9"/>
        <v>#DIV/0!</v>
      </c>
      <c r="Q129" s="2">
        <f t="shared" si="10"/>
        <v>0</v>
      </c>
      <c r="R129" s="2" t="e">
        <f t="shared" si="11"/>
        <v>#DIV/0!</v>
      </c>
      <c r="S129" s="2" t="e">
        <f t="shared" si="12"/>
        <v>#DIV/0!</v>
      </c>
    </row>
    <row r="130" spans="2:19" x14ac:dyDescent="0.25">
      <c r="B130" s="1">
        <f t="shared" si="13"/>
        <v>124</v>
      </c>
      <c r="L130" s="15"/>
      <c r="O130" s="2">
        <f t="shared" si="8"/>
        <v>0</v>
      </c>
      <c r="P130" s="2" t="e">
        <f t="shared" si="9"/>
        <v>#DIV/0!</v>
      </c>
      <c r="Q130" s="2">
        <f t="shared" si="10"/>
        <v>0</v>
      </c>
      <c r="R130" s="2" t="e">
        <f t="shared" si="11"/>
        <v>#DIV/0!</v>
      </c>
      <c r="S130" s="2" t="e">
        <f t="shared" si="12"/>
        <v>#DIV/0!</v>
      </c>
    </row>
    <row r="131" spans="2:19" x14ac:dyDescent="0.25">
      <c r="B131" s="1">
        <f t="shared" si="13"/>
        <v>125</v>
      </c>
      <c r="L131" s="15"/>
      <c r="O131" s="2">
        <f t="shared" si="8"/>
        <v>0</v>
      </c>
      <c r="P131" s="2" t="e">
        <f t="shared" si="9"/>
        <v>#DIV/0!</v>
      </c>
      <c r="Q131" s="2">
        <f t="shared" si="10"/>
        <v>0</v>
      </c>
      <c r="R131" s="2" t="e">
        <f t="shared" si="11"/>
        <v>#DIV/0!</v>
      </c>
      <c r="S131" s="2" t="e">
        <f t="shared" si="12"/>
        <v>#DIV/0!</v>
      </c>
    </row>
    <row r="132" spans="2:19" x14ac:dyDescent="0.25">
      <c r="B132" s="1">
        <f t="shared" si="13"/>
        <v>126</v>
      </c>
      <c r="L132" s="15"/>
      <c r="O132" s="2">
        <f t="shared" si="8"/>
        <v>0</v>
      </c>
      <c r="P132" s="2" t="e">
        <f t="shared" si="9"/>
        <v>#DIV/0!</v>
      </c>
      <c r="Q132" s="2">
        <f t="shared" si="10"/>
        <v>0</v>
      </c>
      <c r="R132" s="2" t="e">
        <f t="shared" si="11"/>
        <v>#DIV/0!</v>
      </c>
      <c r="S132" s="2" t="e">
        <f t="shared" si="12"/>
        <v>#DIV/0!</v>
      </c>
    </row>
    <row r="133" spans="2:19" x14ac:dyDescent="0.25">
      <c r="B133" s="1">
        <f t="shared" si="13"/>
        <v>127</v>
      </c>
      <c r="L133" s="15"/>
      <c r="O133" s="2">
        <f t="shared" si="8"/>
        <v>0</v>
      </c>
      <c r="P133" s="2" t="e">
        <f t="shared" si="9"/>
        <v>#DIV/0!</v>
      </c>
      <c r="Q133" s="2">
        <f t="shared" si="10"/>
        <v>0</v>
      </c>
      <c r="R133" s="2" t="e">
        <f t="shared" si="11"/>
        <v>#DIV/0!</v>
      </c>
      <c r="S133" s="2" t="e">
        <f t="shared" si="12"/>
        <v>#DIV/0!</v>
      </c>
    </row>
    <row r="134" spans="2:19" x14ac:dyDescent="0.25">
      <c r="B134" s="1">
        <f t="shared" si="13"/>
        <v>128</v>
      </c>
      <c r="L134" s="15"/>
      <c r="O134" s="2">
        <f t="shared" si="8"/>
        <v>0</v>
      </c>
      <c r="P134" s="2" t="e">
        <f t="shared" si="9"/>
        <v>#DIV/0!</v>
      </c>
      <c r="Q134" s="2">
        <f t="shared" si="10"/>
        <v>0</v>
      </c>
      <c r="R134" s="2" t="e">
        <f t="shared" si="11"/>
        <v>#DIV/0!</v>
      </c>
      <c r="S134" s="2" t="e">
        <f t="shared" si="12"/>
        <v>#DIV/0!</v>
      </c>
    </row>
    <row r="135" spans="2:19" x14ac:dyDescent="0.25">
      <c r="B135" s="1">
        <f t="shared" si="13"/>
        <v>129</v>
      </c>
      <c r="L135" s="15"/>
      <c r="O135" s="2">
        <f t="shared" si="8"/>
        <v>0</v>
      </c>
      <c r="P135" s="2" t="e">
        <f t="shared" si="9"/>
        <v>#DIV/0!</v>
      </c>
      <c r="Q135" s="2">
        <f t="shared" si="10"/>
        <v>0</v>
      </c>
      <c r="R135" s="2" t="e">
        <f t="shared" si="11"/>
        <v>#DIV/0!</v>
      </c>
      <c r="S135" s="2" t="e">
        <f t="shared" si="12"/>
        <v>#DIV/0!</v>
      </c>
    </row>
    <row r="136" spans="2:19" x14ac:dyDescent="0.25">
      <c r="B136" s="1">
        <f t="shared" si="13"/>
        <v>130</v>
      </c>
      <c r="L136" s="15"/>
      <c r="O136" s="2">
        <f t="shared" ref="O136:O199" si="14">M136-$X$23</f>
        <v>0</v>
      </c>
      <c r="P136" s="2" t="e">
        <f t="shared" ref="P136:P199" si="15">O136*$AC$21+$Y$23</f>
        <v>#DIV/0!</v>
      </c>
      <c r="Q136" s="2">
        <f t="shared" ref="Q136:Q199" si="16">((D136+D137)/2)*(M137-M136)</f>
        <v>0</v>
      </c>
      <c r="R136" s="2" t="e">
        <f t="shared" ref="R136:R199" si="17">((P136+P137)/2)*(O137-O136)</f>
        <v>#DIV/0!</v>
      </c>
      <c r="S136" s="2" t="e">
        <f t="shared" ref="S136:S199" si="18">Q136-R136</f>
        <v>#DIV/0!</v>
      </c>
    </row>
    <row r="137" spans="2:19" x14ac:dyDescent="0.25">
      <c r="B137" s="1">
        <f t="shared" ref="B137:B200" si="19">B136+1</f>
        <v>131</v>
      </c>
      <c r="L137" s="15"/>
      <c r="O137" s="2">
        <f t="shared" si="14"/>
        <v>0</v>
      </c>
      <c r="P137" s="2" t="e">
        <f t="shared" si="15"/>
        <v>#DIV/0!</v>
      </c>
      <c r="Q137" s="2">
        <f t="shared" si="16"/>
        <v>0</v>
      </c>
      <c r="R137" s="2" t="e">
        <f t="shared" si="17"/>
        <v>#DIV/0!</v>
      </c>
      <c r="S137" s="2" t="e">
        <f t="shared" si="18"/>
        <v>#DIV/0!</v>
      </c>
    </row>
    <row r="138" spans="2:19" x14ac:dyDescent="0.25">
      <c r="B138" s="1">
        <f t="shared" si="19"/>
        <v>132</v>
      </c>
      <c r="L138" s="15"/>
      <c r="O138" s="2">
        <f t="shared" si="14"/>
        <v>0</v>
      </c>
      <c r="P138" s="2" t="e">
        <f t="shared" si="15"/>
        <v>#DIV/0!</v>
      </c>
      <c r="Q138" s="2">
        <f t="shared" si="16"/>
        <v>0</v>
      </c>
      <c r="R138" s="2" t="e">
        <f t="shared" si="17"/>
        <v>#DIV/0!</v>
      </c>
      <c r="S138" s="2" t="e">
        <f t="shared" si="18"/>
        <v>#DIV/0!</v>
      </c>
    </row>
    <row r="139" spans="2:19" x14ac:dyDescent="0.25">
      <c r="B139" s="1">
        <f t="shared" si="19"/>
        <v>133</v>
      </c>
      <c r="L139" s="15"/>
      <c r="O139" s="2">
        <f t="shared" si="14"/>
        <v>0</v>
      </c>
      <c r="P139" s="2" t="e">
        <f t="shared" si="15"/>
        <v>#DIV/0!</v>
      </c>
      <c r="Q139" s="2">
        <f t="shared" si="16"/>
        <v>0</v>
      </c>
      <c r="R139" s="2" t="e">
        <f t="shared" si="17"/>
        <v>#DIV/0!</v>
      </c>
      <c r="S139" s="2" t="e">
        <f t="shared" si="18"/>
        <v>#DIV/0!</v>
      </c>
    </row>
    <row r="140" spans="2:19" x14ac:dyDescent="0.25">
      <c r="B140" s="1">
        <f t="shared" si="19"/>
        <v>134</v>
      </c>
      <c r="L140" s="15"/>
      <c r="O140" s="2">
        <f t="shared" si="14"/>
        <v>0</v>
      </c>
      <c r="P140" s="2" t="e">
        <f t="shared" si="15"/>
        <v>#DIV/0!</v>
      </c>
      <c r="Q140" s="2">
        <f t="shared" si="16"/>
        <v>0</v>
      </c>
      <c r="R140" s="2" t="e">
        <f t="shared" si="17"/>
        <v>#DIV/0!</v>
      </c>
      <c r="S140" s="2" t="e">
        <f t="shared" si="18"/>
        <v>#DIV/0!</v>
      </c>
    </row>
    <row r="141" spans="2:19" x14ac:dyDescent="0.25">
      <c r="B141" s="1">
        <f t="shared" si="19"/>
        <v>135</v>
      </c>
      <c r="L141" s="15"/>
      <c r="O141" s="2">
        <f t="shared" si="14"/>
        <v>0</v>
      </c>
      <c r="P141" s="2" t="e">
        <f t="shared" si="15"/>
        <v>#DIV/0!</v>
      </c>
      <c r="Q141" s="2">
        <f t="shared" si="16"/>
        <v>0</v>
      </c>
      <c r="R141" s="2" t="e">
        <f t="shared" si="17"/>
        <v>#DIV/0!</v>
      </c>
      <c r="S141" s="2" t="e">
        <f t="shared" si="18"/>
        <v>#DIV/0!</v>
      </c>
    </row>
    <row r="142" spans="2:19" x14ac:dyDescent="0.25">
      <c r="B142" s="1">
        <f t="shared" si="19"/>
        <v>136</v>
      </c>
      <c r="L142" s="15"/>
      <c r="O142" s="2">
        <f t="shared" si="14"/>
        <v>0</v>
      </c>
      <c r="P142" s="2" t="e">
        <f t="shared" si="15"/>
        <v>#DIV/0!</v>
      </c>
      <c r="Q142" s="2">
        <f t="shared" si="16"/>
        <v>0</v>
      </c>
      <c r="R142" s="2" t="e">
        <f t="shared" si="17"/>
        <v>#DIV/0!</v>
      </c>
      <c r="S142" s="2" t="e">
        <f t="shared" si="18"/>
        <v>#DIV/0!</v>
      </c>
    </row>
    <row r="143" spans="2:19" x14ac:dyDescent="0.25">
      <c r="B143" s="1">
        <f t="shared" si="19"/>
        <v>137</v>
      </c>
      <c r="L143" s="15"/>
      <c r="O143" s="2">
        <f t="shared" si="14"/>
        <v>0</v>
      </c>
      <c r="P143" s="2" t="e">
        <f t="shared" si="15"/>
        <v>#DIV/0!</v>
      </c>
      <c r="Q143" s="2">
        <f t="shared" si="16"/>
        <v>0</v>
      </c>
      <c r="R143" s="2" t="e">
        <f t="shared" si="17"/>
        <v>#DIV/0!</v>
      </c>
      <c r="S143" s="2" t="e">
        <f t="shared" si="18"/>
        <v>#DIV/0!</v>
      </c>
    </row>
    <row r="144" spans="2:19" x14ac:dyDescent="0.25">
      <c r="B144" s="1">
        <f t="shared" si="19"/>
        <v>138</v>
      </c>
      <c r="L144" s="15"/>
      <c r="O144" s="2">
        <f t="shared" si="14"/>
        <v>0</v>
      </c>
      <c r="P144" s="2" t="e">
        <f t="shared" si="15"/>
        <v>#DIV/0!</v>
      </c>
      <c r="Q144" s="2">
        <f t="shared" si="16"/>
        <v>0</v>
      </c>
      <c r="R144" s="2" t="e">
        <f t="shared" si="17"/>
        <v>#DIV/0!</v>
      </c>
      <c r="S144" s="2" t="e">
        <f t="shared" si="18"/>
        <v>#DIV/0!</v>
      </c>
    </row>
    <row r="145" spans="2:19" x14ac:dyDescent="0.25">
      <c r="B145" s="1">
        <f t="shared" si="19"/>
        <v>139</v>
      </c>
      <c r="L145" s="15"/>
      <c r="O145" s="2">
        <f t="shared" si="14"/>
        <v>0</v>
      </c>
      <c r="P145" s="2" t="e">
        <f t="shared" si="15"/>
        <v>#DIV/0!</v>
      </c>
      <c r="Q145" s="2">
        <f t="shared" si="16"/>
        <v>0</v>
      </c>
      <c r="R145" s="2" t="e">
        <f t="shared" si="17"/>
        <v>#DIV/0!</v>
      </c>
      <c r="S145" s="2" t="e">
        <f t="shared" si="18"/>
        <v>#DIV/0!</v>
      </c>
    </row>
    <row r="146" spans="2:19" x14ac:dyDescent="0.25">
      <c r="B146" s="1">
        <f t="shared" si="19"/>
        <v>140</v>
      </c>
      <c r="L146" s="15"/>
      <c r="O146" s="2">
        <f t="shared" si="14"/>
        <v>0</v>
      </c>
      <c r="P146" s="2" t="e">
        <f t="shared" si="15"/>
        <v>#DIV/0!</v>
      </c>
      <c r="Q146" s="2">
        <f t="shared" si="16"/>
        <v>0</v>
      </c>
      <c r="R146" s="2" t="e">
        <f t="shared" si="17"/>
        <v>#DIV/0!</v>
      </c>
      <c r="S146" s="2" t="e">
        <f t="shared" si="18"/>
        <v>#DIV/0!</v>
      </c>
    </row>
    <row r="147" spans="2:19" x14ac:dyDescent="0.25">
      <c r="B147" s="1">
        <f t="shared" si="19"/>
        <v>141</v>
      </c>
      <c r="L147" s="15"/>
      <c r="O147" s="2">
        <f t="shared" si="14"/>
        <v>0</v>
      </c>
      <c r="P147" s="2" t="e">
        <f t="shared" si="15"/>
        <v>#DIV/0!</v>
      </c>
      <c r="Q147" s="2">
        <f t="shared" si="16"/>
        <v>0</v>
      </c>
      <c r="R147" s="2" t="e">
        <f t="shared" si="17"/>
        <v>#DIV/0!</v>
      </c>
      <c r="S147" s="2" t="e">
        <f t="shared" si="18"/>
        <v>#DIV/0!</v>
      </c>
    </row>
    <row r="148" spans="2:19" x14ac:dyDescent="0.25">
      <c r="B148" s="1">
        <f t="shared" si="19"/>
        <v>142</v>
      </c>
      <c r="L148" s="15"/>
      <c r="O148" s="2">
        <f t="shared" si="14"/>
        <v>0</v>
      </c>
      <c r="P148" s="2" t="e">
        <f t="shared" si="15"/>
        <v>#DIV/0!</v>
      </c>
      <c r="Q148" s="2">
        <f t="shared" si="16"/>
        <v>0</v>
      </c>
      <c r="R148" s="2" t="e">
        <f t="shared" si="17"/>
        <v>#DIV/0!</v>
      </c>
      <c r="S148" s="2" t="e">
        <f t="shared" si="18"/>
        <v>#DIV/0!</v>
      </c>
    </row>
    <row r="149" spans="2:19" x14ac:dyDescent="0.25">
      <c r="B149" s="1">
        <f t="shared" si="19"/>
        <v>143</v>
      </c>
      <c r="L149" s="15"/>
      <c r="O149" s="2">
        <f t="shared" si="14"/>
        <v>0</v>
      </c>
      <c r="P149" s="2" t="e">
        <f t="shared" si="15"/>
        <v>#DIV/0!</v>
      </c>
      <c r="Q149" s="2">
        <f t="shared" si="16"/>
        <v>0</v>
      </c>
      <c r="R149" s="2" t="e">
        <f t="shared" si="17"/>
        <v>#DIV/0!</v>
      </c>
      <c r="S149" s="2" t="e">
        <f t="shared" si="18"/>
        <v>#DIV/0!</v>
      </c>
    </row>
    <row r="150" spans="2:19" x14ac:dyDescent="0.25">
      <c r="B150" s="1">
        <f t="shared" si="19"/>
        <v>144</v>
      </c>
      <c r="L150" s="15"/>
      <c r="O150" s="2">
        <f t="shared" si="14"/>
        <v>0</v>
      </c>
      <c r="P150" s="2" t="e">
        <f t="shared" si="15"/>
        <v>#DIV/0!</v>
      </c>
      <c r="Q150" s="2">
        <f t="shared" si="16"/>
        <v>0</v>
      </c>
      <c r="R150" s="2" t="e">
        <f t="shared" si="17"/>
        <v>#DIV/0!</v>
      </c>
      <c r="S150" s="2" t="e">
        <f t="shared" si="18"/>
        <v>#DIV/0!</v>
      </c>
    </row>
    <row r="151" spans="2:19" x14ac:dyDescent="0.25">
      <c r="B151" s="1">
        <f t="shared" si="19"/>
        <v>145</v>
      </c>
      <c r="L151" s="15"/>
      <c r="O151" s="2">
        <f t="shared" si="14"/>
        <v>0</v>
      </c>
      <c r="P151" s="2" t="e">
        <f t="shared" si="15"/>
        <v>#DIV/0!</v>
      </c>
      <c r="Q151" s="2">
        <f t="shared" si="16"/>
        <v>0</v>
      </c>
      <c r="R151" s="2" t="e">
        <f t="shared" si="17"/>
        <v>#DIV/0!</v>
      </c>
      <c r="S151" s="2" t="e">
        <f t="shared" si="18"/>
        <v>#DIV/0!</v>
      </c>
    </row>
    <row r="152" spans="2:19" x14ac:dyDescent="0.25">
      <c r="B152" s="1">
        <f t="shared" si="19"/>
        <v>146</v>
      </c>
      <c r="L152" s="15"/>
      <c r="O152" s="2">
        <f t="shared" si="14"/>
        <v>0</v>
      </c>
      <c r="P152" s="2" t="e">
        <f t="shared" si="15"/>
        <v>#DIV/0!</v>
      </c>
      <c r="Q152" s="2">
        <f t="shared" si="16"/>
        <v>0</v>
      </c>
      <c r="R152" s="2" t="e">
        <f t="shared" si="17"/>
        <v>#DIV/0!</v>
      </c>
      <c r="S152" s="2" t="e">
        <f t="shared" si="18"/>
        <v>#DIV/0!</v>
      </c>
    </row>
    <row r="153" spans="2:19" x14ac:dyDescent="0.25">
      <c r="B153" s="1">
        <f t="shared" si="19"/>
        <v>147</v>
      </c>
      <c r="L153" s="15"/>
      <c r="O153" s="2">
        <f t="shared" si="14"/>
        <v>0</v>
      </c>
      <c r="P153" s="2" t="e">
        <f t="shared" si="15"/>
        <v>#DIV/0!</v>
      </c>
      <c r="Q153" s="2">
        <f t="shared" si="16"/>
        <v>0</v>
      </c>
      <c r="R153" s="2" t="e">
        <f t="shared" si="17"/>
        <v>#DIV/0!</v>
      </c>
      <c r="S153" s="2" t="e">
        <f t="shared" si="18"/>
        <v>#DIV/0!</v>
      </c>
    </row>
    <row r="154" spans="2:19" x14ac:dyDescent="0.25">
      <c r="B154" s="1">
        <f t="shared" si="19"/>
        <v>148</v>
      </c>
      <c r="L154" s="15"/>
      <c r="O154" s="2">
        <f t="shared" si="14"/>
        <v>0</v>
      </c>
      <c r="P154" s="2" t="e">
        <f t="shared" si="15"/>
        <v>#DIV/0!</v>
      </c>
      <c r="Q154" s="2">
        <f t="shared" si="16"/>
        <v>0</v>
      </c>
      <c r="R154" s="2" t="e">
        <f t="shared" si="17"/>
        <v>#DIV/0!</v>
      </c>
      <c r="S154" s="2" t="e">
        <f t="shared" si="18"/>
        <v>#DIV/0!</v>
      </c>
    </row>
    <row r="155" spans="2:19" x14ac:dyDescent="0.25">
      <c r="B155" s="1">
        <f t="shared" si="19"/>
        <v>149</v>
      </c>
      <c r="L155" s="15"/>
      <c r="O155" s="2">
        <f t="shared" si="14"/>
        <v>0</v>
      </c>
      <c r="P155" s="2" t="e">
        <f t="shared" si="15"/>
        <v>#DIV/0!</v>
      </c>
      <c r="Q155" s="2">
        <f t="shared" si="16"/>
        <v>0</v>
      </c>
      <c r="R155" s="2" t="e">
        <f t="shared" si="17"/>
        <v>#DIV/0!</v>
      </c>
      <c r="S155" s="2" t="e">
        <f t="shared" si="18"/>
        <v>#DIV/0!</v>
      </c>
    </row>
    <row r="156" spans="2:19" x14ac:dyDescent="0.25">
      <c r="B156" s="1">
        <f t="shared" si="19"/>
        <v>150</v>
      </c>
      <c r="L156" s="15"/>
      <c r="O156" s="2">
        <f t="shared" si="14"/>
        <v>0</v>
      </c>
      <c r="P156" s="2" t="e">
        <f t="shared" si="15"/>
        <v>#DIV/0!</v>
      </c>
      <c r="Q156" s="2">
        <f t="shared" si="16"/>
        <v>0</v>
      </c>
      <c r="R156" s="2" t="e">
        <f t="shared" si="17"/>
        <v>#DIV/0!</v>
      </c>
      <c r="S156" s="2" t="e">
        <f t="shared" si="18"/>
        <v>#DIV/0!</v>
      </c>
    </row>
    <row r="157" spans="2:19" x14ac:dyDescent="0.25">
      <c r="B157" s="1">
        <f t="shared" si="19"/>
        <v>151</v>
      </c>
      <c r="L157" s="15"/>
      <c r="O157" s="2">
        <f t="shared" si="14"/>
        <v>0</v>
      </c>
      <c r="P157" s="2" t="e">
        <f t="shared" si="15"/>
        <v>#DIV/0!</v>
      </c>
      <c r="Q157" s="2">
        <f t="shared" si="16"/>
        <v>0</v>
      </c>
      <c r="R157" s="2" t="e">
        <f t="shared" si="17"/>
        <v>#DIV/0!</v>
      </c>
      <c r="S157" s="2" t="e">
        <f t="shared" si="18"/>
        <v>#DIV/0!</v>
      </c>
    </row>
    <row r="158" spans="2:19" x14ac:dyDescent="0.25">
      <c r="B158" s="1">
        <f t="shared" si="19"/>
        <v>152</v>
      </c>
      <c r="L158" s="15"/>
      <c r="O158" s="2">
        <f t="shared" si="14"/>
        <v>0</v>
      </c>
      <c r="P158" s="2" t="e">
        <f t="shared" si="15"/>
        <v>#DIV/0!</v>
      </c>
      <c r="Q158" s="2">
        <f t="shared" si="16"/>
        <v>0</v>
      </c>
      <c r="R158" s="2" t="e">
        <f t="shared" si="17"/>
        <v>#DIV/0!</v>
      </c>
      <c r="S158" s="2" t="e">
        <f t="shared" si="18"/>
        <v>#DIV/0!</v>
      </c>
    </row>
    <row r="159" spans="2:19" x14ac:dyDescent="0.25">
      <c r="B159" s="1">
        <f t="shared" si="19"/>
        <v>153</v>
      </c>
      <c r="L159" s="15"/>
      <c r="O159" s="2">
        <f t="shared" si="14"/>
        <v>0</v>
      </c>
      <c r="P159" s="2" t="e">
        <f t="shared" si="15"/>
        <v>#DIV/0!</v>
      </c>
      <c r="Q159" s="2">
        <f t="shared" si="16"/>
        <v>0</v>
      </c>
      <c r="R159" s="2" t="e">
        <f t="shared" si="17"/>
        <v>#DIV/0!</v>
      </c>
      <c r="S159" s="2" t="e">
        <f t="shared" si="18"/>
        <v>#DIV/0!</v>
      </c>
    </row>
    <row r="160" spans="2:19" x14ac:dyDescent="0.25">
      <c r="B160" s="1">
        <f t="shared" si="19"/>
        <v>154</v>
      </c>
      <c r="L160" s="15"/>
      <c r="O160" s="2">
        <f t="shared" si="14"/>
        <v>0</v>
      </c>
      <c r="P160" s="2" t="e">
        <f t="shared" si="15"/>
        <v>#DIV/0!</v>
      </c>
      <c r="Q160" s="2">
        <f t="shared" si="16"/>
        <v>0</v>
      </c>
      <c r="R160" s="2" t="e">
        <f t="shared" si="17"/>
        <v>#DIV/0!</v>
      </c>
      <c r="S160" s="2" t="e">
        <f t="shared" si="18"/>
        <v>#DIV/0!</v>
      </c>
    </row>
    <row r="161" spans="2:19" x14ac:dyDescent="0.25">
      <c r="B161" s="1">
        <f t="shared" si="19"/>
        <v>155</v>
      </c>
      <c r="L161" s="15"/>
      <c r="O161" s="2">
        <f t="shared" si="14"/>
        <v>0</v>
      </c>
      <c r="P161" s="2" t="e">
        <f t="shared" si="15"/>
        <v>#DIV/0!</v>
      </c>
      <c r="Q161" s="2">
        <f t="shared" si="16"/>
        <v>0</v>
      </c>
      <c r="R161" s="2" t="e">
        <f t="shared" si="17"/>
        <v>#DIV/0!</v>
      </c>
      <c r="S161" s="2" t="e">
        <f t="shared" si="18"/>
        <v>#DIV/0!</v>
      </c>
    </row>
    <row r="162" spans="2:19" x14ac:dyDescent="0.25">
      <c r="B162" s="1">
        <f t="shared" si="19"/>
        <v>156</v>
      </c>
      <c r="L162" s="15"/>
      <c r="O162" s="2">
        <f t="shared" si="14"/>
        <v>0</v>
      </c>
      <c r="P162" s="2" t="e">
        <f t="shared" si="15"/>
        <v>#DIV/0!</v>
      </c>
      <c r="Q162" s="2">
        <f t="shared" si="16"/>
        <v>0</v>
      </c>
      <c r="R162" s="2" t="e">
        <f t="shared" si="17"/>
        <v>#DIV/0!</v>
      </c>
      <c r="S162" s="2" t="e">
        <f t="shared" si="18"/>
        <v>#DIV/0!</v>
      </c>
    </row>
    <row r="163" spans="2:19" x14ac:dyDescent="0.25">
      <c r="B163" s="1">
        <f t="shared" si="19"/>
        <v>157</v>
      </c>
      <c r="L163" s="15"/>
      <c r="O163" s="2">
        <f t="shared" si="14"/>
        <v>0</v>
      </c>
      <c r="P163" s="2" t="e">
        <f t="shared" si="15"/>
        <v>#DIV/0!</v>
      </c>
      <c r="Q163" s="2">
        <f t="shared" si="16"/>
        <v>0</v>
      </c>
      <c r="R163" s="2" t="e">
        <f t="shared" si="17"/>
        <v>#DIV/0!</v>
      </c>
      <c r="S163" s="2" t="e">
        <f t="shared" si="18"/>
        <v>#DIV/0!</v>
      </c>
    </row>
    <row r="164" spans="2:19" x14ac:dyDescent="0.25">
      <c r="B164" s="1">
        <f t="shared" si="19"/>
        <v>158</v>
      </c>
      <c r="L164" s="15"/>
      <c r="O164" s="2">
        <f t="shared" si="14"/>
        <v>0</v>
      </c>
      <c r="P164" s="2" t="e">
        <f t="shared" si="15"/>
        <v>#DIV/0!</v>
      </c>
      <c r="Q164" s="2">
        <f t="shared" si="16"/>
        <v>0</v>
      </c>
      <c r="R164" s="2" t="e">
        <f t="shared" si="17"/>
        <v>#DIV/0!</v>
      </c>
      <c r="S164" s="2" t="e">
        <f t="shared" si="18"/>
        <v>#DIV/0!</v>
      </c>
    </row>
    <row r="165" spans="2:19" x14ac:dyDescent="0.25">
      <c r="B165" s="1">
        <f t="shared" si="19"/>
        <v>159</v>
      </c>
      <c r="L165" s="15"/>
      <c r="O165" s="2">
        <f t="shared" si="14"/>
        <v>0</v>
      </c>
      <c r="P165" s="2" t="e">
        <f t="shared" si="15"/>
        <v>#DIV/0!</v>
      </c>
      <c r="Q165" s="2">
        <f t="shared" si="16"/>
        <v>0</v>
      </c>
      <c r="R165" s="2" t="e">
        <f t="shared" si="17"/>
        <v>#DIV/0!</v>
      </c>
      <c r="S165" s="2" t="e">
        <f t="shared" si="18"/>
        <v>#DIV/0!</v>
      </c>
    </row>
    <row r="166" spans="2:19" x14ac:dyDescent="0.25">
      <c r="B166" s="1">
        <f t="shared" si="19"/>
        <v>160</v>
      </c>
      <c r="L166" s="15"/>
      <c r="O166" s="2">
        <f t="shared" si="14"/>
        <v>0</v>
      </c>
      <c r="P166" s="2" t="e">
        <f t="shared" si="15"/>
        <v>#DIV/0!</v>
      </c>
      <c r="Q166" s="2">
        <f t="shared" si="16"/>
        <v>0</v>
      </c>
      <c r="R166" s="2" t="e">
        <f t="shared" si="17"/>
        <v>#DIV/0!</v>
      </c>
      <c r="S166" s="2" t="e">
        <f t="shared" si="18"/>
        <v>#DIV/0!</v>
      </c>
    </row>
    <row r="167" spans="2:19" x14ac:dyDescent="0.25">
      <c r="B167" s="1">
        <f t="shared" si="19"/>
        <v>161</v>
      </c>
      <c r="L167" s="15"/>
      <c r="O167" s="2">
        <f t="shared" si="14"/>
        <v>0</v>
      </c>
      <c r="P167" s="2" t="e">
        <f t="shared" si="15"/>
        <v>#DIV/0!</v>
      </c>
      <c r="Q167" s="2">
        <f t="shared" si="16"/>
        <v>0</v>
      </c>
      <c r="R167" s="2" t="e">
        <f t="shared" si="17"/>
        <v>#DIV/0!</v>
      </c>
      <c r="S167" s="2" t="e">
        <f t="shared" si="18"/>
        <v>#DIV/0!</v>
      </c>
    </row>
    <row r="168" spans="2:19" x14ac:dyDescent="0.25">
      <c r="B168" s="1">
        <f t="shared" si="19"/>
        <v>162</v>
      </c>
      <c r="L168" s="15"/>
      <c r="O168" s="2">
        <f t="shared" si="14"/>
        <v>0</v>
      </c>
      <c r="P168" s="2" t="e">
        <f t="shared" si="15"/>
        <v>#DIV/0!</v>
      </c>
      <c r="Q168" s="2">
        <f t="shared" si="16"/>
        <v>0</v>
      </c>
      <c r="R168" s="2" t="e">
        <f t="shared" si="17"/>
        <v>#DIV/0!</v>
      </c>
      <c r="S168" s="2" t="e">
        <f t="shared" si="18"/>
        <v>#DIV/0!</v>
      </c>
    </row>
    <row r="169" spans="2:19" x14ac:dyDescent="0.25">
      <c r="B169" s="1">
        <f t="shared" si="19"/>
        <v>163</v>
      </c>
      <c r="L169" s="15"/>
      <c r="O169" s="2">
        <f t="shared" si="14"/>
        <v>0</v>
      </c>
      <c r="P169" s="2" t="e">
        <f t="shared" si="15"/>
        <v>#DIV/0!</v>
      </c>
      <c r="Q169" s="2">
        <f t="shared" si="16"/>
        <v>0</v>
      </c>
      <c r="R169" s="2" t="e">
        <f t="shared" si="17"/>
        <v>#DIV/0!</v>
      </c>
      <c r="S169" s="2" t="e">
        <f t="shared" si="18"/>
        <v>#DIV/0!</v>
      </c>
    </row>
    <row r="170" spans="2:19" x14ac:dyDescent="0.25">
      <c r="B170" s="1">
        <f t="shared" si="19"/>
        <v>164</v>
      </c>
      <c r="L170" s="15"/>
      <c r="O170" s="2">
        <f t="shared" si="14"/>
        <v>0</v>
      </c>
      <c r="P170" s="2" t="e">
        <f t="shared" si="15"/>
        <v>#DIV/0!</v>
      </c>
      <c r="Q170" s="2">
        <f t="shared" si="16"/>
        <v>0</v>
      </c>
      <c r="R170" s="2" t="e">
        <f t="shared" si="17"/>
        <v>#DIV/0!</v>
      </c>
      <c r="S170" s="2" t="e">
        <f t="shared" si="18"/>
        <v>#DIV/0!</v>
      </c>
    </row>
    <row r="171" spans="2:19" x14ac:dyDescent="0.25">
      <c r="B171" s="1">
        <f t="shared" si="19"/>
        <v>165</v>
      </c>
      <c r="L171" s="15"/>
      <c r="O171" s="2">
        <f t="shared" si="14"/>
        <v>0</v>
      </c>
      <c r="P171" s="2" t="e">
        <f t="shared" si="15"/>
        <v>#DIV/0!</v>
      </c>
      <c r="Q171" s="2">
        <f t="shared" si="16"/>
        <v>0</v>
      </c>
      <c r="R171" s="2" t="e">
        <f t="shared" si="17"/>
        <v>#DIV/0!</v>
      </c>
      <c r="S171" s="2" t="e">
        <f t="shared" si="18"/>
        <v>#DIV/0!</v>
      </c>
    </row>
    <row r="172" spans="2:19" x14ac:dyDescent="0.25">
      <c r="B172" s="1">
        <f t="shared" si="19"/>
        <v>166</v>
      </c>
      <c r="L172" s="15"/>
      <c r="O172" s="2">
        <f t="shared" si="14"/>
        <v>0</v>
      </c>
      <c r="P172" s="2" t="e">
        <f t="shared" si="15"/>
        <v>#DIV/0!</v>
      </c>
      <c r="Q172" s="2">
        <f t="shared" si="16"/>
        <v>0</v>
      </c>
      <c r="R172" s="2" t="e">
        <f t="shared" si="17"/>
        <v>#DIV/0!</v>
      </c>
      <c r="S172" s="2" t="e">
        <f t="shared" si="18"/>
        <v>#DIV/0!</v>
      </c>
    </row>
    <row r="173" spans="2:19" x14ac:dyDescent="0.25">
      <c r="B173" s="1">
        <f t="shared" si="19"/>
        <v>167</v>
      </c>
      <c r="L173" s="15"/>
      <c r="O173" s="2">
        <f t="shared" si="14"/>
        <v>0</v>
      </c>
      <c r="P173" s="2" t="e">
        <f t="shared" si="15"/>
        <v>#DIV/0!</v>
      </c>
      <c r="Q173" s="2">
        <f t="shared" si="16"/>
        <v>0</v>
      </c>
      <c r="R173" s="2" t="e">
        <f t="shared" si="17"/>
        <v>#DIV/0!</v>
      </c>
      <c r="S173" s="2" t="e">
        <f t="shared" si="18"/>
        <v>#DIV/0!</v>
      </c>
    </row>
    <row r="174" spans="2:19" x14ac:dyDescent="0.25">
      <c r="B174" s="1">
        <f t="shared" si="19"/>
        <v>168</v>
      </c>
      <c r="L174" s="15"/>
      <c r="O174" s="2">
        <f t="shared" si="14"/>
        <v>0</v>
      </c>
      <c r="P174" s="2" t="e">
        <f t="shared" si="15"/>
        <v>#DIV/0!</v>
      </c>
      <c r="Q174" s="2">
        <f t="shared" si="16"/>
        <v>0</v>
      </c>
      <c r="R174" s="2" t="e">
        <f t="shared" si="17"/>
        <v>#DIV/0!</v>
      </c>
      <c r="S174" s="2" t="e">
        <f t="shared" si="18"/>
        <v>#DIV/0!</v>
      </c>
    </row>
    <row r="175" spans="2:19" x14ac:dyDescent="0.25">
      <c r="B175" s="1">
        <f t="shared" si="19"/>
        <v>169</v>
      </c>
      <c r="L175" s="15"/>
      <c r="O175" s="2">
        <f t="shared" si="14"/>
        <v>0</v>
      </c>
      <c r="P175" s="2" t="e">
        <f t="shared" si="15"/>
        <v>#DIV/0!</v>
      </c>
      <c r="Q175" s="2">
        <f t="shared" si="16"/>
        <v>0</v>
      </c>
      <c r="R175" s="2" t="e">
        <f t="shared" si="17"/>
        <v>#DIV/0!</v>
      </c>
      <c r="S175" s="2" t="e">
        <f t="shared" si="18"/>
        <v>#DIV/0!</v>
      </c>
    </row>
    <row r="176" spans="2:19" x14ac:dyDescent="0.25">
      <c r="B176" s="1">
        <f t="shared" si="19"/>
        <v>170</v>
      </c>
      <c r="L176" s="15"/>
      <c r="O176" s="2">
        <f t="shared" si="14"/>
        <v>0</v>
      </c>
      <c r="P176" s="2" t="e">
        <f t="shared" si="15"/>
        <v>#DIV/0!</v>
      </c>
      <c r="Q176" s="2">
        <f t="shared" si="16"/>
        <v>0</v>
      </c>
      <c r="R176" s="2" t="e">
        <f t="shared" si="17"/>
        <v>#DIV/0!</v>
      </c>
      <c r="S176" s="2" t="e">
        <f t="shared" si="18"/>
        <v>#DIV/0!</v>
      </c>
    </row>
    <row r="177" spans="2:19" x14ac:dyDescent="0.25">
      <c r="B177" s="1">
        <f t="shared" si="19"/>
        <v>171</v>
      </c>
      <c r="L177" s="15"/>
      <c r="O177" s="2">
        <f t="shared" si="14"/>
        <v>0</v>
      </c>
      <c r="P177" s="2" t="e">
        <f t="shared" si="15"/>
        <v>#DIV/0!</v>
      </c>
      <c r="Q177" s="2">
        <f t="shared" si="16"/>
        <v>0</v>
      </c>
      <c r="R177" s="2" t="e">
        <f t="shared" si="17"/>
        <v>#DIV/0!</v>
      </c>
      <c r="S177" s="2" t="e">
        <f t="shared" si="18"/>
        <v>#DIV/0!</v>
      </c>
    </row>
    <row r="178" spans="2:19" x14ac:dyDescent="0.25">
      <c r="B178" s="1">
        <f t="shared" si="19"/>
        <v>172</v>
      </c>
      <c r="L178" s="15"/>
      <c r="O178" s="2">
        <f t="shared" si="14"/>
        <v>0</v>
      </c>
      <c r="P178" s="2" t="e">
        <f t="shared" si="15"/>
        <v>#DIV/0!</v>
      </c>
      <c r="Q178" s="2">
        <f t="shared" si="16"/>
        <v>0</v>
      </c>
      <c r="R178" s="2" t="e">
        <f t="shared" si="17"/>
        <v>#DIV/0!</v>
      </c>
      <c r="S178" s="2" t="e">
        <f t="shared" si="18"/>
        <v>#DIV/0!</v>
      </c>
    </row>
    <row r="179" spans="2:19" x14ac:dyDescent="0.25">
      <c r="B179" s="1">
        <f t="shared" si="19"/>
        <v>173</v>
      </c>
      <c r="L179" s="15"/>
      <c r="O179" s="2">
        <f t="shared" si="14"/>
        <v>0</v>
      </c>
      <c r="P179" s="2" t="e">
        <f t="shared" si="15"/>
        <v>#DIV/0!</v>
      </c>
      <c r="Q179" s="2">
        <f t="shared" si="16"/>
        <v>0</v>
      </c>
      <c r="R179" s="2" t="e">
        <f t="shared" si="17"/>
        <v>#DIV/0!</v>
      </c>
      <c r="S179" s="2" t="e">
        <f t="shared" si="18"/>
        <v>#DIV/0!</v>
      </c>
    </row>
    <row r="180" spans="2:19" x14ac:dyDescent="0.25">
      <c r="B180" s="1">
        <f t="shared" si="19"/>
        <v>174</v>
      </c>
      <c r="L180" s="15"/>
      <c r="O180" s="2">
        <f t="shared" si="14"/>
        <v>0</v>
      </c>
      <c r="P180" s="2" t="e">
        <f t="shared" si="15"/>
        <v>#DIV/0!</v>
      </c>
      <c r="Q180" s="2">
        <f t="shared" si="16"/>
        <v>0</v>
      </c>
      <c r="R180" s="2" t="e">
        <f t="shared" si="17"/>
        <v>#DIV/0!</v>
      </c>
      <c r="S180" s="2" t="e">
        <f t="shared" si="18"/>
        <v>#DIV/0!</v>
      </c>
    </row>
    <row r="181" spans="2:19" x14ac:dyDescent="0.25">
      <c r="B181" s="1">
        <f t="shared" si="19"/>
        <v>175</v>
      </c>
      <c r="L181" s="15"/>
      <c r="O181" s="2">
        <f t="shared" si="14"/>
        <v>0</v>
      </c>
      <c r="P181" s="2" t="e">
        <f t="shared" si="15"/>
        <v>#DIV/0!</v>
      </c>
      <c r="Q181" s="2">
        <f t="shared" si="16"/>
        <v>0</v>
      </c>
      <c r="R181" s="2" t="e">
        <f t="shared" si="17"/>
        <v>#DIV/0!</v>
      </c>
      <c r="S181" s="2" t="e">
        <f t="shared" si="18"/>
        <v>#DIV/0!</v>
      </c>
    </row>
    <row r="182" spans="2:19" x14ac:dyDescent="0.25">
      <c r="B182" s="1">
        <f t="shared" si="19"/>
        <v>176</v>
      </c>
      <c r="L182" s="15"/>
      <c r="O182" s="2">
        <f t="shared" si="14"/>
        <v>0</v>
      </c>
      <c r="P182" s="2" t="e">
        <f t="shared" si="15"/>
        <v>#DIV/0!</v>
      </c>
      <c r="Q182" s="2">
        <f t="shared" si="16"/>
        <v>0</v>
      </c>
      <c r="R182" s="2" t="e">
        <f t="shared" si="17"/>
        <v>#DIV/0!</v>
      </c>
      <c r="S182" s="2" t="e">
        <f t="shared" si="18"/>
        <v>#DIV/0!</v>
      </c>
    </row>
    <row r="183" spans="2:19" x14ac:dyDescent="0.25">
      <c r="B183" s="1">
        <f t="shared" si="19"/>
        <v>177</v>
      </c>
      <c r="L183" s="15"/>
      <c r="O183" s="2">
        <f t="shared" si="14"/>
        <v>0</v>
      </c>
      <c r="P183" s="2" t="e">
        <f t="shared" si="15"/>
        <v>#DIV/0!</v>
      </c>
      <c r="Q183" s="2">
        <f t="shared" si="16"/>
        <v>0</v>
      </c>
      <c r="R183" s="2" t="e">
        <f t="shared" si="17"/>
        <v>#DIV/0!</v>
      </c>
      <c r="S183" s="2" t="e">
        <f t="shared" si="18"/>
        <v>#DIV/0!</v>
      </c>
    </row>
    <row r="184" spans="2:19" x14ac:dyDescent="0.25">
      <c r="B184" s="1">
        <f t="shared" si="19"/>
        <v>178</v>
      </c>
      <c r="L184" s="15"/>
      <c r="O184" s="2">
        <f t="shared" si="14"/>
        <v>0</v>
      </c>
      <c r="P184" s="2" t="e">
        <f t="shared" si="15"/>
        <v>#DIV/0!</v>
      </c>
      <c r="Q184" s="2">
        <f t="shared" si="16"/>
        <v>0</v>
      </c>
      <c r="R184" s="2" t="e">
        <f t="shared" si="17"/>
        <v>#DIV/0!</v>
      </c>
      <c r="S184" s="2" t="e">
        <f t="shared" si="18"/>
        <v>#DIV/0!</v>
      </c>
    </row>
    <row r="185" spans="2:19" x14ac:dyDescent="0.25">
      <c r="B185" s="1">
        <f t="shared" si="19"/>
        <v>179</v>
      </c>
      <c r="L185" s="15"/>
      <c r="O185" s="2">
        <f t="shared" si="14"/>
        <v>0</v>
      </c>
      <c r="P185" s="2" t="e">
        <f t="shared" si="15"/>
        <v>#DIV/0!</v>
      </c>
      <c r="Q185" s="2">
        <f t="shared" si="16"/>
        <v>0</v>
      </c>
      <c r="R185" s="2" t="e">
        <f t="shared" si="17"/>
        <v>#DIV/0!</v>
      </c>
      <c r="S185" s="2" t="e">
        <f t="shared" si="18"/>
        <v>#DIV/0!</v>
      </c>
    </row>
    <row r="186" spans="2:19" x14ac:dyDescent="0.25">
      <c r="B186" s="1">
        <f t="shared" si="19"/>
        <v>180</v>
      </c>
      <c r="L186" s="15"/>
      <c r="O186" s="2">
        <f t="shared" si="14"/>
        <v>0</v>
      </c>
      <c r="P186" s="2" t="e">
        <f t="shared" si="15"/>
        <v>#DIV/0!</v>
      </c>
      <c r="Q186" s="2">
        <f t="shared" si="16"/>
        <v>0</v>
      </c>
      <c r="R186" s="2" t="e">
        <f t="shared" si="17"/>
        <v>#DIV/0!</v>
      </c>
      <c r="S186" s="2" t="e">
        <f t="shared" si="18"/>
        <v>#DIV/0!</v>
      </c>
    </row>
    <row r="187" spans="2:19" x14ac:dyDescent="0.25">
      <c r="B187" s="1">
        <f t="shared" si="19"/>
        <v>181</v>
      </c>
      <c r="L187" s="15"/>
      <c r="O187" s="2">
        <f t="shared" si="14"/>
        <v>0</v>
      </c>
      <c r="P187" s="2" t="e">
        <f t="shared" si="15"/>
        <v>#DIV/0!</v>
      </c>
      <c r="Q187" s="2">
        <f t="shared" si="16"/>
        <v>0</v>
      </c>
      <c r="R187" s="2" t="e">
        <f t="shared" si="17"/>
        <v>#DIV/0!</v>
      </c>
      <c r="S187" s="2" t="e">
        <f t="shared" si="18"/>
        <v>#DIV/0!</v>
      </c>
    </row>
    <row r="188" spans="2:19" x14ac:dyDescent="0.25">
      <c r="B188" s="1">
        <f t="shared" si="19"/>
        <v>182</v>
      </c>
      <c r="L188" s="15"/>
      <c r="O188" s="2">
        <f t="shared" si="14"/>
        <v>0</v>
      </c>
      <c r="P188" s="2" t="e">
        <f t="shared" si="15"/>
        <v>#DIV/0!</v>
      </c>
      <c r="Q188" s="2">
        <f t="shared" si="16"/>
        <v>0</v>
      </c>
      <c r="R188" s="2" t="e">
        <f t="shared" si="17"/>
        <v>#DIV/0!</v>
      </c>
      <c r="S188" s="2" t="e">
        <f t="shared" si="18"/>
        <v>#DIV/0!</v>
      </c>
    </row>
    <row r="189" spans="2:19" x14ac:dyDescent="0.25">
      <c r="B189" s="1">
        <f t="shared" si="19"/>
        <v>183</v>
      </c>
      <c r="L189" s="15"/>
      <c r="O189" s="2">
        <f t="shared" si="14"/>
        <v>0</v>
      </c>
      <c r="P189" s="2" t="e">
        <f t="shared" si="15"/>
        <v>#DIV/0!</v>
      </c>
      <c r="Q189" s="2">
        <f t="shared" si="16"/>
        <v>0</v>
      </c>
      <c r="R189" s="2" t="e">
        <f t="shared" si="17"/>
        <v>#DIV/0!</v>
      </c>
      <c r="S189" s="2" t="e">
        <f t="shared" si="18"/>
        <v>#DIV/0!</v>
      </c>
    </row>
    <row r="190" spans="2:19" x14ac:dyDescent="0.25">
      <c r="B190" s="1">
        <f t="shared" si="19"/>
        <v>184</v>
      </c>
      <c r="L190" s="15"/>
      <c r="O190" s="2">
        <f t="shared" si="14"/>
        <v>0</v>
      </c>
      <c r="P190" s="2" t="e">
        <f t="shared" si="15"/>
        <v>#DIV/0!</v>
      </c>
      <c r="Q190" s="2">
        <f t="shared" si="16"/>
        <v>0</v>
      </c>
      <c r="R190" s="2" t="e">
        <f t="shared" si="17"/>
        <v>#DIV/0!</v>
      </c>
      <c r="S190" s="2" t="e">
        <f t="shared" si="18"/>
        <v>#DIV/0!</v>
      </c>
    </row>
    <row r="191" spans="2:19" x14ac:dyDescent="0.25">
      <c r="B191" s="1">
        <f t="shared" si="19"/>
        <v>185</v>
      </c>
      <c r="L191" s="15"/>
      <c r="O191" s="2">
        <f t="shared" si="14"/>
        <v>0</v>
      </c>
      <c r="P191" s="2" t="e">
        <f t="shared" si="15"/>
        <v>#DIV/0!</v>
      </c>
      <c r="Q191" s="2">
        <f t="shared" si="16"/>
        <v>0</v>
      </c>
      <c r="R191" s="2" t="e">
        <f t="shared" si="17"/>
        <v>#DIV/0!</v>
      </c>
      <c r="S191" s="2" t="e">
        <f t="shared" si="18"/>
        <v>#DIV/0!</v>
      </c>
    </row>
    <row r="192" spans="2:19" x14ac:dyDescent="0.25">
      <c r="B192" s="1">
        <f t="shared" si="19"/>
        <v>186</v>
      </c>
      <c r="L192" s="15"/>
      <c r="O192" s="2">
        <f t="shared" si="14"/>
        <v>0</v>
      </c>
      <c r="P192" s="2" t="e">
        <f t="shared" si="15"/>
        <v>#DIV/0!</v>
      </c>
      <c r="Q192" s="2">
        <f t="shared" si="16"/>
        <v>0</v>
      </c>
      <c r="R192" s="2" t="e">
        <f t="shared" si="17"/>
        <v>#DIV/0!</v>
      </c>
      <c r="S192" s="2" t="e">
        <f t="shared" si="18"/>
        <v>#DIV/0!</v>
      </c>
    </row>
    <row r="193" spans="2:19" x14ac:dyDescent="0.25">
      <c r="B193" s="1">
        <f t="shared" si="19"/>
        <v>187</v>
      </c>
      <c r="L193" s="15"/>
      <c r="O193" s="2">
        <f t="shared" si="14"/>
        <v>0</v>
      </c>
      <c r="P193" s="2" t="e">
        <f t="shared" si="15"/>
        <v>#DIV/0!</v>
      </c>
      <c r="Q193" s="2">
        <f t="shared" si="16"/>
        <v>0</v>
      </c>
      <c r="R193" s="2" t="e">
        <f t="shared" si="17"/>
        <v>#DIV/0!</v>
      </c>
      <c r="S193" s="2" t="e">
        <f t="shared" si="18"/>
        <v>#DIV/0!</v>
      </c>
    </row>
    <row r="194" spans="2:19" x14ac:dyDescent="0.25">
      <c r="B194" s="1">
        <f t="shared" si="19"/>
        <v>188</v>
      </c>
      <c r="L194" s="15"/>
      <c r="O194" s="2">
        <f t="shared" si="14"/>
        <v>0</v>
      </c>
      <c r="P194" s="2" t="e">
        <f t="shared" si="15"/>
        <v>#DIV/0!</v>
      </c>
      <c r="Q194" s="2">
        <f t="shared" si="16"/>
        <v>0</v>
      </c>
      <c r="R194" s="2" t="e">
        <f t="shared" si="17"/>
        <v>#DIV/0!</v>
      </c>
      <c r="S194" s="2" t="e">
        <f t="shared" si="18"/>
        <v>#DIV/0!</v>
      </c>
    </row>
    <row r="195" spans="2:19" x14ac:dyDescent="0.25">
      <c r="B195" s="1">
        <f t="shared" si="19"/>
        <v>189</v>
      </c>
      <c r="L195" s="15"/>
      <c r="O195" s="2">
        <f t="shared" si="14"/>
        <v>0</v>
      </c>
      <c r="P195" s="2" t="e">
        <f t="shared" si="15"/>
        <v>#DIV/0!</v>
      </c>
      <c r="Q195" s="2">
        <f t="shared" si="16"/>
        <v>0</v>
      </c>
      <c r="R195" s="2" t="e">
        <f t="shared" si="17"/>
        <v>#DIV/0!</v>
      </c>
      <c r="S195" s="2" t="e">
        <f t="shared" si="18"/>
        <v>#DIV/0!</v>
      </c>
    </row>
    <row r="196" spans="2:19" x14ac:dyDescent="0.25">
      <c r="B196" s="1">
        <f t="shared" si="19"/>
        <v>190</v>
      </c>
      <c r="L196" s="15"/>
      <c r="O196" s="2">
        <f t="shared" si="14"/>
        <v>0</v>
      </c>
      <c r="P196" s="2" t="e">
        <f t="shared" si="15"/>
        <v>#DIV/0!</v>
      </c>
      <c r="Q196" s="2">
        <f t="shared" si="16"/>
        <v>0</v>
      </c>
      <c r="R196" s="2" t="e">
        <f t="shared" si="17"/>
        <v>#DIV/0!</v>
      </c>
      <c r="S196" s="2" t="e">
        <f t="shared" si="18"/>
        <v>#DIV/0!</v>
      </c>
    </row>
    <row r="197" spans="2:19" x14ac:dyDescent="0.25">
      <c r="B197" s="1">
        <f t="shared" si="19"/>
        <v>191</v>
      </c>
      <c r="L197" s="15"/>
      <c r="O197" s="2">
        <f t="shared" si="14"/>
        <v>0</v>
      </c>
      <c r="P197" s="2" t="e">
        <f t="shared" si="15"/>
        <v>#DIV/0!</v>
      </c>
      <c r="Q197" s="2">
        <f t="shared" si="16"/>
        <v>0</v>
      </c>
      <c r="R197" s="2" t="e">
        <f t="shared" si="17"/>
        <v>#DIV/0!</v>
      </c>
      <c r="S197" s="2" t="e">
        <f t="shared" si="18"/>
        <v>#DIV/0!</v>
      </c>
    </row>
    <row r="198" spans="2:19" x14ac:dyDescent="0.25">
      <c r="B198" s="1">
        <f t="shared" si="19"/>
        <v>192</v>
      </c>
      <c r="L198" s="15"/>
      <c r="O198" s="2">
        <f t="shared" si="14"/>
        <v>0</v>
      </c>
      <c r="P198" s="2" t="e">
        <f t="shared" si="15"/>
        <v>#DIV/0!</v>
      </c>
      <c r="Q198" s="2">
        <f t="shared" si="16"/>
        <v>0</v>
      </c>
      <c r="R198" s="2" t="e">
        <f t="shared" si="17"/>
        <v>#DIV/0!</v>
      </c>
      <c r="S198" s="2" t="e">
        <f t="shared" si="18"/>
        <v>#DIV/0!</v>
      </c>
    </row>
    <row r="199" spans="2:19" x14ac:dyDescent="0.25">
      <c r="B199" s="1">
        <f t="shared" si="19"/>
        <v>193</v>
      </c>
      <c r="L199" s="15"/>
      <c r="O199" s="2">
        <f t="shared" si="14"/>
        <v>0</v>
      </c>
      <c r="P199" s="2" t="e">
        <f t="shared" si="15"/>
        <v>#DIV/0!</v>
      </c>
      <c r="Q199" s="2">
        <f t="shared" si="16"/>
        <v>0</v>
      </c>
      <c r="R199" s="2" t="e">
        <f t="shared" si="17"/>
        <v>#DIV/0!</v>
      </c>
      <c r="S199" s="2" t="e">
        <f t="shared" si="18"/>
        <v>#DIV/0!</v>
      </c>
    </row>
    <row r="200" spans="2:19" x14ac:dyDescent="0.25">
      <c r="B200" s="1">
        <f t="shared" si="19"/>
        <v>194</v>
      </c>
      <c r="L200" s="15"/>
      <c r="O200" s="2">
        <f t="shared" ref="O200:O263" si="20">M200-$X$23</f>
        <v>0</v>
      </c>
      <c r="P200" s="2" t="e">
        <f t="shared" ref="P200:P263" si="21">O200*$AC$21+$Y$23</f>
        <v>#DIV/0!</v>
      </c>
      <c r="Q200" s="2">
        <f t="shared" ref="Q200:Q263" si="22">((D200+D201)/2)*(M201-M200)</f>
        <v>0</v>
      </c>
      <c r="R200" s="2" t="e">
        <f t="shared" ref="R200:R263" si="23">((P200+P201)/2)*(O201-O200)</f>
        <v>#DIV/0!</v>
      </c>
      <c r="S200" s="2" t="e">
        <f t="shared" ref="S200:S263" si="24">Q200-R200</f>
        <v>#DIV/0!</v>
      </c>
    </row>
    <row r="201" spans="2:19" x14ac:dyDescent="0.25">
      <c r="B201" s="1">
        <f t="shared" ref="B201:B264" si="25">B200+1</f>
        <v>195</v>
      </c>
      <c r="L201" s="15"/>
      <c r="O201" s="2">
        <f t="shared" si="20"/>
        <v>0</v>
      </c>
      <c r="P201" s="2" t="e">
        <f t="shared" si="21"/>
        <v>#DIV/0!</v>
      </c>
      <c r="Q201" s="2">
        <f t="shared" si="22"/>
        <v>0</v>
      </c>
      <c r="R201" s="2" t="e">
        <f t="shared" si="23"/>
        <v>#DIV/0!</v>
      </c>
      <c r="S201" s="2" t="e">
        <f t="shared" si="24"/>
        <v>#DIV/0!</v>
      </c>
    </row>
    <row r="202" spans="2:19" x14ac:dyDescent="0.25">
      <c r="B202" s="1">
        <f t="shared" si="25"/>
        <v>196</v>
      </c>
      <c r="L202" s="15"/>
      <c r="O202" s="2">
        <f t="shared" si="20"/>
        <v>0</v>
      </c>
      <c r="P202" s="2" t="e">
        <f t="shared" si="21"/>
        <v>#DIV/0!</v>
      </c>
      <c r="Q202" s="2">
        <f t="shared" si="22"/>
        <v>0</v>
      </c>
      <c r="R202" s="2" t="e">
        <f t="shared" si="23"/>
        <v>#DIV/0!</v>
      </c>
      <c r="S202" s="2" t="e">
        <f t="shared" si="24"/>
        <v>#DIV/0!</v>
      </c>
    </row>
    <row r="203" spans="2:19" x14ac:dyDescent="0.25">
      <c r="B203" s="1">
        <f t="shared" si="25"/>
        <v>197</v>
      </c>
      <c r="L203" s="15"/>
      <c r="O203" s="2">
        <f t="shared" si="20"/>
        <v>0</v>
      </c>
      <c r="P203" s="2" t="e">
        <f t="shared" si="21"/>
        <v>#DIV/0!</v>
      </c>
      <c r="Q203" s="2">
        <f t="shared" si="22"/>
        <v>0</v>
      </c>
      <c r="R203" s="2" t="e">
        <f t="shared" si="23"/>
        <v>#DIV/0!</v>
      </c>
      <c r="S203" s="2" t="e">
        <f t="shared" si="24"/>
        <v>#DIV/0!</v>
      </c>
    </row>
    <row r="204" spans="2:19" x14ac:dyDescent="0.25">
      <c r="B204" s="1">
        <f t="shared" si="25"/>
        <v>198</v>
      </c>
      <c r="O204" s="2">
        <f t="shared" si="20"/>
        <v>0</v>
      </c>
      <c r="P204" s="2" t="e">
        <f t="shared" si="21"/>
        <v>#DIV/0!</v>
      </c>
      <c r="Q204" s="2">
        <f t="shared" si="22"/>
        <v>0</v>
      </c>
      <c r="R204" s="2" t="e">
        <f t="shared" si="23"/>
        <v>#DIV/0!</v>
      </c>
      <c r="S204" s="2" t="e">
        <f t="shared" si="24"/>
        <v>#DIV/0!</v>
      </c>
    </row>
    <row r="205" spans="2:19" x14ac:dyDescent="0.25">
      <c r="B205" s="1">
        <f t="shared" si="25"/>
        <v>199</v>
      </c>
      <c r="O205" s="2">
        <f t="shared" si="20"/>
        <v>0</v>
      </c>
      <c r="P205" s="2" t="e">
        <f t="shared" si="21"/>
        <v>#DIV/0!</v>
      </c>
      <c r="Q205" s="2">
        <f t="shared" si="22"/>
        <v>0</v>
      </c>
      <c r="R205" s="2" t="e">
        <f t="shared" si="23"/>
        <v>#DIV/0!</v>
      </c>
      <c r="S205" s="2" t="e">
        <f t="shared" si="24"/>
        <v>#DIV/0!</v>
      </c>
    </row>
    <row r="206" spans="2:19" x14ac:dyDescent="0.25">
      <c r="B206" s="1">
        <f t="shared" si="25"/>
        <v>200</v>
      </c>
      <c r="O206" s="2">
        <f t="shared" si="20"/>
        <v>0</v>
      </c>
      <c r="P206" s="2" t="e">
        <f t="shared" si="21"/>
        <v>#DIV/0!</v>
      </c>
      <c r="Q206" s="2">
        <f t="shared" si="22"/>
        <v>0</v>
      </c>
      <c r="R206" s="2" t="e">
        <f t="shared" si="23"/>
        <v>#DIV/0!</v>
      </c>
      <c r="S206" s="2" t="e">
        <f t="shared" si="24"/>
        <v>#DIV/0!</v>
      </c>
    </row>
    <row r="207" spans="2:19" x14ac:dyDescent="0.25">
      <c r="B207" s="1">
        <f t="shared" si="25"/>
        <v>201</v>
      </c>
      <c r="O207" s="2">
        <f t="shared" si="20"/>
        <v>0</v>
      </c>
      <c r="P207" s="2" t="e">
        <f t="shared" si="21"/>
        <v>#DIV/0!</v>
      </c>
      <c r="Q207" s="2">
        <f t="shared" si="22"/>
        <v>0</v>
      </c>
      <c r="R207" s="2" t="e">
        <f t="shared" si="23"/>
        <v>#DIV/0!</v>
      </c>
      <c r="S207" s="2" t="e">
        <f t="shared" si="24"/>
        <v>#DIV/0!</v>
      </c>
    </row>
    <row r="208" spans="2:19" x14ac:dyDescent="0.25">
      <c r="B208" s="1">
        <f t="shared" si="25"/>
        <v>202</v>
      </c>
      <c r="O208" s="2">
        <f t="shared" si="20"/>
        <v>0</v>
      </c>
      <c r="P208" s="2" t="e">
        <f t="shared" si="21"/>
        <v>#DIV/0!</v>
      </c>
      <c r="Q208" s="2">
        <f t="shared" si="22"/>
        <v>0</v>
      </c>
      <c r="R208" s="2" t="e">
        <f t="shared" si="23"/>
        <v>#DIV/0!</v>
      </c>
      <c r="S208" s="2" t="e">
        <f t="shared" si="24"/>
        <v>#DIV/0!</v>
      </c>
    </row>
    <row r="209" spans="2:19" x14ac:dyDescent="0.25">
      <c r="B209" s="1">
        <f t="shared" si="25"/>
        <v>203</v>
      </c>
      <c r="O209" s="2">
        <f t="shared" si="20"/>
        <v>0</v>
      </c>
      <c r="P209" s="2" t="e">
        <f t="shared" si="21"/>
        <v>#DIV/0!</v>
      </c>
      <c r="Q209" s="2">
        <f t="shared" si="22"/>
        <v>0</v>
      </c>
      <c r="R209" s="2" t="e">
        <f t="shared" si="23"/>
        <v>#DIV/0!</v>
      </c>
      <c r="S209" s="2" t="e">
        <f t="shared" si="24"/>
        <v>#DIV/0!</v>
      </c>
    </row>
    <row r="210" spans="2:19" x14ac:dyDescent="0.25">
      <c r="B210" s="1">
        <f t="shared" si="25"/>
        <v>204</v>
      </c>
      <c r="O210" s="2">
        <f t="shared" si="20"/>
        <v>0</v>
      </c>
      <c r="P210" s="2" t="e">
        <f t="shared" si="21"/>
        <v>#DIV/0!</v>
      </c>
      <c r="Q210" s="2">
        <f t="shared" si="22"/>
        <v>0</v>
      </c>
      <c r="R210" s="2" t="e">
        <f t="shared" si="23"/>
        <v>#DIV/0!</v>
      </c>
      <c r="S210" s="2" t="e">
        <f t="shared" si="24"/>
        <v>#DIV/0!</v>
      </c>
    </row>
    <row r="211" spans="2:19" x14ac:dyDescent="0.25">
      <c r="B211" s="1">
        <f t="shared" si="25"/>
        <v>205</v>
      </c>
      <c r="O211" s="2">
        <f t="shared" si="20"/>
        <v>0</v>
      </c>
      <c r="P211" s="2" t="e">
        <f t="shared" si="21"/>
        <v>#DIV/0!</v>
      </c>
      <c r="Q211" s="2">
        <f t="shared" si="22"/>
        <v>0</v>
      </c>
      <c r="R211" s="2" t="e">
        <f t="shared" si="23"/>
        <v>#DIV/0!</v>
      </c>
      <c r="S211" s="2" t="e">
        <f t="shared" si="24"/>
        <v>#DIV/0!</v>
      </c>
    </row>
    <row r="212" spans="2:19" x14ac:dyDescent="0.25">
      <c r="B212" s="1">
        <f t="shared" si="25"/>
        <v>206</v>
      </c>
      <c r="O212" s="2">
        <f t="shared" si="20"/>
        <v>0</v>
      </c>
      <c r="P212" s="2" t="e">
        <f t="shared" si="21"/>
        <v>#DIV/0!</v>
      </c>
      <c r="Q212" s="2">
        <f t="shared" si="22"/>
        <v>0</v>
      </c>
      <c r="R212" s="2" t="e">
        <f t="shared" si="23"/>
        <v>#DIV/0!</v>
      </c>
      <c r="S212" s="2" t="e">
        <f t="shared" si="24"/>
        <v>#DIV/0!</v>
      </c>
    </row>
    <row r="213" spans="2:19" x14ac:dyDescent="0.25">
      <c r="B213" s="1">
        <f t="shared" si="25"/>
        <v>207</v>
      </c>
      <c r="O213" s="2">
        <f t="shared" si="20"/>
        <v>0</v>
      </c>
      <c r="P213" s="2" t="e">
        <f t="shared" si="21"/>
        <v>#DIV/0!</v>
      </c>
      <c r="Q213" s="2">
        <f t="shared" si="22"/>
        <v>0</v>
      </c>
      <c r="R213" s="2" t="e">
        <f t="shared" si="23"/>
        <v>#DIV/0!</v>
      </c>
      <c r="S213" s="2" t="e">
        <f t="shared" si="24"/>
        <v>#DIV/0!</v>
      </c>
    </row>
    <row r="214" spans="2:19" x14ac:dyDescent="0.25">
      <c r="B214" s="1">
        <f t="shared" si="25"/>
        <v>208</v>
      </c>
      <c r="O214" s="2">
        <f t="shared" si="20"/>
        <v>0</v>
      </c>
      <c r="P214" s="2" t="e">
        <f t="shared" si="21"/>
        <v>#DIV/0!</v>
      </c>
      <c r="Q214" s="2">
        <f t="shared" si="22"/>
        <v>0</v>
      </c>
      <c r="R214" s="2" t="e">
        <f t="shared" si="23"/>
        <v>#DIV/0!</v>
      </c>
      <c r="S214" s="2" t="e">
        <f t="shared" si="24"/>
        <v>#DIV/0!</v>
      </c>
    </row>
    <row r="215" spans="2:19" x14ac:dyDescent="0.25">
      <c r="B215" s="1">
        <f t="shared" si="25"/>
        <v>209</v>
      </c>
      <c r="O215" s="2">
        <f t="shared" si="20"/>
        <v>0</v>
      </c>
      <c r="P215" s="2" t="e">
        <f t="shared" si="21"/>
        <v>#DIV/0!</v>
      </c>
      <c r="Q215" s="2">
        <f t="shared" si="22"/>
        <v>0</v>
      </c>
      <c r="R215" s="2" t="e">
        <f t="shared" si="23"/>
        <v>#DIV/0!</v>
      </c>
      <c r="S215" s="2" t="e">
        <f t="shared" si="24"/>
        <v>#DIV/0!</v>
      </c>
    </row>
    <row r="216" spans="2:19" x14ac:dyDescent="0.25">
      <c r="B216" s="1">
        <f t="shared" si="25"/>
        <v>210</v>
      </c>
      <c r="O216" s="2">
        <f t="shared" si="20"/>
        <v>0</v>
      </c>
      <c r="P216" s="2" t="e">
        <f t="shared" si="21"/>
        <v>#DIV/0!</v>
      </c>
      <c r="Q216" s="2">
        <f t="shared" si="22"/>
        <v>0</v>
      </c>
      <c r="R216" s="2" t="e">
        <f t="shared" si="23"/>
        <v>#DIV/0!</v>
      </c>
      <c r="S216" s="2" t="e">
        <f t="shared" si="24"/>
        <v>#DIV/0!</v>
      </c>
    </row>
    <row r="217" spans="2:19" x14ac:dyDescent="0.25">
      <c r="B217" s="1">
        <f t="shared" si="25"/>
        <v>211</v>
      </c>
      <c r="O217" s="2">
        <f t="shared" si="20"/>
        <v>0</v>
      </c>
      <c r="P217" s="2" t="e">
        <f t="shared" si="21"/>
        <v>#DIV/0!</v>
      </c>
      <c r="Q217" s="2">
        <f t="shared" si="22"/>
        <v>0</v>
      </c>
      <c r="R217" s="2" t="e">
        <f t="shared" si="23"/>
        <v>#DIV/0!</v>
      </c>
      <c r="S217" s="2" t="e">
        <f t="shared" si="24"/>
        <v>#DIV/0!</v>
      </c>
    </row>
    <row r="218" spans="2:19" x14ac:dyDescent="0.25">
      <c r="B218" s="1">
        <f t="shared" si="25"/>
        <v>212</v>
      </c>
      <c r="O218" s="2">
        <f t="shared" si="20"/>
        <v>0</v>
      </c>
      <c r="P218" s="2" t="e">
        <f t="shared" si="21"/>
        <v>#DIV/0!</v>
      </c>
      <c r="Q218" s="2">
        <f t="shared" si="22"/>
        <v>0</v>
      </c>
      <c r="R218" s="2" t="e">
        <f t="shared" si="23"/>
        <v>#DIV/0!</v>
      </c>
      <c r="S218" s="2" t="e">
        <f t="shared" si="24"/>
        <v>#DIV/0!</v>
      </c>
    </row>
    <row r="219" spans="2:19" x14ac:dyDescent="0.25">
      <c r="B219" s="1">
        <f t="shared" si="25"/>
        <v>213</v>
      </c>
      <c r="O219" s="2">
        <f t="shared" si="20"/>
        <v>0</v>
      </c>
      <c r="P219" s="2" t="e">
        <f t="shared" si="21"/>
        <v>#DIV/0!</v>
      </c>
      <c r="Q219" s="2">
        <f t="shared" si="22"/>
        <v>0</v>
      </c>
      <c r="R219" s="2" t="e">
        <f t="shared" si="23"/>
        <v>#DIV/0!</v>
      </c>
      <c r="S219" s="2" t="e">
        <f t="shared" si="24"/>
        <v>#DIV/0!</v>
      </c>
    </row>
    <row r="220" spans="2:19" x14ac:dyDescent="0.25">
      <c r="B220" s="1">
        <f t="shared" si="25"/>
        <v>214</v>
      </c>
      <c r="O220" s="2">
        <f t="shared" si="20"/>
        <v>0</v>
      </c>
      <c r="P220" s="2" t="e">
        <f t="shared" si="21"/>
        <v>#DIV/0!</v>
      </c>
      <c r="Q220" s="2">
        <f t="shared" si="22"/>
        <v>0</v>
      </c>
      <c r="R220" s="2" t="e">
        <f t="shared" si="23"/>
        <v>#DIV/0!</v>
      </c>
      <c r="S220" s="2" t="e">
        <f t="shared" si="24"/>
        <v>#DIV/0!</v>
      </c>
    </row>
    <row r="221" spans="2:19" x14ac:dyDescent="0.25">
      <c r="B221" s="1">
        <f t="shared" si="25"/>
        <v>215</v>
      </c>
      <c r="O221" s="2">
        <f t="shared" si="20"/>
        <v>0</v>
      </c>
      <c r="P221" s="2" t="e">
        <f t="shared" si="21"/>
        <v>#DIV/0!</v>
      </c>
      <c r="Q221" s="2">
        <f t="shared" si="22"/>
        <v>0</v>
      </c>
      <c r="R221" s="2" t="e">
        <f t="shared" si="23"/>
        <v>#DIV/0!</v>
      </c>
      <c r="S221" s="2" t="e">
        <f t="shared" si="24"/>
        <v>#DIV/0!</v>
      </c>
    </row>
    <row r="222" spans="2:19" x14ac:dyDescent="0.25">
      <c r="B222" s="1">
        <f t="shared" si="25"/>
        <v>216</v>
      </c>
      <c r="O222" s="2">
        <f t="shared" si="20"/>
        <v>0</v>
      </c>
      <c r="P222" s="2" t="e">
        <f t="shared" si="21"/>
        <v>#DIV/0!</v>
      </c>
      <c r="Q222" s="2">
        <f t="shared" si="22"/>
        <v>0</v>
      </c>
      <c r="R222" s="2" t="e">
        <f t="shared" si="23"/>
        <v>#DIV/0!</v>
      </c>
      <c r="S222" s="2" t="e">
        <f t="shared" si="24"/>
        <v>#DIV/0!</v>
      </c>
    </row>
    <row r="223" spans="2:19" x14ac:dyDescent="0.25">
      <c r="B223" s="1">
        <f t="shared" si="25"/>
        <v>217</v>
      </c>
      <c r="O223" s="2">
        <f t="shared" si="20"/>
        <v>0</v>
      </c>
      <c r="P223" s="2" t="e">
        <f t="shared" si="21"/>
        <v>#DIV/0!</v>
      </c>
      <c r="Q223" s="2">
        <f t="shared" si="22"/>
        <v>0</v>
      </c>
      <c r="R223" s="2" t="e">
        <f t="shared" si="23"/>
        <v>#DIV/0!</v>
      </c>
      <c r="S223" s="2" t="e">
        <f t="shared" si="24"/>
        <v>#DIV/0!</v>
      </c>
    </row>
    <row r="224" spans="2:19" x14ac:dyDescent="0.25">
      <c r="B224" s="1">
        <f t="shared" si="25"/>
        <v>218</v>
      </c>
      <c r="O224" s="2">
        <f t="shared" si="20"/>
        <v>0</v>
      </c>
      <c r="P224" s="2" t="e">
        <f t="shared" si="21"/>
        <v>#DIV/0!</v>
      </c>
      <c r="Q224" s="2">
        <f t="shared" si="22"/>
        <v>0</v>
      </c>
      <c r="R224" s="2" t="e">
        <f t="shared" si="23"/>
        <v>#DIV/0!</v>
      </c>
      <c r="S224" s="2" t="e">
        <f t="shared" si="24"/>
        <v>#DIV/0!</v>
      </c>
    </row>
    <row r="225" spans="2:19" x14ac:dyDescent="0.25">
      <c r="B225" s="1">
        <f t="shared" si="25"/>
        <v>219</v>
      </c>
      <c r="O225" s="2">
        <f t="shared" si="20"/>
        <v>0</v>
      </c>
      <c r="P225" s="2" t="e">
        <f t="shared" si="21"/>
        <v>#DIV/0!</v>
      </c>
      <c r="Q225" s="2">
        <f t="shared" si="22"/>
        <v>0</v>
      </c>
      <c r="R225" s="2" t="e">
        <f t="shared" si="23"/>
        <v>#DIV/0!</v>
      </c>
      <c r="S225" s="2" t="e">
        <f t="shared" si="24"/>
        <v>#DIV/0!</v>
      </c>
    </row>
    <row r="226" spans="2:19" x14ac:dyDescent="0.25">
      <c r="B226" s="1">
        <f t="shared" si="25"/>
        <v>220</v>
      </c>
      <c r="O226" s="2">
        <f t="shared" si="20"/>
        <v>0</v>
      </c>
      <c r="P226" s="2" t="e">
        <f t="shared" si="21"/>
        <v>#DIV/0!</v>
      </c>
      <c r="Q226" s="2">
        <f t="shared" si="22"/>
        <v>0</v>
      </c>
      <c r="R226" s="2" t="e">
        <f t="shared" si="23"/>
        <v>#DIV/0!</v>
      </c>
      <c r="S226" s="2" t="e">
        <f t="shared" si="24"/>
        <v>#DIV/0!</v>
      </c>
    </row>
    <row r="227" spans="2:19" x14ac:dyDescent="0.25">
      <c r="B227" s="1">
        <f t="shared" si="25"/>
        <v>221</v>
      </c>
      <c r="O227" s="2">
        <f t="shared" si="20"/>
        <v>0</v>
      </c>
      <c r="P227" s="2" t="e">
        <f t="shared" si="21"/>
        <v>#DIV/0!</v>
      </c>
      <c r="Q227" s="2">
        <f t="shared" si="22"/>
        <v>0</v>
      </c>
      <c r="R227" s="2" t="e">
        <f t="shared" si="23"/>
        <v>#DIV/0!</v>
      </c>
      <c r="S227" s="2" t="e">
        <f t="shared" si="24"/>
        <v>#DIV/0!</v>
      </c>
    </row>
    <row r="228" spans="2:19" x14ac:dyDescent="0.25">
      <c r="B228" s="1">
        <f t="shared" si="25"/>
        <v>222</v>
      </c>
      <c r="O228" s="2">
        <f t="shared" si="20"/>
        <v>0</v>
      </c>
      <c r="P228" s="2" t="e">
        <f t="shared" si="21"/>
        <v>#DIV/0!</v>
      </c>
      <c r="Q228" s="2">
        <f t="shared" si="22"/>
        <v>0</v>
      </c>
      <c r="R228" s="2" t="e">
        <f t="shared" si="23"/>
        <v>#DIV/0!</v>
      </c>
      <c r="S228" s="2" t="e">
        <f t="shared" si="24"/>
        <v>#DIV/0!</v>
      </c>
    </row>
    <row r="229" spans="2:19" x14ac:dyDescent="0.25">
      <c r="B229" s="1">
        <f t="shared" si="25"/>
        <v>223</v>
      </c>
      <c r="O229" s="2">
        <f t="shared" si="20"/>
        <v>0</v>
      </c>
      <c r="P229" s="2" t="e">
        <f t="shared" si="21"/>
        <v>#DIV/0!</v>
      </c>
      <c r="Q229" s="2">
        <f t="shared" si="22"/>
        <v>0</v>
      </c>
      <c r="R229" s="2" t="e">
        <f t="shared" si="23"/>
        <v>#DIV/0!</v>
      </c>
      <c r="S229" s="2" t="e">
        <f t="shared" si="24"/>
        <v>#DIV/0!</v>
      </c>
    </row>
    <row r="230" spans="2:19" x14ac:dyDescent="0.25">
      <c r="B230" s="1">
        <f t="shared" si="25"/>
        <v>224</v>
      </c>
      <c r="O230" s="2">
        <f t="shared" si="20"/>
        <v>0</v>
      </c>
      <c r="P230" s="2" t="e">
        <f t="shared" si="21"/>
        <v>#DIV/0!</v>
      </c>
      <c r="Q230" s="2">
        <f t="shared" si="22"/>
        <v>0</v>
      </c>
      <c r="R230" s="2" t="e">
        <f t="shared" si="23"/>
        <v>#DIV/0!</v>
      </c>
      <c r="S230" s="2" t="e">
        <f t="shared" si="24"/>
        <v>#DIV/0!</v>
      </c>
    </row>
    <row r="231" spans="2:19" x14ac:dyDescent="0.25">
      <c r="B231" s="1">
        <f t="shared" si="25"/>
        <v>225</v>
      </c>
      <c r="O231" s="2">
        <f t="shared" si="20"/>
        <v>0</v>
      </c>
      <c r="P231" s="2" t="e">
        <f t="shared" si="21"/>
        <v>#DIV/0!</v>
      </c>
      <c r="Q231" s="2">
        <f t="shared" si="22"/>
        <v>0</v>
      </c>
      <c r="R231" s="2" t="e">
        <f t="shared" si="23"/>
        <v>#DIV/0!</v>
      </c>
      <c r="S231" s="2" t="e">
        <f t="shared" si="24"/>
        <v>#DIV/0!</v>
      </c>
    </row>
    <row r="232" spans="2:19" x14ac:dyDescent="0.25">
      <c r="B232" s="1">
        <f t="shared" si="25"/>
        <v>226</v>
      </c>
      <c r="O232" s="2">
        <f t="shared" si="20"/>
        <v>0</v>
      </c>
      <c r="P232" s="2" t="e">
        <f t="shared" si="21"/>
        <v>#DIV/0!</v>
      </c>
      <c r="Q232" s="2">
        <f t="shared" si="22"/>
        <v>0</v>
      </c>
      <c r="R232" s="2" t="e">
        <f t="shared" si="23"/>
        <v>#DIV/0!</v>
      </c>
      <c r="S232" s="2" t="e">
        <f t="shared" si="24"/>
        <v>#DIV/0!</v>
      </c>
    </row>
    <row r="233" spans="2:19" x14ac:dyDescent="0.25">
      <c r="B233" s="1">
        <f t="shared" si="25"/>
        <v>227</v>
      </c>
      <c r="O233" s="2">
        <f t="shared" si="20"/>
        <v>0</v>
      </c>
      <c r="P233" s="2" t="e">
        <f t="shared" si="21"/>
        <v>#DIV/0!</v>
      </c>
      <c r="Q233" s="2">
        <f t="shared" si="22"/>
        <v>0</v>
      </c>
      <c r="R233" s="2" t="e">
        <f t="shared" si="23"/>
        <v>#DIV/0!</v>
      </c>
      <c r="S233" s="2" t="e">
        <f t="shared" si="24"/>
        <v>#DIV/0!</v>
      </c>
    </row>
    <row r="234" spans="2:19" x14ac:dyDescent="0.25">
      <c r="B234" s="1">
        <f t="shared" si="25"/>
        <v>228</v>
      </c>
      <c r="O234" s="2">
        <f t="shared" si="20"/>
        <v>0</v>
      </c>
      <c r="P234" s="2" t="e">
        <f t="shared" si="21"/>
        <v>#DIV/0!</v>
      </c>
      <c r="Q234" s="2">
        <f t="shared" si="22"/>
        <v>0</v>
      </c>
      <c r="R234" s="2" t="e">
        <f t="shared" si="23"/>
        <v>#DIV/0!</v>
      </c>
      <c r="S234" s="2" t="e">
        <f t="shared" si="24"/>
        <v>#DIV/0!</v>
      </c>
    </row>
    <row r="235" spans="2:19" x14ac:dyDescent="0.25">
      <c r="B235" s="1">
        <f t="shared" si="25"/>
        <v>229</v>
      </c>
      <c r="O235" s="2">
        <f t="shared" si="20"/>
        <v>0</v>
      </c>
      <c r="P235" s="2" t="e">
        <f t="shared" si="21"/>
        <v>#DIV/0!</v>
      </c>
      <c r="Q235" s="2">
        <f t="shared" si="22"/>
        <v>0</v>
      </c>
      <c r="R235" s="2" t="e">
        <f t="shared" si="23"/>
        <v>#DIV/0!</v>
      </c>
      <c r="S235" s="2" t="e">
        <f t="shared" si="24"/>
        <v>#DIV/0!</v>
      </c>
    </row>
    <row r="236" spans="2:19" x14ac:dyDescent="0.25">
      <c r="B236" s="1">
        <f t="shared" si="25"/>
        <v>230</v>
      </c>
      <c r="O236" s="2">
        <f t="shared" si="20"/>
        <v>0</v>
      </c>
      <c r="P236" s="2" t="e">
        <f t="shared" si="21"/>
        <v>#DIV/0!</v>
      </c>
      <c r="Q236" s="2">
        <f t="shared" si="22"/>
        <v>0</v>
      </c>
      <c r="R236" s="2" t="e">
        <f t="shared" si="23"/>
        <v>#DIV/0!</v>
      </c>
      <c r="S236" s="2" t="e">
        <f t="shared" si="24"/>
        <v>#DIV/0!</v>
      </c>
    </row>
    <row r="237" spans="2:19" x14ac:dyDescent="0.25">
      <c r="B237" s="1">
        <f t="shared" si="25"/>
        <v>231</v>
      </c>
      <c r="O237" s="2">
        <f t="shared" si="20"/>
        <v>0</v>
      </c>
      <c r="P237" s="2" t="e">
        <f t="shared" si="21"/>
        <v>#DIV/0!</v>
      </c>
      <c r="Q237" s="2">
        <f t="shared" si="22"/>
        <v>0</v>
      </c>
      <c r="R237" s="2" t="e">
        <f t="shared" si="23"/>
        <v>#DIV/0!</v>
      </c>
      <c r="S237" s="2" t="e">
        <f t="shared" si="24"/>
        <v>#DIV/0!</v>
      </c>
    </row>
    <row r="238" spans="2:19" x14ac:dyDescent="0.25">
      <c r="B238" s="1">
        <f t="shared" si="25"/>
        <v>232</v>
      </c>
      <c r="O238" s="2">
        <f t="shared" si="20"/>
        <v>0</v>
      </c>
      <c r="P238" s="2" t="e">
        <f t="shared" si="21"/>
        <v>#DIV/0!</v>
      </c>
      <c r="Q238" s="2">
        <f t="shared" si="22"/>
        <v>0</v>
      </c>
      <c r="R238" s="2" t="e">
        <f t="shared" si="23"/>
        <v>#DIV/0!</v>
      </c>
      <c r="S238" s="2" t="e">
        <f t="shared" si="24"/>
        <v>#DIV/0!</v>
      </c>
    </row>
    <row r="239" spans="2:19" x14ac:dyDescent="0.25">
      <c r="B239" s="1">
        <f t="shared" si="25"/>
        <v>233</v>
      </c>
      <c r="O239" s="2">
        <f t="shared" si="20"/>
        <v>0</v>
      </c>
      <c r="P239" s="2" t="e">
        <f t="shared" si="21"/>
        <v>#DIV/0!</v>
      </c>
      <c r="Q239" s="2">
        <f t="shared" si="22"/>
        <v>0</v>
      </c>
      <c r="R239" s="2" t="e">
        <f t="shared" si="23"/>
        <v>#DIV/0!</v>
      </c>
      <c r="S239" s="2" t="e">
        <f t="shared" si="24"/>
        <v>#DIV/0!</v>
      </c>
    </row>
    <row r="240" spans="2:19" x14ac:dyDescent="0.25">
      <c r="B240" s="1">
        <f t="shared" si="25"/>
        <v>234</v>
      </c>
      <c r="O240" s="2">
        <f t="shared" si="20"/>
        <v>0</v>
      </c>
      <c r="P240" s="2" t="e">
        <f t="shared" si="21"/>
        <v>#DIV/0!</v>
      </c>
      <c r="Q240" s="2">
        <f t="shared" si="22"/>
        <v>0</v>
      </c>
      <c r="R240" s="2" t="e">
        <f t="shared" si="23"/>
        <v>#DIV/0!</v>
      </c>
      <c r="S240" s="2" t="e">
        <f t="shared" si="24"/>
        <v>#DIV/0!</v>
      </c>
    </row>
    <row r="241" spans="2:19" x14ac:dyDescent="0.25">
      <c r="B241" s="1">
        <f t="shared" si="25"/>
        <v>235</v>
      </c>
      <c r="O241" s="2">
        <f t="shared" si="20"/>
        <v>0</v>
      </c>
      <c r="P241" s="2" t="e">
        <f t="shared" si="21"/>
        <v>#DIV/0!</v>
      </c>
      <c r="Q241" s="2">
        <f t="shared" si="22"/>
        <v>0</v>
      </c>
      <c r="R241" s="2" t="e">
        <f t="shared" si="23"/>
        <v>#DIV/0!</v>
      </c>
      <c r="S241" s="2" t="e">
        <f t="shared" si="24"/>
        <v>#DIV/0!</v>
      </c>
    </row>
    <row r="242" spans="2:19" x14ac:dyDescent="0.25">
      <c r="B242" s="1">
        <f t="shared" si="25"/>
        <v>236</v>
      </c>
      <c r="O242" s="2">
        <f t="shared" si="20"/>
        <v>0</v>
      </c>
      <c r="P242" s="2" t="e">
        <f t="shared" si="21"/>
        <v>#DIV/0!</v>
      </c>
      <c r="Q242" s="2">
        <f t="shared" si="22"/>
        <v>0</v>
      </c>
      <c r="R242" s="2" t="e">
        <f t="shared" si="23"/>
        <v>#DIV/0!</v>
      </c>
      <c r="S242" s="2" t="e">
        <f t="shared" si="24"/>
        <v>#DIV/0!</v>
      </c>
    </row>
    <row r="243" spans="2:19" x14ac:dyDescent="0.25">
      <c r="B243" s="1">
        <f t="shared" si="25"/>
        <v>237</v>
      </c>
      <c r="O243" s="2">
        <f t="shared" si="20"/>
        <v>0</v>
      </c>
      <c r="P243" s="2" t="e">
        <f t="shared" si="21"/>
        <v>#DIV/0!</v>
      </c>
      <c r="Q243" s="2">
        <f t="shared" si="22"/>
        <v>0</v>
      </c>
      <c r="R243" s="2" t="e">
        <f t="shared" si="23"/>
        <v>#DIV/0!</v>
      </c>
      <c r="S243" s="2" t="e">
        <f t="shared" si="24"/>
        <v>#DIV/0!</v>
      </c>
    </row>
    <row r="244" spans="2:19" x14ac:dyDescent="0.25">
      <c r="B244" s="1">
        <f t="shared" si="25"/>
        <v>238</v>
      </c>
      <c r="O244" s="2">
        <f t="shared" si="20"/>
        <v>0</v>
      </c>
      <c r="P244" s="2" t="e">
        <f t="shared" si="21"/>
        <v>#DIV/0!</v>
      </c>
      <c r="Q244" s="2">
        <f t="shared" si="22"/>
        <v>0</v>
      </c>
      <c r="R244" s="2" t="e">
        <f t="shared" si="23"/>
        <v>#DIV/0!</v>
      </c>
      <c r="S244" s="2" t="e">
        <f t="shared" si="24"/>
        <v>#DIV/0!</v>
      </c>
    </row>
    <row r="245" spans="2:19" x14ac:dyDescent="0.25">
      <c r="B245" s="1">
        <f t="shared" si="25"/>
        <v>239</v>
      </c>
      <c r="O245" s="2">
        <f t="shared" si="20"/>
        <v>0</v>
      </c>
      <c r="P245" s="2" t="e">
        <f t="shared" si="21"/>
        <v>#DIV/0!</v>
      </c>
      <c r="Q245" s="2">
        <f t="shared" si="22"/>
        <v>0</v>
      </c>
      <c r="R245" s="2" t="e">
        <f t="shared" si="23"/>
        <v>#DIV/0!</v>
      </c>
      <c r="S245" s="2" t="e">
        <f t="shared" si="24"/>
        <v>#DIV/0!</v>
      </c>
    </row>
    <row r="246" spans="2:19" x14ac:dyDescent="0.25">
      <c r="B246" s="1">
        <f t="shared" si="25"/>
        <v>240</v>
      </c>
      <c r="O246" s="2">
        <f t="shared" si="20"/>
        <v>0</v>
      </c>
      <c r="P246" s="2" t="e">
        <f t="shared" si="21"/>
        <v>#DIV/0!</v>
      </c>
      <c r="Q246" s="2">
        <f t="shared" si="22"/>
        <v>0</v>
      </c>
      <c r="R246" s="2" t="e">
        <f t="shared" si="23"/>
        <v>#DIV/0!</v>
      </c>
      <c r="S246" s="2" t="e">
        <f t="shared" si="24"/>
        <v>#DIV/0!</v>
      </c>
    </row>
    <row r="247" spans="2:19" x14ac:dyDescent="0.25">
      <c r="B247" s="1">
        <f t="shared" si="25"/>
        <v>241</v>
      </c>
      <c r="O247" s="2">
        <f t="shared" si="20"/>
        <v>0</v>
      </c>
      <c r="P247" s="2" t="e">
        <f t="shared" si="21"/>
        <v>#DIV/0!</v>
      </c>
      <c r="Q247" s="2">
        <f t="shared" si="22"/>
        <v>0</v>
      </c>
      <c r="R247" s="2" t="e">
        <f t="shared" si="23"/>
        <v>#DIV/0!</v>
      </c>
      <c r="S247" s="2" t="e">
        <f t="shared" si="24"/>
        <v>#DIV/0!</v>
      </c>
    </row>
    <row r="248" spans="2:19" x14ac:dyDescent="0.25">
      <c r="B248" s="1">
        <f t="shared" si="25"/>
        <v>242</v>
      </c>
      <c r="O248" s="2">
        <f t="shared" si="20"/>
        <v>0</v>
      </c>
      <c r="P248" s="2" t="e">
        <f t="shared" si="21"/>
        <v>#DIV/0!</v>
      </c>
      <c r="Q248" s="2">
        <f t="shared" si="22"/>
        <v>0</v>
      </c>
      <c r="R248" s="2" t="e">
        <f t="shared" si="23"/>
        <v>#DIV/0!</v>
      </c>
      <c r="S248" s="2" t="e">
        <f t="shared" si="24"/>
        <v>#DIV/0!</v>
      </c>
    </row>
    <row r="249" spans="2:19" x14ac:dyDescent="0.25">
      <c r="B249" s="1">
        <f t="shared" si="25"/>
        <v>243</v>
      </c>
      <c r="O249" s="2">
        <f t="shared" si="20"/>
        <v>0</v>
      </c>
      <c r="P249" s="2" t="e">
        <f t="shared" si="21"/>
        <v>#DIV/0!</v>
      </c>
      <c r="Q249" s="2">
        <f t="shared" si="22"/>
        <v>0</v>
      </c>
      <c r="R249" s="2" t="e">
        <f t="shared" si="23"/>
        <v>#DIV/0!</v>
      </c>
      <c r="S249" s="2" t="e">
        <f t="shared" si="24"/>
        <v>#DIV/0!</v>
      </c>
    </row>
    <row r="250" spans="2:19" x14ac:dyDescent="0.25">
      <c r="B250" s="1">
        <f t="shared" si="25"/>
        <v>244</v>
      </c>
      <c r="O250" s="2">
        <f t="shared" si="20"/>
        <v>0</v>
      </c>
      <c r="P250" s="2" t="e">
        <f t="shared" si="21"/>
        <v>#DIV/0!</v>
      </c>
      <c r="Q250" s="2">
        <f t="shared" si="22"/>
        <v>0</v>
      </c>
      <c r="R250" s="2" t="e">
        <f t="shared" si="23"/>
        <v>#DIV/0!</v>
      </c>
      <c r="S250" s="2" t="e">
        <f t="shared" si="24"/>
        <v>#DIV/0!</v>
      </c>
    </row>
    <row r="251" spans="2:19" x14ac:dyDescent="0.25">
      <c r="B251" s="1">
        <f t="shared" si="25"/>
        <v>245</v>
      </c>
      <c r="O251" s="2">
        <f t="shared" si="20"/>
        <v>0</v>
      </c>
      <c r="P251" s="2" t="e">
        <f t="shared" si="21"/>
        <v>#DIV/0!</v>
      </c>
      <c r="Q251" s="2">
        <f t="shared" si="22"/>
        <v>0</v>
      </c>
      <c r="R251" s="2" t="e">
        <f t="shared" si="23"/>
        <v>#DIV/0!</v>
      </c>
      <c r="S251" s="2" t="e">
        <f t="shared" si="24"/>
        <v>#DIV/0!</v>
      </c>
    </row>
    <row r="252" spans="2:19" x14ac:dyDescent="0.25">
      <c r="B252" s="1">
        <f t="shared" si="25"/>
        <v>246</v>
      </c>
      <c r="O252" s="2">
        <f t="shared" si="20"/>
        <v>0</v>
      </c>
      <c r="P252" s="2" t="e">
        <f t="shared" si="21"/>
        <v>#DIV/0!</v>
      </c>
      <c r="Q252" s="2">
        <f t="shared" si="22"/>
        <v>0</v>
      </c>
      <c r="R252" s="2" t="e">
        <f t="shared" si="23"/>
        <v>#DIV/0!</v>
      </c>
      <c r="S252" s="2" t="e">
        <f t="shared" si="24"/>
        <v>#DIV/0!</v>
      </c>
    </row>
    <row r="253" spans="2:19" x14ac:dyDescent="0.25">
      <c r="B253" s="1">
        <f t="shared" si="25"/>
        <v>247</v>
      </c>
      <c r="O253" s="2">
        <f t="shared" si="20"/>
        <v>0</v>
      </c>
      <c r="P253" s="2" t="e">
        <f t="shared" si="21"/>
        <v>#DIV/0!</v>
      </c>
      <c r="Q253" s="2">
        <f t="shared" si="22"/>
        <v>0</v>
      </c>
      <c r="R253" s="2" t="e">
        <f t="shared" si="23"/>
        <v>#DIV/0!</v>
      </c>
      <c r="S253" s="2" t="e">
        <f t="shared" si="24"/>
        <v>#DIV/0!</v>
      </c>
    </row>
    <row r="254" spans="2:19" x14ac:dyDescent="0.25">
      <c r="B254" s="1">
        <f t="shared" si="25"/>
        <v>248</v>
      </c>
      <c r="O254" s="2">
        <f t="shared" si="20"/>
        <v>0</v>
      </c>
      <c r="P254" s="2" t="e">
        <f t="shared" si="21"/>
        <v>#DIV/0!</v>
      </c>
      <c r="Q254" s="2">
        <f t="shared" si="22"/>
        <v>0</v>
      </c>
      <c r="R254" s="2" t="e">
        <f t="shared" si="23"/>
        <v>#DIV/0!</v>
      </c>
      <c r="S254" s="2" t="e">
        <f t="shared" si="24"/>
        <v>#DIV/0!</v>
      </c>
    </row>
    <row r="255" spans="2:19" x14ac:dyDescent="0.25">
      <c r="B255" s="1">
        <f t="shared" si="25"/>
        <v>249</v>
      </c>
      <c r="O255" s="2">
        <f t="shared" si="20"/>
        <v>0</v>
      </c>
      <c r="P255" s="2" t="e">
        <f t="shared" si="21"/>
        <v>#DIV/0!</v>
      </c>
      <c r="Q255" s="2">
        <f t="shared" si="22"/>
        <v>0</v>
      </c>
      <c r="R255" s="2" t="e">
        <f t="shared" si="23"/>
        <v>#DIV/0!</v>
      </c>
      <c r="S255" s="2" t="e">
        <f t="shared" si="24"/>
        <v>#DIV/0!</v>
      </c>
    </row>
    <row r="256" spans="2:19" x14ac:dyDescent="0.25">
      <c r="B256" s="1">
        <f t="shared" si="25"/>
        <v>250</v>
      </c>
      <c r="O256" s="2">
        <f t="shared" si="20"/>
        <v>0</v>
      </c>
      <c r="P256" s="2" t="e">
        <f t="shared" si="21"/>
        <v>#DIV/0!</v>
      </c>
      <c r="Q256" s="2">
        <f t="shared" si="22"/>
        <v>0</v>
      </c>
      <c r="R256" s="2" t="e">
        <f t="shared" si="23"/>
        <v>#DIV/0!</v>
      </c>
      <c r="S256" s="2" t="e">
        <f t="shared" si="24"/>
        <v>#DIV/0!</v>
      </c>
    </row>
    <row r="257" spans="2:19" x14ac:dyDescent="0.25">
      <c r="B257" s="1">
        <f t="shared" si="25"/>
        <v>251</v>
      </c>
      <c r="O257" s="2">
        <f t="shared" si="20"/>
        <v>0</v>
      </c>
      <c r="P257" s="2" t="e">
        <f t="shared" si="21"/>
        <v>#DIV/0!</v>
      </c>
      <c r="Q257" s="2">
        <f t="shared" si="22"/>
        <v>0</v>
      </c>
      <c r="R257" s="2" t="e">
        <f t="shared" si="23"/>
        <v>#DIV/0!</v>
      </c>
      <c r="S257" s="2" t="e">
        <f t="shared" si="24"/>
        <v>#DIV/0!</v>
      </c>
    </row>
    <row r="258" spans="2:19" x14ac:dyDescent="0.25">
      <c r="B258" s="1">
        <f t="shared" si="25"/>
        <v>252</v>
      </c>
      <c r="O258" s="2">
        <f t="shared" si="20"/>
        <v>0</v>
      </c>
      <c r="P258" s="2" t="e">
        <f t="shared" si="21"/>
        <v>#DIV/0!</v>
      </c>
      <c r="Q258" s="2">
        <f t="shared" si="22"/>
        <v>0</v>
      </c>
      <c r="R258" s="2" t="e">
        <f t="shared" si="23"/>
        <v>#DIV/0!</v>
      </c>
      <c r="S258" s="2" t="e">
        <f t="shared" si="24"/>
        <v>#DIV/0!</v>
      </c>
    </row>
    <row r="259" spans="2:19" x14ac:dyDescent="0.25">
      <c r="B259" s="1">
        <f t="shared" si="25"/>
        <v>253</v>
      </c>
      <c r="O259" s="2">
        <f t="shared" si="20"/>
        <v>0</v>
      </c>
      <c r="P259" s="2" t="e">
        <f t="shared" si="21"/>
        <v>#DIV/0!</v>
      </c>
      <c r="Q259" s="2">
        <f t="shared" si="22"/>
        <v>0</v>
      </c>
      <c r="R259" s="2" t="e">
        <f t="shared" si="23"/>
        <v>#DIV/0!</v>
      </c>
      <c r="S259" s="2" t="e">
        <f t="shared" si="24"/>
        <v>#DIV/0!</v>
      </c>
    </row>
    <row r="260" spans="2:19" x14ac:dyDescent="0.25">
      <c r="B260" s="1">
        <f t="shared" si="25"/>
        <v>254</v>
      </c>
      <c r="O260" s="2">
        <f t="shared" si="20"/>
        <v>0</v>
      </c>
      <c r="P260" s="2" t="e">
        <f t="shared" si="21"/>
        <v>#DIV/0!</v>
      </c>
      <c r="Q260" s="2">
        <f t="shared" si="22"/>
        <v>0</v>
      </c>
      <c r="R260" s="2" t="e">
        <f t="shared" si="23"/>
        <v>#DIV/0!</v>
      </c>
      <c r="S260" s="2" t="e">
        <f t="shared" si="24"/>
        <v>#DIV/0!</v>
      </c>
    </row>
    <row r="261" spans="2:19" x14ac:dyDescent="0.25">
      <c r="B261" s="1">
        <f t="shared" si="25"/>
        <v>255</v>
      </c>
      <c r="O261" s="2">
        <f t="shared" si="20"/>
        <v>0</v>
      </c>
      <c r="P261" s="2" t="e">
        <f t="shared" si="21"/>
        <v>#DIV/0!</v>
      </c>
      <c r="Q261" s="2">
        <f t="shared" si="22"/>
        <v>0</v>
      </c>
      <c r="R261" s="2" t="e">
        <f t="shared" si="23"/>
        <v>#DIV/0!</v>
      </c>
      <c r="S261" s="2" t="e">
        <f t="shared" si="24"/>
        <v>#DIV/0!</v>
      </c>
    </row>
    <row r="262" spans="2:19" x14ac:dyDescent="0.25">
      <c r="B262" s="1">
        <f t="shared" si="25"/>
        <v>256</v>
      </c>
      <c r="O262" s="2">
        <f t="shared" si="20"/>
        <v>0</v>
      </c>
      <c r="P262" s="2" t="e">
        <f t="shared" si="21"/>
        <v>#DIV/0!</v>
      </c>
      <c r="Q262" s="2">
        <f t="shared" si="22"/>
        <v>0</v>
      </c>
      <c r="R262" s="2" t="e">
        <f t="shared" si="23"/>
        <v>#DIV/0!</v>
      </c>
      <c r="S262" s="2" t="e">
        <f t="shared" si="24"/>
        <v>#DIV/0!</v>
      </c>
    </row>
    <row r="263" spans="2:19" x14ac:dyDescent="0.25">
      <c r="B263" s="1">
        <f t="shared" si="25"/>
        <v>257</v>
      </c>
      <c r="O263" s="2">
        <f t="shared" si="20"/>
        <v>0</v>
      </c>
      <c r="P263" s="2" t="e">
        <f t="shared" si="21"/>
        <v>#DIV/0!</v>
      </c>
      <c r="Q263" s="2">
        <f t="shared" si="22"/>
        <v>0</v>
      </c>
      <c r="R263" s="2" t="e">
        <f t="shared" si="23"/>
        <v>#DIV/0!</v>
      </c>
      <c r="S263" s="2" t="e">
        <f t="shared" si="24"/>
        <v>#DIV/0!</v>
      </c>
    </row>
    <row r="264" spans="2:19" x14ac:dyDescent="0.25">
      <c r="B264" s="1">
        <f t="shared" si="25"/>
        <v>258</v>
      </c>
      <c r="O264" s="2">
        <f t="shared" ref="O264:O327" si="26">M264-$X$23</f>
        <v>0</v>
      </c>
      <c r="P264" s="2" t="e">
        <f t="shared" ref="P264:P327" si="27">O264*$AC$21+$Y$23</f>
        <v>#DIV/0!</v>
      </c>
      <c r="Q264" s="2">
        <f t="shared" ref="Q264:Q327" si="28">((D264+D265)/2)*(M265-M264)</f>
        <v>0</v>
      </c>
      <c r="R264" s="2" t="e">
        <f t="shared" ref="R264:R327" si="29">((P264+P265)/2)*(O265-O264)</f>
        <v>#DIV/0!</v>
      </c>
      <c r="S264" s="2" t="e">
        <f t="shared" ref="S264:S327" si="30">Q264-R264</f>
        <v>#DIV/0!</v>
      </c>
    </row>
    <row r="265" spans="2:19" x14ac:dyDescent="0.25">
      <c r="B265" s="1">
        <f t="shared" ref="B265:B328" si="31">B264+1</f>
        <v>259</v>
      </c>
      <c r="O265" s="2">
        <f t="shared" si="26"/>
        <v>0</v>
      </c>
      <c r="P265" s="2" t="e">
        <f t="shared" si="27"/>
        <v>#DIV/0!</v>
      </c>
      <c r="Q265" s="2">
        <f t="shared" si="28"/>
        <v>0</v>
      </c>
      <c r="R265" s="2" t="e">
        <f t="shared" si="29"/>
        <v>#DIV/0!</v>
      </c>
      <c r="S265" s="2" t="e">
        <f t="shared" si="30"/>
        <v>#DIV/0!</v>
      </c>
    </row>
    <row r="266" spans="2:19" x14ac:dyDescent="0.25">
      <c r="B266" s="1">
        <f t="shared" si="31"/>
        <v>260</v>
      </c>
      <c r="O266" s="2">
        <f t="shared" si="26"/>
        <v>0</v>
      </c>
      <c r="P266" s="2" t="e">
        <f t="shared" si="27"/>
        <v>#DIV/0!</v>
      </c>
      <c r="Q266" s="2">
        <f t="shared" si="28"/>
        <v>0</v>
      </c>
      <c r="R266" s="2" t="e">
        <f t="shared" si="29"/>
        <v>#DIV/0!</v>
      </c>
      <c r="S266" s="2" t="e">
        <f t="shared" si="30"/>
        <v>#DIV/0!</v>
      </c>
    </row>
    <row r="267" spans="2:19" x14ac:dyDescent="0.25">
      <c r="B267" s="1">
        <f t="shared" si="31"/>
        <v>261</v>
      </c>
      <c r="O267" s="2">
        <f t="shared" si="26"/>
        <v>0</v>
      </c>
      <c r="P267" s="2" t="e">
        <f t="shared" si="27"/>
        <v>#DIV/0!</v>
      </c>
      <c r="Q267" s="2">
        <f t="shared" si="28"/>
        <v>0</v>
      </c>
      <c r="R267" s="2" t="e">
        <f t="shared" si="29"/>
        <v>#DIV/0!</v>
      </c>
      <c r="S267" s="2" t="e">
        <f t="shared" si="30"/>
        <v>#DIV/0!</v>
      </c>
    </row>
    <row r="268" spans="2:19" x14ac:dyDescent="0.25">
      <c r="B268" s="1">
        <f t="shared" si="31"/>
        <v>262</v>
      </c>
      <c r="O268" s="2">
        <f t="shared" si="26"/>
        <v>0</v>
      </c>
      <c r="P268" s="2" t="e">
        <f t="shared" si="27"/>
        <v>#DIV/0!</v>
      </c>
      <c r="Q268" s="2">
        <f t="shared" si="28"/>
        <v>0</v>
      </c>
      <c r="R268" s="2" t="e">
        <f t="shared" si="29"/>
        <v>#DIV/0!</v>
      </c>
      <c r="S268" s="2" t="e">
        <f t="shared" si="30"/>
        <v>#DIV/0!</v>
      </c>
    </row>
    <row r="269" spans="2:19" x14ac:dyDescent="0.25">
      <c r="B269" s="1">
        <f t="shared" si="31"/>
        <v>263</v>
      </c>
      <c r="O269" s="2">
        <f t="shared" si="26"/>
        <v>0</v>
      </c>
      <c r="P269" s="2" t="e">
        <f t="shared" si="27"/>
        <v>#DIV/0!</v>
      </c>
      <c r="Q269" s="2">
        <f t="shared" si="28"/>
        <v>0</v>
      </c>
      <c r="R269" s="2" t="e">
        <f t="shared" si="29"/>
        <v>#DIV/0!</v>
      </c>
      <c r="S269" s="2" t="e">
        <f t="shared" si="30"/>
        <v>#DIV/0!</v>
      </c>
    </row>
    <row r="270" spans="2:19" x14ac:dyDescent="0.25">
      <c r="B270" s="1">
        <f t="shared" si="31"/>
        <v>264</v>
      </c>
      <c r="O270" s="2">
        <f t="shared" si="26"/>
        <v>0</v>
      </c>
      <c r="P270" s="2" t="e">
        <f t="shared" si="27"/>
        <v>#DIV/0!</v>
      </c>
      <c r="Q270" s="2">
        <f t="shared" si="28"/>
        <v>0</v>
      </c>
      <c r="R270" s="2" t="e">
        <f t="shared" si="29"/>
        <v>#DIV/0!</v>
      </c>
      <c r="S270" s="2" t="e">
        <f t="shared" si="30"/>
        <v>#DIV/0!</v>
      </c>
    </row>
    <row r="271" spans="2:19" x14ac:dyDescent="0.25">
      <c r="B271" s="1">
        <f t="shared" si="31"/>
        <v>265</v>
      </c>
      <c r="O271" s="2">
        <f t="shared" si="26"/>
        <v>0</v>
      </c>
      <c r="P271" s="2" t="e">
        <f t="shared" si="27"/>
        <v>#DIV/0!</v>
      </c>
      <c r="Q271" s="2">
        <f t="shared" si="28"/>
        <v>0</v>
      </c>
      <c r="R271" s="2" t="e">
        <f t="shared" si="29"/>
        <v>#DIV/0!</v>
      </c>
      <c r="S271" s="2" t="e">
        <f t="shared" si="30"/>
        <v>#DIV/0!</v>
      </c>
    </row>
    <row r="272" spans="2:19" x14ac:dyDescent="0.25">
      <c r="B272" s="1">
        <f t="shared" si="31"/>
        <v>266</v>
      </c>
      <c r="O272" s="2">
        <f t="shared" si="26"/>
        <v>0</v>
      </c>
      <c r="P272" s="2" t="e">
        <f t="shared" si="27"/>
        <v>#DIV/0!</v>
      </c>
      <c r="Q272" s="2">
        <f t="shared" si="28"/>
        <v>0</v>
      </c>
      <c r="R272" s="2" t="e">
        <f t="shared" si="29"/>
        <v>#DIV/0!</v>
      </c>
      <c r="S272" s="2" t="e">
        <f t="shared" si="30"/>
        <v>#DIV/0!</v>
      </c>
    </row>
    <row r="273" spans="2:19" x14ac:dyDescent="0.25">
      <c r="B273" s="1">
        <f t="shared" si="31"/>
        <v>267</v>
      </c>
      <c r="O273" s="2">
        <f t="shared" si="26"/>
        <v>0</v>
      </c>
      <c r="P273" s="2" t="e">
        <f t="shared" si="27"/>
        <v>#DIV/0!</v>
      </c>
      <c r="Q273" s="2">
        <f t="shared" si="28"/>
        <v>0</v>
      </c>
      <c r="R273" s="2" t="e">
        <f t="shared" si="29"/>
        <v>#DIV/0!</v>
      </c>
      <c r="S273" s="2" t="e">
        <f t="shared" si="30"/>
        <v>#DIV/0!</v>
      </c>
    </row>
    <row r="274" spans="2:19" x14ac:dyDescent="0.25">
      <c r="B274" s="1">
        <f t="shared" si="31"/>
        <v>268</v>
      </c>
      <c r="O274" s="2">
        <f t="shared" si="26"/>
        <v>0</v>
      </c>
      <c r="P274" s="2" t="e">
        <f t="shared" si="27"/>
        <v>#DIV/0!</v>
      </c>
      <c r="Q274" s="2">
        <f t="shared" si="28"/>
        <v>0</v>
      </c>
      <c r="R274" s="2" t="e">
        <f t="shared" si="29"/>
        <v>#DIV/0!</v>
      </c>
      <c r="S274" s="2" t="e">
        <f t="shared" si="30"/>
        <v>#DIV/0!</v>
      </c>
    </row>
    <row r="275" spans="2:19" x14ac:dyDescent="0.25">
      <c r="B275" s="1">
        <f t="shared" si="31"/>
        <v>269</v>
      </c>
      <c r="O275" s="2">
        <f t="shared" si="26"/>
        <v>0</v>
      </c>
      <c r="P275" s="2" t="e">
        <f t="shared" si="27"/>
        <v>#DIV/0!</v>
      </c>
      <c r="Q275" s="2">
        <f t="shared" si="28"/>
        <v>0</v>
      </c>
      <c r="R275" s="2" t="e">
        <f t="shared" si="29"/>
        <v>#DIV/0!</v>
      </c>
      <c r="S275" s="2" t="e">
        <f t="shared" si="30"/>
        <v>#DIV/0!</v>
      </c>
    </row>
    <row r="276" spans="2:19" x14ac:dyDescent="0.25">
      <c r="B276" s="1">
        <f t="shared" si="31"/>
        <v>270</v>
      </c>
      <c r="O276" s="2">
        <f t="shared" si="26"/>
        <v>0</v>
      </c>
      <c r="P276" s="2" t="e">
        <f t="shared" si="27"/>
        <v>#DIV/0!</v>
      </c>
      <c r="Q276" s="2">
        <f t="shared" si="28"/>
        <v>0</v>
      </c>
      <c r="R276" s="2" t="e">
        <f t="shared" si="29"/>
        <v>#DIV/0!</v>
      </c>
      <c r="S276" s="2" t="e">
        <f t="shared" si="30"/>
        <v>#DIV/0!</v>
      </c>
    </row>
    <row r="277" spans="2:19" x14ac:dyDescent="0.25">
      <c r="B277" s="1">
        <f t="shared" si="31"/>
        <v>271</v>
      </c>
      <c r="O277" s="2">
        <f t="shared" si="26"/>
        <v>0</v>
      </c>
      <c r="P277" s="2" t="e">
        <f t="shared" si="27"/>
        <v>#DIV/0!</v>
      </c>
      <c r="Q277" s="2">
        <f t="shared" si="28"/>
        <v>0</v>
      </c>
      <c r="R277" s="2" t="e">
        <f t="shared" si="29"/>
        <v>#DIV/0!</v>
      </c>
      <c r="S277" s="2" t="e">
        <f t="shared" si="30"/>
        <v>#DIV/0!</v>
      </c>
    </row>
    <row r="278" spans="2:19" x14ac:dyDescent="0.25">
      <c r="B278" s="1">
        <f t="shared" si="31"/>
        <v>272</v>
      </c>
      <c r="O278" s="2">
        <f t="shared" si="26"/>
        <v>0</v>
      </c>
      <c r="P278" s="2" t="e">
        <f t="shared" si="27"/>
        <v>#DIV/0!</v>
      </c>
      <c r="Q278" s="2">
        <f t="shared" si="28"/>
        <v>0</v>
      </c>
      <c r="R278" s="2" t="e">
        <f t="shared" si="29"/>
        <v>#DIV/0!</v>
      </c>
      <c r="S278" s="2" t="e">
        <f t="shared" si="30"/>
        <v>#DIV/0!</v>
      </c>
    </row>
    <row r="279" spans="2:19" x14ac:dyDescent="0.25">
      <c r="B279" s="1">
        <f t="shared" si="31"/>
        <v>273</v>
      </c>
      <c r="O279" s="2">
        <f t="shared" si="26"/>
        <v>0</v>
      </c>
      <c r="P279" s="2" t="e">
        <f t="shared" si="27"/>
        <v>#DIV/0!</v>
      </c>
      <c r="Q279" s="2">
        <f t="shared" si="28"/>
        <v>0</v>
      </c>
      <c r="R279" s="2" t="e">
        <f t="shared" si="29"/>
        <v>#DIV/0!</v>
      </c>
      <c r="S279" s="2" t="e">
        <f t="shared" si="30"/>
        <v>#DIV/0!</v>
      </c>
    </row>
    <row r="280" spans="2:19" x14ac:dyDescent="0.25">
      <c r="B280" s="1">
        <f t="shared" si="31"/>
        <v>274</v>
      </c>
      <c r="O280" s="2">
        <f t="shared" si="26"/>
        <v>0</v>
      </c>
      <c r="P280" s="2" t="e">
        <f t="shared" si="27"/>
        <v>#DIV/0!</v>
      </c>
      <c r="Q280" s="2">
        <f t="shared" si="28"/>
        <v>0</v>
      </c>
      <c r="R280" s="2" t="e">
        <f t="shared" si="29"/>
        <v>#DIV/0!</v>
      </c>
      <c r="S280" s="2" t="e">
        <f t="shared" si="30"/>
        <v>#DIV/0!</v>
      </c>
    </row>
    <row r="281" spans="2:19" x14ac:dyDescent="0.25">
      <c r="B281" s="1">
        <f t="shared" si="31"/>
        <v>275</v>
      </c>
      <c r="O281" s="2">
        <f t="shared" si="26"/>
        <v>0</v>
      </c>
      <c r="P281" s="2" t="e">
        <f t="shared" si="27"/>
        <v>#DIV/0!</v>
      </c>
      <c r="Q281" s="2">
        <f t="shared" si="28"/>
        <v>0</v>
      </c>
      <c r="R281" s="2" t="e">
        <f t="shared" si="29"/>
        <v>#DIV/0!</v>
      </c>
      <c r="S281" s="2" t="e">
        <f t="shared" si="30"/>
        <v>#DIV/0!</v>
      </c>
    </row>
    <row r="282" spans="2:19" x14ac:dyDescent="0.25">
      <c r="B282" s="1">
        <f t="shared" si="31"/>
        <v>276</v>
      </c>
      <c r="O282" s="2">
        <f t="shared" si="26"/>
        <v>0</v>
      </c>
      <c r="P282" s="2" t="e">
        <f t="shared" si="27"/>
        <v>#DIV/0!</v>
      </c>
      <c r="Q282" s="2">
        <f t="shared" si="28"/>
        <v>0</v>
      </c>
      <c r="R282" s="2" t="e">
        <f t="shared" si="29"/>
        <v>#DIV/0!</v>
      </c>
      <c r="S282" s="2" t="e">
        <f t="shared" si="30"/>
        <v>#DIV/0!</v>
      </c>
    </row>
    <row r="283" spans="2:19" x14ac:dyDescent="0.25">
      <c r="B283" s="1">
        <f t="shared" si="31"/>
        <v>277</v>
      </c>
      <c r="O283" s="2">
        <f t="shared" si="26"/>
        <v>0</v>
      </c>
      <c r="P283" s="2" t="e">
        <f t="shared" si="27"/>
        <v>#DIV/0!</v>
      </c>
      <c r="Q283" s="2">
        <f t="shared" si="28"/>
        <v>0</v>
      </c>
      <c r="R283" s="2" t="e">
        <f t="shared" si="29"/>
        <v>#DIV/0!</v>
      </c>
      <c r="S283" s="2" t="e">
        <f t="shared" si="30"/>
        <v>#DIV/0!</v>
      </c>
    </row>
    <row r="284" spans="2:19" x14ac:dyDescent="0.25">
      <c r="B284" s="1">
        <f t="shared" si="31"/>
        <v>278</v>
      </c>
      <c r="O284" s="2">
        <f t="shared" si="26"/>
        <v>0</v>
      </c>
      <c r="P284" s="2" t="e">
        <f t="shared" si="27"/>
        <v>#DIV/0!</v>
      </c>
      <c r="Q284" s="2">
        <f t="shared" si="28"/>
        <v>0</v>
      </c>
      <c r="R284" s="2" t="e">
        <f t="shared" si="29"/>
        <v>#DIV/0!</v>
      </c>
      <c r="S284" s="2" t="e">
        <f t="shared" si="30"/>
        <v>#DIV/0!</v>
      </c>
    </row>
    <row r="285" spans="2:19" x14ac:dyDescent="0.25">
      <c r="B285" s="1">
        <f t="shared" si="31"/>
        <v>279</v>
      </c>
      <c r="O285" s="2">
        <f t="shared" si="26"/>
        <v>0</v>
      </c>
      <c r="P285" s="2" t="e">
        <f t="shared" si="27"/>
        <v>#DIV/0!</v>
      </c>
      <c r="Q285" s="2">
        <f t="shared" si="28"/>
        <v>0</v>
      </c>
      <c r="R285" s="2" t="e">
        <f t="shared" si="29"/>
        <v>#DIV/0!</v>
      </c>
      <c r="S285" s="2" t="e">
        <f t="shared" si="30"/>
        <v>#DIV/0!</v>
      </c>
    </row>
    <row r="286" spans="2:19" x14ac:dyDescent="0.25">
      <c r="B286" s="1">
        <f t="shared" si="31"/>
        <v>280</v>
      </c>
      <c r="O286" s="2">
        <f t="shared" si="26"/>
        <v>0</v>
      </c>
      <c r="P286" s="2" t="e">
        <f t="shared" si="27"/>
        <v>#DIV/0!</v>
      </c>
      <c r="Q286" s="2">
        <f t="shared" si="28"/>
        <v>0</v>
      </c>
      <c r="R286" s="2" t="e">
        <f t="shared" si="29"/>
        <v>#DIV/0!</v>
      </c>
      <c r="S286" s="2" t="e">
        <f t="shared" si="30"/>
        <v>#DIV/0!</v>
      </c>
    </row>
    <row r="287" spans="2:19" x14ac:dyDescent="0.25">
      <c r="B287" s="1">
        <f t="shared" si="31"/>
        <v>281</v>
      </c>
      <c r="O287" s="2">
        <f t="shared" si="26"/>
        <v>0</v>
      </c>
      <c r="P287" s="2" t="e">
        <f t="shared" si="27"/>
        <v>#DIV/0!</v>
      </c>
      <c r="Q287" s="2">
        <f t="shared" si="28"/>
        <v>0</v>
      </c>
      <c r="R287" s="2" t="e">
        <f t="shared" si="29"/>
        <v>#DIV/0!</v>
      </c>
      <c r="S287" s="2" t="e">
        <f t="shared" si="30"/>
        <v>#DIV/0!</v>
      </c>
    </row>
    <row r="288" spans="2:19" x14ac:dyDescent="0.25">
      <c r="B288" s="1">
        <f t="shared" si="31"/>
        <v>282</v>
      </c>
      <c r="O288" s="2">
        <f t="shared" si="26"/>
        <v>0</v>
      </c>
      <c r="P288" s="2" t="e">
        <f t="shared" si="27"/>
        <v>#DIV/0!</v>
      </c>
      <c r="Q288" s="2">
        <f t="shared" si="28"/>
        <v>0</v>
      </c>
      <c r="R288" s="2" t="e">
        <f t="shared" si="29"/>
        <v>#DIV/0!</v>
      </c>
      <c r="S288" s="2" t="e">
        <f t="shared" si="30"/>
        <v>#DIV/0!</v>
      </c>
    </row>
    <row r="289" spans="2:19" x14ac:dyDescent="0.25">
      <c r="B289" s="1">
        <f t="shared" si="31"/>
        <v>283</v>
      </c>
      <c r="O289" s="2">
        <f t="shared" si="26"/>
        <v>0</v>
      </c>
      <c r="P289" s="2" t="e">
        <f t="shared" si="27"/>
        <v>#DIV/0!</v>
      </c>
      <c r="Q289" s="2">
        <f t="shared" si="28"/>
        <v>0</v>
      </c>
      <c r="R289" s="2" t="e">
        <f t="shared" si="29"/>
        <v>#DIV/0!</v>
      </c>
      <c r="S289" s="2" t="e">
        <f t="shared" si="30"/>
        <v>#DIV/0!</v>
      </c>
    </row>
    <row r="290" spans="2:19" x14ac:dyDescent="0.25">
      <c r="B290" s="1">
        <f t="shared" si="31"/>
        <v>284</v>
      </c>
      <c r="O290" s="2">
        <f t="shared" si="26"/>
        <v>0</v>
      </c>
      <c r="P290" s="2" t="e">
        <f t="shared" si="27"/>
        <v>#DIV/0!</v>
      </c>
      <c r="Q290" s="2">
        <f t="shared" si="28"/>
        <v>0</v>
      </c>
      <c r="R290" s="2" t="e">
        <f t="shared" si="29"/>
        <v>#DIV/0!</v>
      </c>
      <c r="S290" s="2" t="e">
        <f t="shared" si="30"/>
        <v>#DIV/0!</v>
      </c>
    </row>
    <row r="291" spans="2:19" x14ac:dyDescent="0.25">
      <c r="B291" s="1">
        <f t="shared" si="31"/>
        <v>285</v>
      </c>
      <c r="O291" s="2">
        <f t="shared" si="26"/>
        <v>0</v>
      </c>
      <c r="P291" s="2" t="e">
        <f t="shared" si="27"/>
        <v>#DIV/0!</v>
      </c>
      <c r="Q291" s="2">
        <f t="shared" si="28"/>
        <v>0</v>
      </c>
      <c r="R291" s="2" t="e">
        <f t="shared" si="29"/>
        <v>#DIV/0!</v>
      </c>
      <c r="S291" s="2" t="e">
        <f t="shared" si="30"/>
        <v>#DIV/0!</v>
      </c>
    </row>
    <row r="292" spans="2:19" x14ac:dyDescent="0.25">
      <c r="B292" s="1">
        <f t="shared" si="31"/>
        <v>286</v>
      </c>
      <c r="O292" s="2">
        <f t="shared" si="26"/>
        <v>0</v>
      </c>
      <c r="P292" s="2" t="e">
        <f t="shared" si="27"/>
        <v>#DIV/0!</v>
      </c>
      <c r="Q292" s="2">
        <f t="shared" si="28"/>
        <v>0</v>
      </c>
      <c r="R292" s="2" t="e">
        <f t="shared" si="29"/>
        <v>#DIV/0!</v>
      </c>
      <c r="S292" s="2" t="e">
        <f t="shared" si="30"/>
        <v>#DIV/0!</v>
      </c>
    </row>
    <row r="293" spans="2:19" x14ac:dyDescent="0.25">
      <c r="B293" s="1">
        <f t="shared" si="31"/>
        <v>287</v>
      </c>
      <c r="O293" s="2">
        <f t="shared" si="26"/>
        <v>0</v>
      </c>
      <c r="P293" s="2" t="e">
        <f t="shared" si="27"/>
        <v>#DIV/0!</v>
      </c>
      <c r="Q293" s="2">
        <f t="shared" si="28"/>
        <v>0</v>
      </c>
      <c r="R293" s="2" t="e">
        <f t="shared" si="29"/>
        <v>#DIV/0!</v>
      </c>
      <c r="S293" s="2" t="e">
        <f t="shared" si="30"/>
        <v>#DIV/0!</v>
      </c>
    </row>
    <row r="294" spans="2:19" x14ac:dyDescent="0.25">
      <c r="B294" s="1">
        <f t="shared" si="31"/>
        <v>288</v>
      </c>
      <c r="O294" s="2">
        <f t="shared" si="26"/>
        <v>0</v>
      </c>
      <c r="P294" s="2" t="e">
        <f t="shared" si="27"/>
        <v>#DIV/0!</v>
      </c>
      <c r="Q294" s="2">
        <f t="shared" si="28"/>
        <v>0</v>
      </c>
      <c r="R294" s="2" t="e">
        <f t="shared" si="29"/>
        <v>#DIV/0!</v>
      </c>
      <c r="S294" s="2" t="e">
        <f t="shared" si="30"/>
        <v>#DIV/0!</v>
      </c>
    </row>
    <row r="295" spans="2:19" x14ac:dyDescent="0.25">
      <c r="B295" s="1">
        <f t="shared" si="31"/>
        <v>289</v>
      </c>
      <c r="O295" s="2">
        <f t="shared" si="26"/>
        <v>0</v>
      </c>
      <c r="P295" s="2" t="e">
        <f t="shared" si="27"/>
        <v>#DIV/0!</v>
      </c>
      <c r="Q295" s="2">
        <f t="shared" si="28"/>
        <v>0</v>
      </c>
      <c r="R295" s="2" t="e">
        <f t="shared" si="29"/>
        <v>#DIV/0!</v>
      </c>
      <c r="S295" s="2" t="e">
        <f t="shared" si="30"/>
        <v>#DIV/0!</v>
      </c>
    </row>
    <row r="296" spans="2:19" x14ac:dyDescent="0.25">
      <c r="B296" s="1">
        <f t="shared" si="31"/>
        <v>290</v>
      </c>
      <c r="O296" s="2">
        <f t="shared" si="26"/>
        <v>0</v>
      </c>
      <c r="P296" s="2" t="e">
        <f t="shared" si="27"/>
        <v>#DIV/0!</v>
      </c>
      <c r="Q296" s="2">
        <f t="shared" si="28"/>
        <v>0</v>
      </c>
      <c r="R296" s="2" t="e">
        <f t="shared" si="29"/>
        <v>#DIV/0!</v>
      </c>
      <c r="S296" s="2" t="e">
        <f t="shared" si="30"/>
        <v>#DIV/0!</v>
      </c>
    </row>
    <row r="297" spans="2:19" x14ac:dyDescent="0.25">
      <c r="B297" s="1">
        <f t="shared" si="31"/>
        <v>291</v>
      </c>
      <c r="O297" s="2">
        <f t="shared" si="26"/>
        <v>0</v>
      </c>
      <c r="P297" s="2" t="e">
        <f t="shared" si="27"/>
        <v>#DIV/0!</v>
      </c>
      <c r="Q297" s="2">
        <f t="shared" si="28"/>
        <v>0</v>
      </c>
      <c r="R297" s="2" t="e">
        <f t="shared" si="29"/>
        <v>#DIV/0!</v>
      </c>
      <c r="S297" s="2" t="e">
        <f t="shared" si="30"/>
        <v>#DIV/0!</v>
      </c>
    </row>
    <row r="298" spans="2:19" x14ac:dyDescent="0.25">
      <c r="B298" s="1">
        <f t="shared" si="31"/>
        <v>292</v>
      </c>
      <c r="O298" s="2">
        <f t="shared" si="26"/>
        <v>0</v>
      </c>
      <c r="P298" s="2" t="e">
        <f t="shared" si="27"/>
        <v>#DIV/0!</v>
      </c>
      <c r="Q298" s="2">
        <f t="shared" si="28"/>
        <v>0</v>
      </c>
      <c r="R298" s="2" t="e">
        <f t="shared" si="29"/>
        <v>#DIV/0!</v>
      </c>
      <c r="S298" s="2" t="e">
        <f t="shared" si="30"/>
        <v>#DIV/0!</v>
      </c>
    </row>
    <row r="299" spans="2:19" x14ac:dyDescent="0.25">
      <c r="B299" s="1">
        <f t="shared" si="31"/>
        <v>293</v>
      </c>
      <c r="O299" s="2">
        <f t="shared" si="26"/>
        <v>0</v>
      </c>
      <c r="P299" s="2" t="e">
        <f t="shared" si="27"/>
        <v>#DIV/0!</v>
      </c>
      <c r="Q299" s="2">
        <f t="shared" si="28"/>
        <v>0</v>
      </c>
      <c r="R299" s="2" t="e">
        <f t="shared" si="29"/>
        <v>#DIV/0!</v>
      </c>
      <c r="S299" s="2" t="e">
        <f t="shared" si="30"/>
        <v>#DIV/0!</v>
      </c>
    </row>
    <row r="300" spans="2:19" x14ac:dyDescent="0.25">
      <c r="B300" s="1">
        <f t="shared" si="31"/>
        <v>294</v>
      </c>
      <c r="O300" s="2">
        <f t="shared" si="26"/>
        <v>0</v>
      </c>
      <c r="P300" s="2" t="e">
        <f t="shared" si="27"/>
        <v>#DIV/0!</v>
      </c>
      <c r="Q300" s="2">
        <f t="shared" si="28"/>
        <v>0</v>
      </c>
      <c r="R300" s="2" t="e">
        <f t="shared" si="29"/>
        <v>#DIV/0!</v>
      </c>
      <c r="S300" s="2" t="e">
        <f t="shared" si="30"/>
        <v>#DIV/0!</v>
      </c>
    </row>
    <row r="301" spans="2:19" x14ac:dyDescent="0.25">
      <c r="B301" s="1">
        <f t="shared" si="31"/>
        <v>295</v>
      </c>
      <c r="O301" s="2">
        <f t="shared" si="26"/>
        <v>0</v>
      </c>
      <c r="P301" s="2" t="e">
        <f t="shared" si="27"/>
        <v>#DIV/0!</v>
      </c>
      <c r="Q301" s="2">
        <f t="shared" si="28"/>
        <v>0</v>
      </c>
      <c r="R301" s="2" t="e">
        <f t="shared" si="29"/>
        <v>#DIV/0!</v>
      </c>
      <c r="S301" s="2" t="e">
        <f t="shared" si="30"/>
        <v>#DIV/0!</v>
      </c>
    </row>
    <row r="302" spans="2:19" x14ac:dyDescent="0.25">
      <c r="B302" s="1">
        <f t="shared" si="31"/>
        <v>296</v>
      </c>
      <c r="O302" s="2">
        <f t="shared" si="26"/>
        <v>0</v>
      </c>
      <c r="P302" s="2" t="e">
        <f t="shared" si="27"/>
        <v>#DIV/0!</v>
      </c>
      <c r="Q302" s="2">
        <f t="shared" si="28"/>
        <v>0</v>
      </c>
      <c r="R302" s="2" t="e">
        <f t="shared" si="29"/>
        <v>#DIV/0!</v>
      </c>
      <c r="S302" s="2" t="e">
        <f t="shared" si="30"/>
        <v>#DIV/0!</v>
      </c>
    </row>
    <row r="303" spans="2:19" x14ac:dyDescent="0.25">
      <c r="B303" s="1">
        <f t="shared" si="31"/>
        <v>297</v>
      </c>
      <c r="O303" s="2">
        <f t="shared" si="26"/>
        <v>0</v>
      </c>
      <c r="P303" s="2" t="e">
        <f t="shared" si="27"/>
        <v>#DIV/0!</v>
      </c>
      <c r="Q303" s="2">
        <f t="shared" si="28"/>
        <v>0</v>
      </c>
      <c r="R303" s="2" t="e">
        <f t="shared" si="29"/>
        <v>#DIV/0!</v>
      </c>
      <c r="S303" s="2" t="e">
        <f t="shared" si="30"/>
        <v>#DIV/0!</v>
      </c>
    </row>
    <row r="304" spans="2:19" x14ac:dyDescent="0.25">
      <c r="B304" s="1">
        <f t="shared" si="31"/>
        <v>298</v>
      </c>
      <c r="O304" s="2">
        <f t="shared" si="26"/>
        <v>0</v>
      </c>
      <c r="P304" s="2" t="e">
        <f t="shared" si="27"/>
        <v>#DIV/0!</v>
      </c>
      <c r="Q304" s="2">
        <f t="shared" si="28"/>
        <v>0</v>
      </c>
      <c r="R304" s="2" t="e">
        <f t="shared" si="29"/>
        <v>#DIV/0!</v>
      </c>
      <c r="S304" s="2" t="e">
        <f t="shared" si="30"/>
        <v>#DIV/0!</v>
      </c>
    </row>
    <row r="305" spans="2:19" x14ac:dyDescent="0.25">
      <c r="B305" s="1">
        <f t="shared" si="31"/>
        <v>299</v>
      </c>
      <c r="O305" s="2">
        <f t="shared" si="26"/>
        <v>0</v>
      </c>
      <c r="P305" s="2" t="e">
        <f t="shared" si="27"/>
        <v>#DIV/0!</v>
      </c>
      <c r="Q305" s="2">
        <f t="shared" si="28"/>
        <v>0</v>
      </c>
      <c r="R305" s="2" t="e">
        <f t="shared" si="29"/>
        <v>#DIV/0!</v>
      </c>
      <c r="S305" s="2" t="e">
        <f t="shared" si="30"/>
        <v>#DIV/0!</v>
      </c>
    </row>
    <row r="306" spans="2:19" x14ac:dyDescent="0.25">
      <c r="B306" s="1">
        <f t="shared" si="31"/>
        <v>300</v>
      </c>
      <c r="O306" s="2">
        <f t="shared" si="26"/>
        <v>0</v>
      </c>
      <c r="P306" s="2" t="e">
        <f t="shared" si="27"/>
        <v>#DIV/0!</v>
      </c>
      <c r="Q306" s="2">
        <f t="shared" si="28"/>
        <v>0</v>
      </c>
      <c r="R306" s="2" t="e">
        <f t="shared" si="29"/>
        <v>#DIV/0!</v>
      </c>
      <c r="S306" s="2" t="e">
        <f t="shared" si="30"/>
        <v>#DIV/0!</v>
      </c>
    </row>
    <row r="307" spans="2:19" x14ac:dyDescent="0.25">
      <c r="B307" s="1">
        <f t="shared" si="31"/>
        <v>301</v>
      </c>
      <c r="O307" s="2">
        <f t="shared" si="26"/>
        <v>0</v>
      </c>
      <c r="P307" s="2" t="e">
        <f t="shared" si="27"/>
        <v>#DIV/0!</v>
      </c>
      <c r="Q307" s="2">
        <f t="shared" si="28"/>
        <v>0</v>
      </c>
      <c r="R307" s="2" t="e">
        <f t="shared" si="29"/>
        <v>#DIV/0!</v>
      </c>
      <c r="S307" s="2" t="e">
        <f t="shared" si="30"/>
        <v>#DIV/0!</v>
      </c>
    </row>
    <row r="308" spans="2:19" x14ac:dyDescent="0.25">
      <c r="B308" s="1">
        <f t="shared" si="31"/>
        <v>302</v>
      </c>
      <c r="O308" s="2">
        <f t="shared" si="26"/>
        <v>0</v>
      </c>
      <c r="P308" s="2" t="e">
        <f t="shared" si="27"/>
        <v>#DIV/0!</v>
      </c>
      <c r="Q308" s="2">
        <f t="shared" si="28"/>
        <v>0</v>
      </c>
      <c r="R308" s="2" t="e">
        <f t="shared" si="29"/>
        <v>#DIV/0!</v>
      </c>
      <c r="S308" s="2" t="e">
        <f t="shared" si="30"/>
        <v>#DIV/0!</v>
      </c>
    </row>
    <row r="309" spans="2:19" x14ac:dyDescent="0.25">
      <c r="B309" s="1">
        <f t="shared" si="31"/>
        <v>303</v>
      </c>
      <c r="O309" s="2">
        <f t="shared" si="26"/>
        <v>0</v>
      </c>
      <c r="P309" s="2" t="e">
        <f t="shared" si="27"/>
        <v>#DIV/0!</v>
      </c>
      <c r="Q309" s="2">
        <f t="shared" si="28"/>
        <v>0</v>
      </c>
      <c r="R309" s="2" t="e">
        <f t="shared" si="29"/>
        <v>#DIV/0!</v>
      </c>
      <c r="S309" s="2" t="e">
        <f t="shared" si="30"/>
        <v>#DIV/0!</v>
      </c>
    </row>
    <row r="310" spans="2:19" x14ac:dyDescent="0.25">
      <c r="B310" s="1">
        <f t="shared" si="31"/>
        <v>304</v>
      </c>
      <c r="O310" s="2">
        <f t="shared" si="26"/>
        <v>0</v>
      </c>
      <c r="P310" s="2" t="e">
        <f t="shared" si="27"/>
        <v>#DIV/0!</v>
      </c>
      <c r="Q310" s="2">
        <f t="shared" si="28"/>
        <v>0</v>
      </c>
      <c r="R310" s="2" t="e">
        <f t="shared" si="29"/>
        <v>#DIV/0!</v>
      </c>
      <c r="S310" s="2" t="e">
        <f t="shared" si="30"/>
        <v>#DIV/0!</v>
      </c>
    </row>
    <row r="311" spans="2:19" x14ac:dyDescent="0.25">
      <c r="B311" s="1">
        <f t="shared" si="31"/>
        <v>305</v>
      </c>
      <c r="O311" s="2">
        <f t="shared" si="26"/>
        <v>0</v>
      </c>
      <c r="P311" s="2" t="e">
        <f t="shared" si="27"/>
        <v>#DIV/0!</v>
      </c>
      <c r="Q311" s="2">
        <f t="shared" si="28"/>
        <v>0</v>
      </c>
      <c r="R311" s="2" t="e">
        <f t="shared" si="29"/>
        <v>#DIV/0!</v>
      </c>
      <c r="S311" s="2" t="e">
        <f t="shared" si="30"/>
        <v>#DIV/0!</v>
      </c>
    </row>
    <row r="312" spans="2:19" x14ac:dyDescent="0.25">
      <c r="B312" s="1">
        <f t="shared" si="31"/>
        <v>306</v>
      </c>
      <c r="O312" s="2">
        <f t="shared" si="26"/>
        <v>0</v>
      </c>
      <c r="P312" s="2" t="e">
        <f t="shared" si="27"/>
        <v>#DIV/0!</v>
      </c>
      <c r="Q312" s="2">
        <f t="shared" si="28"/>
        <v>0</v>
      </c>
      <c r="R312" s="2" t="e">
        <f t="shared" si="29"/>
        <v>#DIV/0!</v>
      </c>
      <c r="S312" s="2" t="e">
        <f t="shared" si="30"/>
        <v>#DIV/0!</v>
      </c>
    </row>
    <row r="313" spans="2:19" x14ac:dyDescent="0.25">
      <c r="B313" s="1">
        <f t="shared" si="31"/>
        <v>307</v>
      </c>
      <c r="O313" s="2">
        <f t="shared" si="26"/>
        <v>0</v>
      </c>
      <c r="P313" s="2" t="e">
        <f t="shared" si="27"/>
        <v>#DIV/0!</v>
      </c>
      <c r="Q313" s="2">
        <f t="shared" si="28"/>
        <v>0</v>
      </c>
      <c r="R313" s="2" t="e">
        <f t="shared" si="29"/>
        <v>#DIV/0!</v>
      </c>
      <c r="S313" s="2" t="e">
        <f t="shared" si="30"/>
        <v>#DIV/0!</v>
      </c>
    </row>
    <row r="314" spans="2:19" x14ac:dyDescent="0.25">
      <c r="B314" s="1">
        <f t="shared" si="31"/>
        <v>308</v>
      </c>
      <c r="O314" s="2">
        <f t="shared" si="26"/>
        <v>0</v>
      </c>
      <c r="P314" s="2" t="e">
        <f t="shared" si="27"/>
        <v>#DIV/0!</v>
      </c>
      <c r="Q314" s="2">
        <f t="shared" si="28"/>
        <v>0</v>
      </c>
      <c r="R314" s="2" t="e">
        <f t="shared" si="29"/>
        <v>#DIV/0!</v>
      </c>
      <c r="S314" s="2" t="e">
        <f t="shared" si="30"/>
        <v>#DIV/0!</v>
      </c>
    </row>
    <row r="315" spans="2:19" x14ac:dyDescent="0.25">
      <c r="B315" s="1">
        <f t="shared" si="31"/>
        <v>309</v>
      </c>
      <c r="O315" s="2">
        <f t="shared" si="26"/>
        <v>0</v>
      </c>
      <c r="P315" s="2" t="e">
        <f t="shared" si="27"/>
        <v>#DIV/0!</v>
      </c>
      <c r="Q315" s="2">
        <f t="shared" si="28"/>
        <v>0</v>
      </c>
      <c r="R315" s="2" t="e">
        <f t="shared" si="29"/>
        <v>#DIV/0!</v>
      </c>
      <c r="S315" s="2" t="e">
        <f t="shared" si="30"/>
        <v>#DIV/0!</v>
      </c>
    </row>
    <row r="316" spans="2:19" x14ac:dyDescent="0.25">
      <c r="B316" s="1">
        <f t="shared" si="31"/>
        <v>310</v>
      </c>
      <c r="O316" s="2">
        <f t="shared" si="26"/>
        <v>0</v>
      </c>
      <c r="P316" s="2" t="e">
        <f t="shared" si="27"/>
        <v>#DIV/0!</v>
      </c>
      <c r="Q316" s="2">
        <f t="shared" si="28"/>
        <v>0</v>
      </c>
      <c r="R316" s="2" t="e">
        <f t="shared" si="29"/>
        <v>#DIV/0!</v>
      </c>
      <c r="S316" s="2" t="e">
        <f t="shared" si="30"/>
        <v>#DIV/0!</v>
      </c>
    </row>
    <row r="317" spans="2:19" x14ac:dyDescent="0.25">
      <c r="B317" s="1">
        <f t="shared" si="31"/>
        <v>311</v>
      </c>
      <c r="O317" s="2">
        <f t="shared" si="26"/>
        <v>0</v>
      </c>
      <c r="P317" s="2" t="e">
        <f t="shared" si="27"/>
        <v>#DIV/0!</v>
      </c>
      <c r="Q317" s="2">
        <f t="shared" si="28"/>
        <v>0</v>
      </c>
      <c r="R317" s="2" t="e">
        <f t="shared" si="29"/>
        <v>#DIV/0!</v>
      </c>
      <c r="S317" s="2" t="e">
        <f t="shared" si="30"/>
        <v>#DIV/0!</v>
      </c>
    </row>
    <row r="318" spans="2:19" x14ac:dyDescent="0.25">
      <c r="B318" s="1">
        <f t="shared" si="31"/>
        <v>312</v>
      </c>
      <c r="O318" s="2">
        <f t="shared" si="26"/>
        <v>0</v>
      </c>
      <c r="P318" s="2" t="e">
        <f t="shared" si="27"/>
        <v>#DIV/0!</v>
      </c>
      <c r="Q318" s="2">
        <f t="shared" si="28"/>
        <v>0</v>
      </c>
      <c r="R318" s="2" t="e">
        <f t="shared" si="29"/>
        <v>#DIV/0!</v>
      </c>
      <c r="S318" s="2" t="e">
        <f t="shared" si="30"/>
        <v>#DIV/0!</v>
      </c>
    </row>
    <row r="319" spans="2:19" x14ac:dyDescent="0.25">
      <c r="B319" s="1">
        <f t="shared" si="31"/>
        <v>313</v>
      </c>
      <c r="O319" s="2">
        <f t="shared" si="26"/>
        <v>0</v>
      </c>
      <c r="P319" s="2" t="e">
        <f t="shared" si="27"/>
        <v>#DIV/0!</v>
      </c>
      <c r="Q319" s="2">
        <f t="shared" si="28"/>
        <v>0</v>
      </c>
      <c r="R319" s="2" t="e">
        <f t="shared" si="29"/>
        <v>#DIV/0!</v>
      </c>
      <c r="S319" s="2" t="e">
        <f t="shared" si="30"/>
        <v>#DIV/0!</v>
      </c>
    </row>
    <row r="320" spans="2:19" x14ac:dyDescent="0.25">
      <c r="B320" s="1">
        <f t="shared" si="31"/>
        <v>314</v>
      </c>
      <c r="O320" s="2">
        <f t="shared" si="26"/>
        <v>0</v>
      </c>
      <c r="P320" s="2" t="e">
        <f t="shared" si="27"/>
        <v>#DIV/0!</v>
      </c>
      <c r="Q320" s="2">
        <f t="shared" si="28"/>
        <v>0</v>
      </c>
      <c r="R320" s="2" t="e">
        <f t="shared" si="29"/>
        <v>#DIV/0!</v>
      </c>
      <c r="S320" s="2" t="e">
        <f t="shared" si="30"/>
        <v>#DIV/0!</v>
      </c>
    </row>
    <row r="321" spans="2:19" x14ac:dyDescent="0.25">
      <c r="B321" s="1">
        <f t="shared" si="31"/>
        <v>315</v>
      </c>
      <c r="O321" s="2">
        <f t="shared" si="26"/>
        <v>0</v>
      </c>
      <c r="P321" s="2" t="e">
        <f t="shared" si="27"/>
        <v>#DIV/0!</v>
      </c>
      <c r="Q321" s="2">
        <f t="shared" si="28"/>
        <v>0</v>
      </c>
      <c r="R321" s="2" t="e">
        <f t="shared" si="29"/>
        <v>#DIV/0!</v>
      </c>
      <c r="S321" s="2" t="e">
        <f t="shared" si="30"/>
        <v>#DIV/0!</v>
      </c>
    </row>
    <row r="322" spans="2:19" x14ac:dyDescent="0.25">
      <c r="B322" s="1">
        <f t="shared" si="31"/>
        <v>316</v>
      </c>
      <c r="O322" s="2">
        <f t="shared" si="26"/>
        <v>0</v>
      </c>
      <c r="P322" s="2" t="e">
        <f t="shared" si="27"/>
        <v>#DIV/0!</v>
      </c>
      <c r="Q322" s="2">
        <f t="shared" si="28"/>
        <v>0</v>
      </c>
      <c r="R322" s="2" t="e">
        <f t="shared" si="29"/>
        <v>#DIV/0!</v>
      </c>
      <c r="S322" s="2" t="e">
        <f t="shared" si="30"/>
        <v>#DIV/0!</v>
      </c>
    </row>
    <row r="323" spans="2:19" x14ac:dyDescent="0.25">
      <c r="B323" s="1">
        <f t="shared" si="31"/>
        <v>317</v>
      </c>
      <c r="O323" s="2">
        <f t="shared" si="26"/>
        <v>0</v>
      </c>
      <c r="P323" s="2" t="e">
        <f t="shared" si="27"/>
        <v>#DIV/0!</v>
      </c>
      <c r="Q323" s="2">
        <f t="shared" si="28"/>
        <v>0</v>
      </c>
      <c r="R323" s="2" t="e">
        <f t="shared" si="29"/>
        <v>#DIV/0!</v>
      </c>
      <c r="S323" s="2" t="e">
        <f t="shared" si="30"/>
        <v>#DIV/0!</v>
      </c>
    </row>
    <row r="324" spans="2:19" x14ac:dyDescent="0.25">
      <c r="B324" s="1">
        <f t="shared" si="31"/>
        <v>318</v>
      </c>
      <c r="O324" s="2">
        <f t="shared" si="26"/>
        <v>0</v>
      </c>
      <c r="P324" s="2" t="e">
        <f t="shared" si="27"/>
        <v>#DIV/0!</v>
      </c>
      <c r="Q324" s="2">
        <f t="shared" si="28"/>
        <v>0</v>
      </c>
      <c r="R324" s="2" t="e">
        <f t="shared" si="29"/>
        <v>#DIV/0!</v>
      </c>
      <c r="S324" s="2" t="e">
        <f t="shared" si="30"/>
        <v>#DIV/0!</v>
      </c>
    </row>
    <row r="325" spans="2:19" x14ac:dyDescent="0.25">
      <c r="B325" s="1">
        <f t="shared" si="31"/>
        <v>319</v>
      </c>
      <c r="O325" s="2">
        <f t="shared" si="26"/>
        <v>0</v>
      </c>
      <c r="P325" s="2" t="e">
        <f t="shared" si="27"/>
        <v>#DIV/0!</v>
      </c>
      <c r="Q325" s="2">
        <f t="shared" si="28"/>
        <v>0</v>
      </c>
      <c r="R325" s="2" t="e">
        <f t="shared" si="29"/>
        <v>#DIV/0!</v>
      </c>
      <c r="S325" s="2" t="e">
        <f t="shared" si="30"/>
        <v>#DIV/0!</v>
      </c>
    </row>
    <row r="326" spans="2:19" x14ac:dyDescent="0.25">
      <c r="B326" s="1">
        <f t="shared" si="31"/>
        <v>320</v>
      </c>
      <c r="O326" s="2">
        <f t="shared" si="26"/>
        <v>0</v>
      </c>
      <c r="P326" s="2" t="e">
        <f t="shared" si="27"/>
        <v>#DIV/0!</v>
      </c>
      <c r="Q326" s="2">
        <f t="shared" si="28"/>
        <v>0</v>
      </c>
      <c r="R326" s="2" t="e">
        <f t="shared" si="29"/>
        <v>#DIV/0!</v>
      </c>
      <c r="S326" s="2" t="e">
        <f t="shared" si="30"/>
        <v>#DIV/0!</v>
      </c>
    </row>
    <row r="327" spans="2:19" x14ac:dyDescent="0.25">
      <c r="B327" s="1">
        <f t="shared" si="31"/>
        <v>321</v>
      </c>
      <c r="O327" s="2">
        <f t="shared" si="26"/>
        <v>0</v>
      </c>
      <c r="P327" s="2" t="e">
        <f t="shared" si="27"/>
        <v>#DIV/0!</v>
      </c>
      <c r="Q327" s="2">
        <f t="shared" si="28"/>
        <v>0</v>
      </c>
      <c r="R327" s="2" t="e">
        <f t="shared" si="29"/>
        <v>#DIV/0!</v>
      </c>
      <c r="S327" s="2" t="e">
        <f t="shared" si="30"/>
        <v>#DIV/0!</v>
      </c>
    </row>
    <row r="328" spans="2:19" x14ac:dyDescent="0.25">
      <c r="B328" s="1">
        <f t="shared" si="31"/>
        <v>322</v>
      </c>
      <c r="O328" s="2">
        <f t="shared" ref="O328:O391" si="32">M328-$X$23</f>
        <v>0</v>
      </c>
      <c r="P328" s="2" t="e">
        <f t="shared" ref="P328:P391" si="33">O328*$AC$21+$Y$23</f>
        <v>#DIV/0!</v>
      </c>
      <c r="Q328" s="2">
        <f t="shared" ref="Q328:Q391" si="34">((D328+D329)/2)*(M329-M328)</f>
        <v>0</v>
      </c>
      <c r="R328" s="2" t="e">
        <f t="shared" ref="R328:R391" si="35">((P328+P329)/2)*(O329-O328)</f>
        <v>#DIV/0!</v>
      </c>
      <c r="S328" s="2" t="e">
        <f t="shared" ref="S328:S391" si="36">Q328-R328</f>
        <v>#DIV/0!</v>
      </c>
    </row>
    <row r="329" spans="2:19" x14ac:dyDescent="0.25">
      <c r="B329" s="1">
        <f t="shared" ref="B329:B392" si="37">B328+1</f>
        <v>323</v>
      </c>
      <c r="O329" s="2">
        <f t="shared" si="32"/>
        <v>0</v>
      </c>
      <c r="P329" s="2" t="e">
        <f t="shared" si="33"/>
        <v>#DIV/0!</v>
      </c>
      <c r="Q329" s="2">
        <f t="shared" si="34"/>
        <v>0</v>
      </c>
      <c r="R329" s="2" t="e">
        <f t="shared" si="35"/>
        <v>#DIV/0!</v>
      </c>
      <c r="S329" s="2" t="e">
        <f t="shared" si="36"/>
        <v>#DIV/0!</v>
      </c>
    </row>
    <row r="330" spans="2:19" x14ac:dyDescent="0.25">
      <c r="B330" s="1">
        <f t="shared" si="37"/>
        <v>324</v>
      </c>
      <c r="O330" s="2">
        <f t="shared" si="32"/>
        <v>0</v>
      </c>
      <c r="P330" s="2" t="e">
        <f t="shared" si="33"/>
        <v>#DIV/0!</v>
      </c>
      <c r="Q330" s="2">
        <f t="shared" si="34"/>
        <v>0</v>
      </c>
      <c r="R330" s="2" t="e">
        <f t="shared" si="35"/>
        <v>#DIV/0!</v>
      </c>
      <c r="S330" s="2" t="e">
        <f t="shared" si="36"/>
        <v>#DIV/0!</v>
      </c>
    </row>
    <row r="331" spans="2:19" x14ac:dyDescent="0.25">
      <c r="B331" s="1">
        <f t="shared" si="37"/>
        <v>325</v>
      </c>
      <c r="O331" s="2">
        <f t="shared" si="32"/>
        <v>0</v>
      </c>
      <c r="P331" s="2" t="e">
        <f t="shared" si="33"/>
        <v>#DIV/0!</v>
      </c>
      <c r="Q331" s="2">
        <f t="shared" si="34"/>
        <v>0</v>
      </c>
      <c r="R331" s="2" t="e">
        <f t="shared" si="35"/>
        <v>#DIV/0!</v>
      </c>
      <c r="S331" s="2" t="e">
        <f t="shared" si="36"/>
        <v>#DIV/0!</v>
      </c>
    </row>
    <row r="332" spans="2:19" x14ac:dyDescent="0.25">
      <c r="B332" s="1">
        <f t="shared" si="37"/>
        <v>326</v>
      </c>
      <c r="O332" s="2">
        <f t="shared" si="32"/>
        <v>0</v>
      </c>
      <c r="P332" s="2" t="e">
        <f t="shared" si="33"/>
        <v>#DIV/0!</v>
      </c>
      <c r="Q332" s="2">
        <f t="shared" si="34"/>
        <v>0</v>
      </c>
      <c r="R332" s="2" t="e">
        <f t="shared" si="35"/>
        <v>#DIV/0!</v>
      </c>
      <c r="S332" s="2" t="e">
        <f t="shared" si="36"/>
        <v>#DIV/0!</v>
      </c>
    </row>
    <row r="333" spans="2:19" x14ac:dyDescent="0.25">
      <c r="B333" s="1">
        <f t="shared" si="37"/>
        <v>327</v>
      </c>
      <c r="O333" s="2">
        <f t="shared" si="32"/>
        <v>0</v>
      </c>
      <c r="P333" s="2" t="e">
        <f t="shared" si="33"/>
        <v>#DIV/0!</v>
      </c>
      <c r="Q333" s="2">
        <f t="shared" si="34"/>
        <v>0</v>
      </c>
      <c r="R333" s="2" t="e">
        <f t="shared" si="35"/>
        <v>#DIV/0!</v>
      </c>
      <c r="S333" s="2" t="e">
        <f t="shared" si="36"/>
        <v>#DIV/0!</v>
      </c>
    </row>
    <row r="334" spans="2:19" x14ac:dyDescent="0.25">
      <c r="B334" s="1">
        <f t="shared" si="37"/>
        <v>328</v>
      </c>
      <c r="O334" s="2">
        <f t="shared" si="32"/>
        <v>0</v>
      </c>
      <c r="P334" s="2" t="e">
        <f t="shared" si="33"/>
        <v>#DIV/0!</v>
      </c>
      <c r="Q334" s="2">
        <f t="shared" si="34"/>
        <v>0</v>
      </c>
      <c r="R334" s="2" t="e">
        <f t="shared" si="35"/>
        <v>#DIV/0!</v>
      </c>
      <c r="S334" s="2" t="e">
        <f t="shared" si="36"/>
        <v>#DIV/0!</v>
      </c>
    </row>
    <row r="335" spans="2:19" x14ac:dyDescent="0.25">
      <c r="B335" s="1">
        <f t="shared" si="37"/>
        <v>329</v>
      </c>
      <c r="O335" s="2">
        <f t="shared" si="32"/>
        <v>0</v>
      </c>
      <c r="P335" s="2" t="e">
        <f t="shared" si="33"/>
        <v>#DIV/0!</v>
      </c>
      <c r="Q335" s="2">
        <f t="shared" si="34"/>
        <v>0</v>
      </c>
      <c r="R335" s="2" t="e">
        <f t="shared" si="35"/>
        <v>#DIV/0!</v>
      </c>
      <c r="S335" s="2" t="e">
        <f t="shared" si="36"/>
        <v>#DIV/0!</v>
      </c>
    </row>
    <row r="336" spans="2:19" x14ac:dyDescent="0.25">
      <c r="B336" s="1">
        <f t="shared" si="37"/>
        <v>330</v>
      </c>
      <c r="O336" s="2">
        <f t="shared" si="32"/>
        <v>0</v>
      </c>
      <c r="P336" s="2" t="e">
        <f t="shared" si="33"/>
        <v>#DIV/0!</v>
      </c>
      <c r="Q336" s="2">
        <f t="shared" si="34"/>
        <v>0</v>
      </c>
      <c r="R336" s="2" t="e">
        <f t="shared" si="35"/>
        <v>#DIV/0!</v>
      </c>
      <c r="S336" s="2" t="e">
        <f t="shared" si="36"/>
        <v>#DIV/0!</v>
      </c>
    </row>
    <row r="337" spans="2:19" x14ac:dyDescent="0.25">
      <c r="B337" s="1">
        <f t="shared" si="37"/>
        <v>331</v>
      </c>
      <c r="O337" s="2">
        <f t="shared" si="32"/>
        <v>0</v>
      </c>
      <c r="P337" s="2" t="e">
        <f t="shared" si="33"/>
        <v>#DIV/0!</v>
      </c>
      <c r="Q337" s="2">
        <f t="shared" si="34"/>
        <v>0</v>
      </c>
      <c r="R337" s="2" t="e">
        <f t="shared" si="35"/>
        <v>#DIV/0!</v>
      </c>
      <c r="S337" s="2" t="e">
        <f t="shared" si="36"/>
        <v>#DIV/0!</v>
      </c>
    </row>
    <row r="338" spans="2:19" x14ac:dyDescent="0.25">
      <c r="B338" s="1">
        <f t="shared" si="37"/>
        <v>332</v>
      </c>
      <c r="O338" s="2">
        <f t="shared" si="32"/>
        <v>0</v>
      </c>
      <c r="P338" s="2" t="e">
        <f t="shared" si="33"/>
        <v>#DIV/0!</v>
      </c>
      <c r="Q338" s="2">
        <f t="shared" si="34"/>
        <v>0</v>
      </c>
      <c r="R338" s="2" t="e">
        <f t="shared" si="35"/>
        <v>#DIV/0!</v>
      </c>
      <c r="S338" s="2" t="e">
        <f t="shared" si="36"/>
        <v>#DIV/0!</v>
      </c>
    </row>
    <row r="339" spans="2:19" x14ac:dyDescent="0.25">
      <c r="B339" s="1">
        <f t="shared" si="37"/>
        <v>333</v>
      </c>
      <c r="O339" s="2">
        <f t="shared" si="32"/>
        <v>0</v>
      </c>
      <c r="P339" s="2" t="e">
        <f t="shared" si="33"/>
        <v>#DIV/0!</v>
      </c>
      <c r="Q339" s="2">
        <f t="shared" si="34"/>
        <v>0</v>
      </c>
      <c r="R339" s="2" t="e">
        <f t="shared" si="35"/>
        <v>#DIV/0!</v>
      </c>
      <c r="S339" s="2" t="e">
        <f t="shared" si="36"/>
        <v>#DIV/0!</v>
      </c>
    </row>
    <row r="340" spans="2:19" x14ac:dyDescent="0.25">
      <c r="B340" s="1">
        <f t="shared" si="37"/>
        <v>334</v>
      </c>
      <c r="O340" s="2">
        <f t="shared" si="32"/>
        <v>0</v>
      </c>
      <c r="P340" s="2" t="e">
        <f t="shared" si="33"/>
        <v>#DIV/0!</v>
      </c>
      <c r="Q340" s="2">
        <f t="shared" si="34"/>
        <v>0</v>
      </c>
      <c r="R340" s="2" t="e">
        <f t="shared" si="35"/>
        <v>#DIV/0!</v>
      </c>
      <c r="S340" s="2" t="e">
        <f t="shared" si="36"/>
        <v>#DIV/0!</v>
      </c>
    </row>
    <row r="341" spans="2:19" x14ac:dyDescent="0.25">
      <c r="B341" s="1">
        <f t="shared" si="37"/>
        <v>335</v>
      </c>
      <c r="O341" s="2">
        <f t="shared" si="32"/>
        <v>0</v>
      </c>
      <c r="P341" s="2" t="e">
        <f t="shared" si="33"/>
        <v>#DIV/0!</v>
      </c>
      <c r="Q341" s="2">
        <f t="shared" si="34"/>
        <v>0</v>
      </c>
      <c r="R341" s="2" t="e">
        <f t="shared" si="35"/>
        <v>#DIV/0!</v>
      </c>
      <c r="S341" s="2" t="e">
        <f t="shared" si="36"/>
        <v>#DIV/0!</v>
      </c>
    </row>
    <row r="342" spans="2:19" x14ac:dyDescent="0.25">
      <c r="B342" s="1">
        <f t="shared" si="37"/>
        <v>336</v>
      </c>
      <c r="O342" s="2">
        <f t="shared" si="32"/>
        <v>0</v>
      </c>
      <c r="P342" s="2" t="e">
        <f t="shared" si="33"/>
        <v>#DIV/0!</v>
      </c>
      <c r="Q342" s="2">
        <f t="shared" si="34"/>
        <v>0</v>
      </c>
      <c r="R342" s="2" t="e">
        <f t="shared" si="35"/>
        <v>#DIV/0!</v>
      </c>
      <c r="S342" s="2" t="e">
        <f t="shared" si="36"/>
        <v>#DIV/0!</v>
      </c>
    </row>
    <row r="343" spans="2:19" x14ac:dyDescent="0.25">
      <c r="B343" s="1">
        <f t="shared" si="37"/>
        <v>337</v>
      </c>
      <c r="O343" s="2">
        <f t="shared" si="32"/>
        <v>0</v>
      </c>
      <c r="P343" s="2" t="e">
        <f t="shared" si="33"/>
        <v>#DIV/0!</v>
      </c>
      <c r="Q343" s="2">
        <f t="shared" si="34"/>
        <v>0</v>
      </c>
      <c r="R343" s="2" t="e">
        <f t="shared" si="35"/>
        <v>#DIV/0!</v>
      </c>
      <c r="S343" s="2" t="e">
        <f t="shared" si="36"/>
        <v>#DIV/0!</v>
      </c>
    </row>
    <row r="344" spans="2:19" x14ac:dyDescent="0.25">
      <c r="B344" s="1">
        <f t="shared" si="37"/>
        <v>338</v>
      </c>
      <c r="O344" s="2">
        <f t="shared" si="32"/>
        <v>0</v>
      </c>
      <c r="P344" s="2" t="e">
        <f t="shared" si="33"/>
        <v>#DIV/0!</v>
      </c>
      <c r="Q344" s="2">
        <f t="shared" si="34"/>
        <v>0</v>
      </c>
      <c r="R344" s="2" t="e">
        <f t="shared" si="35"/>
        <v>#DIV/0!</v>
      </c>
      <c r="S344" s="2" t="e">
        <f t="shared" si="36"/>
        <v>#DIV/0!</v>
      </c>
    </row>
    <row r="345" spans="2:19" x14ac:dyDescent="0.25">
      <c r="B345" s="1">
        <f t="shared" si="37"/>
        <v>339</v>
      </c>
      <c r="O345" s="2">
        <f t="shared" si="32"/>
        <v>0</v>
      </c>
      <c r="P345" s="2" t="e">
        <f t="shared" si="33"/>
        <v>#DIV/0!</v>
      </c>
      <c r="Q345" s="2">
        <f t="shared" si="34"/>
        <v>0</v>
      </c>
      <c r="R345" s="2" t="e">
        <f t="shared" si="35"/>
        <v>#DIV/0!</v>
      </c>
      <c r="S345" s="2" t="e">
        <f t="shared" si="36"/>
        <v>#DIV/0!</v>
      </c>
    </row>
    <row r="346" spans="2:19" x14ac:dyDescent="0.25">
      <c r="B346" s="1">
        <f t="shared" si="37"/>
        <v>340</v>
      </c>
      <c r="O346" s="2">
        <f t="shared" si="32"/>
        <v>0</v>
      </c>
      <c r="P346" s="2" t="e">
        <f t="shared" si="33"/>
        <v>#DIV/0!</v>
      </c>
      <c r="Q346" s="2">
        <f t="shared" si="34"/>
        <v>0</v>
      </c>
      <c r="R346" s="2" t="e">
        <f t="shared" si="35"/>
        <v>#DIV/0!</v>
      </c>
      <c r="S346" s="2" t="e">
        <f t="shared" si="36"/>
        <v>#DIV/0!</v>
      </c>
    </row>
    <row r="347" spans="2:19" x14ac:dyDescent="0.25">
      <c r="B347" s="1">
        <f t="shared" si="37"/>
        <v>341</v>
      </c>
      <c r="O347" s="2">
        <f t="shared" si="32"/>
        <v>0</v>
      </c>
      <c r="P347" s="2" t="e">
        <f t="shared" si="33"/>
        <v>#DIV/0!</v>
      </c>
      <c r="Q347" s="2">
        <f t="shared" si="34"/>
        <v>0</v>
      </c>
      <c r="R347" s="2" t="e">
        <f t="shared" si="35"/>
        <v>#DIV/0!</v>
      </c>
      <c r="S347" s="2" t="e">
        <f t="shared" si="36"/>
        <v>#DIV/0!</v>
      </c>
    </row>
    <row r="348" spans="2:19" x14ac:dyDescent="0.25">
      <c r="B348" s="1">
        <f t="shared" si="37"/>
        <v>342</v>
      </c>
      <c r="O348" s="2">
        <f t="shared" si="32"/>
        <v>0</v>
      </c>
      <c r="P348" s="2" t="e">
        <f t="shared" si="33"/>
        <v>#DIV/0!</v>
      </c>
      <c r="Q348" s="2">
        <f t="shared" si="34"/>
        <v>0</v>
      </c>
      <c r="R348" s="2" t="e">
        <f t="shared" si="35"/>
        <v>#DIV/0!</v>
      </c>
      <c r="S348" s="2" t="e">
        <f t="shared" si="36"/>
        <v>#DIV/0!</v>
      </c>
    </row>
    <row r="349" spans="2:19" x14ac:dyDescent="0.25">
      <c r="B349" s="1">
        <f t="shared" si="37"/>
        <v>343</v>
      </c>
      <c r="O349" s="2">
        <f t="shared" si="32"/>
        <v>0</v>
      </c>
      <c r="P349" s="2" t="e">
        <f t="shared" si="33"/>
        <v>#DIV/0!</v>
      </c>
      <c r="Q349" s="2">
        <f t="shared" si="34"/>
        <v>0</v>
      </c>
      <c r="R349" s="2" t="e">
        <f t="shared" si="35"/>
        <v>#DIV/0!</v>
      </c>
      <c r="S349" s="2" t="e">
        <f t="shared" si="36"/>
        <v>#DIV/0!</v>
      </c>
    </row>
    <row r="350" spans="2:19" x14ac:dyDescent="0.25">
      <c r="B350" s="1">
        <f t="shared" si="37"/>
        <v>344</v>
      </c>
      <c r="O350" s="2">
        <f t="shared" si="32"/>
        <v>0</v>
      </c>
      <c r="P350" s="2" t="e">
        <f t="shared" si="33"/>
        <v>#DIV/0!</v>
      </c>
      <c r="Q350" s="2">
        <f t="shared" si="34"/>
        <v>0</v>
      </c>
      <c r="R350" s="2" t="e">
        <f t="shared" si="35"/>
        <v>#DIV/0!</v>
      </c>
      <c r="S350" s="2" t="e">
        <f t="shared" si="36"/>
        <v>#DIV/0!</v>
      </c>
    </row>
    <row r="351" spans="2:19" x14ac:dyDescent="0.25">
      <c r="B351" s="1">
        <f t="shared" si="37"/>
        <v>345</v>
      </c>
      <c r="O351" s="2">
        <f t="shared" si="32"/>
        <v>0</v>
      </c>
      <c r="P351" s="2" t="e">
        <f t="shared" si="33"/>
        <v>#DIV/0!</v>
      </c>
      <c r="Q351" s="2">
        <f t="shared" si="34"/>
        <v>0</v>
      </c>
      <c r="R351" s="2" t="e">
        <f t="shared" si="35"/>
        <v>#DIV/0!</v>
      </c>
      <c r="S351" s="2" t="e">
        <f t="shared" si="36"/>
        <v>#DIV/0!</v>
      </c>
    </row>
    <row r="352" spans="2:19" x14ac:dyDescent="0.25">
      <c r="B352" s="1">
        <f t="shared" si="37"/>
        <v>346</v>
      </c>
      <c r="O352" s="2">
        <f t="shared" si="32"/>
        <v>0</v>
      </c>
      <c r="P352" s="2" t="e">
        <f t="shared" si="33"/>
        <v>#DIV/0!</v>
      </c>
      <c r="Q352" s="2">
        <f t="shared" si="34"/>
        <v>0</v>
      </c>
      <c r="R352" s="2" t="e">
        <f t="shared" si="35"/>
        <v>#DIV/0!</v>
      </c>
      <c r="S352" s="2" t="e">
        <f t="shared" si="36"/>
        <v>#DIV/0!</v>
      </c>
    </row>
    <row r="353" spans="2:19" x14ac:dyDescent="0.25">
      <c r="B353" s="1">
        <f t="shared" si="37"/>
        <v>347</v>
      </c>
      <c r="O353" s="2">
        <f t="shared" si="32"/>
        <v>0</v>
      </c>
      <c r="P353" s="2" t="e">
        <f t="shared" si="33"/>
        <v>#DIV/0!</v>
      </c>
      <c r="Q353" s="2">
        <f t="shared" si="34"/>
        <v>0</v>
      </c>
      <c r="R353" s="2" t="e">
        <f t="shared" si="35"/>
        <v>#DIV/0!</v>
      </c>
      <c r="S353" s="2" t="e">
        <f t="shared" si="36"/>
        <v>#DIV/0!</v>
      </c>
    </row>
    <row r="354" spans="2:19" x14ac:dyDescent="0.25">
      <c r="B354" s="1">
        <f t="shared" si="37"/>
        <v>348</v>
      </c>
      <c r="O354" s="2">
        <f t="shared" si="32"/>
        <v>0</v>
      </c>
      <c r="P354" s="2" t="e">
        <f t="shared" si="33"/>
        <v>#DIV/0!</v>
      </c>
      <c r="Q354" s="2">
        <f t="shared" si="34"/>
        <v>0</v>
      </c>
      <c r="R354" s="2" t="e">
        <f t="shared" si="35"/>
        <v>#DIV/0!</v>
      </c>
      <c r="S354" s="2" t="e">
        <f t="shared" si="36"/>
        <v>#DIV/0!</v>
      </c>
    </row>
    <row r="355" spans="2:19" x14ac:dyDescent="0.25">
      <c r="B355" s="1">
        <f t="shared" si="37"/>
        <v>349</v>
      </c>
      <c r="O355" s="2">
        <f t="shared" si="32"/>
        <v>0</v>
      </c>
      <c r="P355" s="2" t="e">
        <f t="shared" si="33"/>
        <v>#DIV/0!</v>
      </c>
      <c r="Q355" s="2">
        <f t="shared" si="34"/>
        <v>0</v>
      </c>
      <c r="R355" s="2" t="e">
        <f t="shared" si="35"/>
        <v>#DIV/0!</v>
      </c>
      <c r="S355" s="2" t="e">
        <f t="shared" si="36"/>
        <v>#DIV/0!</v>
      </c>
    </row>
    <row r="356" spans="2:19" x14ac:dyDescent="0.25">
      <c r="B356" s="1">
        <f t="shared" si="37"/>
        <v>350</v>
      </c>
      <c r="O356" s="2">
        <f t="shared" si="32"/>
        <v>0</v>
      </c>
      <c r="P356" s="2" t="e">
        <f t="shared" si="33"/>
        <v>#DIV/0!</v>
      </c>
      <c r="Q356" s="2">
        <f t="shared" si="34"/>
        <v>0</v>
      </c>
      <c r="R356" s="2" t="e">
        <f t="shared" si="35"/>
        <v>#DIV/0!</v>
      </c>
      <c r="S356" s="2" t="e">
        <f t="shared" si="36"/>
        <v>#DIV/0!</v>
      </c>
    </row>
    <row r="357" spans="2:19" x14ac:dyDescent="0.25">
      <c r="B357" s="1">
        <f t="shared" si="37"/>
        <v>351</v>
      </c>
      <c r="O357" s="2">
        <f t="shared" si="32"/>
        <v>0</v>
      </c>
      <c r="P357" s="2" t="e">
        <f t="shared" si="33"/>
        <v>#DIV/0!</v>
      </c>
      <c r="Q357" s="2">
        <f t="shared" si="34"/>
        <v>0</v>
      </c>
      <c r="R357" s="2" t="e">
        <f t="shared" si="35"/>
        <v>#DIV/0!</v>
      </c>
      <c r="S357" s="2" t="e">
        <f t="shared" si="36"/>
        <v>#DIV/0!</v>
      </c>
    </row>
    <row r="358" spans="2:19" x14ac:dyDescent="0.25">
      <c r="B358" s="1">
        <f t="shared" si="37"/>
        <v>352</v>
      </c>
      <c r="O358" s="2">
        <f t="shared" si="32"/>
        <v>0</v>
      </c>
      <c r="P358" s="2" t="e">
        <f t="shared" si="33"/>
        <v>#DIV/0!</v>
      </c>
      <c r="Q358" s="2">
        <f t="shared" si="34"/>
        <v>0</v>
      </c>
      <c r="R358" s="2" t="e">
        <f t="shared" si="35"/>
        <v>#DIV/0!</v>
      </c>
      <c r="S358" s="2" t="e">
        <f t="shared" si="36"/>
        <v>#DIV/0!</v>
      </c>
    </row>
    <row r="359" spans="2:19" x14ac:dyDescent="0.25">
      <c r="B359" s="1">
        <f t="shared" si="37"/>
        <v>353</v>
      </c>
      <c r="O359" s="2">
        <f t="shared" si="32"/>
        <v>0</v>
      </c>
      <c r="P359" s="2" t="e">
        <f t="shared" si="33"/>
        <v>#DIV/0!</v>
      </c>
      <c r="Q359" s="2">
        <f t="shared" si="34"/>
        <v>0</v>
      </c>
      <c r="R359" s="2" t="e">
        <f t="shared" si="35"/>
        <v>#DIV/0!</v>
      </c>
      <c r="S359" s="2" t="e">
        <f t="shared" si="36"/>
        <v>#DIV/0!</v>
      </c>
    </row>
    <row r="360" spans="2:19" x14ac:dyDescent="0.25">
      <c r="B360" s="1">
        <f t="shared" si="37"/>
        <v>354</v>
      </c>
      <c r="O360" s="2">
        <f t="shared" si="32"/>
        <v>0</v>
      </c>
      <c r="P360" s="2" t="e">
        <f t="shared" si="33"/>
        <v>#DIV/0!</v>
      </c>
      <c r="Q360" s="2">
        <f t="shared" si="34"/>
        <v>0</v>
      </c>
      <c r="R360" s="2" t="e">
        <f t="shared" si="35"/>
        <v>#DIV/0!</v>
      </c>
      <c r="S360" s="2" t="e">
        <f t="shared" si="36"/>
        <v>#DIV/0!</v>
      </c>
    </row>
    <row r="361" spans="2:19" x14ac:dyDescent="0.25">
      <c r="B361" s="1">
        <f t="shared" si="37"/>
        <v>355</v>
      </c>
      <c r="O361" s="2">
        <f t="shared" si="32"/>
        <v>0</v>
      </c>
      <c r="P361" s="2" t="e">
        <f t="shared" si="33"/>
        <v>#DIV/0!</v>
      </c>
      <c r="Q361" s="2">
        <f t="shared" si="34"/>
        <v>0</v>
      </c>
      <c r="R361" s="2" t="e">
        <f t="shared" si="35"/>
        <v>#DIV/0!</v>
      </c>
      <c r="S361" s="2" t="e">
        <f t="shared" si="36"/>
        <v>#DIV/0!</v>
      </c>
    </row>
    <row r="362" spans="2:19" x14ac:dyDescent="0.25">
      <c r="B362" s="1">
        <f t="shared" si="37"/>
        <v>356</v>
      </c>
      <c r="O362" s="2">
        <f t="shared" si="32"/>
        <v>0</v>
      </c>
      <c r="P362" s="2" t="e">
        <f t="shared" si="33"/>
        <v>#DIV/0!</v>
      </c>
      <c r="Q362" s="2">
        <f t="shared" si="34"/>
        <v>0</v>
      </c>
      <c r="R362" s="2" t="e">
        <f t="shared" si="35"/>
        <v>#DIV/0!</v>
      </c>
      <c r="S362" s="2" t="e">
        <f t="shared" si="36"/>
        <v>#DIV/0!</v>
      </c>
    </row>
    <row r="363" spans="2:19" x14ac:dyDescent="0.25">
      <c r="B363" s="1">
        <f t="shared" si="37"/>
        <v>357</v>
      </c>
      <c r="O363" s="2">
        <f t="shared" si="32"/>
        <v>0</v>
      </c>
      <c r="P363" s="2" t="e">
        <f t="shared" si="33"/>
        <v>#DIV/0!</v>
      </c>
      <c r="Q363" s="2">
        <f t="shared" si="34"/>
        <v>0</v>
      </c>
      <c r="R363" s="2" t="e">
        <f t="shared" si="35"/>
        <v>#DIV/0!</v>
      </c>
      <c r="S363" s="2" t="e">
        <f t="shared" si="36"/>
        <v>#DIV/0!</v>
      </c>
    </row>
    <row r="364" spans="2:19" x14ac:dyDescent="0.25">
      <c r="B364" s="1">
        <f t="shared" si="37"/>
        <v>358</v>
      </c>
      <c r="O364" s="2">
        <f t="shared" si="32"/>
        <v>0</v>
      </c>
      <c r="P364" s="2" t="e">
        <f t="shared" si="33"/>
        <v>#DIV/0!</v>
      </c>
      <c r="Q364" s="2">
        <f t="shared" si="34"/>
        <v>0</v>
      </c>
      <c r="R364" s="2" t="e">
        <f t="shared" si="35"/>
        <v>#DIV/0!</v>
      </c>
      <c r="S364" s="2" t="e">
        <f t="shared" si="36"/>
        <v>#DIV/0!</v>
      </c>
    </row>
    <row r="365" spans="2:19" x14ac:dyDescent="0.25">
      <c r="B365" s="1">
        <f t="shared" si="37"/>
        <v>359</v>
      </c>
      <c r="O365" s="2">
        <f t="shared" si="32"/>
        <v>0</v>
      </c>
      <c r="P365" s="2" t="e">
        <f t="shared" si="33"/>
        <v>#DIV/0!</v>
      </c>
      <c r="Q365" s="2">
        <f t="shared" si="34"/>
        <v>0</v>
      </c>
      <c r="R365" s="2" t="e">
        <f t="shared" si="35"/>
        <v>#DIV/0!</v>
      </c>
      <c r="S365" s="2" t="e">
        <f t="shared" si="36"/>
        <v>#DIV/0!</v>
      </c>
    </row>
    <row r="366" spans="2:19" x14ac:dyDescent="0.25">
      <c r="B366" s="1">
        <f t="shared" si="37"/>
        <v>360</v>
      </c>
      <c r="O366" s="2">
        <f t="shared" si="32"/>
        <v>0</v>
      </c>
      <c r="P366" s="2" t="e">
        <f t="shared" si="33"/>
        <v>#DIV/0!</v>
      </c>
      <c r="Q366" s="2">
        <f t="shared" si="34"/>
        <v>0</v>
      </c>
      <c r="R366" s="2" t="e">
        <f t="shared" si="35"/>
        <v>#DIV/0!</v>
      </c>
      <c r="S366" s="2" t="e">
        <f t="shared" si="36"/>
        <v>#DIV/0!</v>
      </c>
    </row>
    <row r="367" spans="2:19" x14ac:dyDescent="0.25">
      <c r="B367" s="1">
        <f t="shared" si="37"/>
        <v>361</v>
      </c>
      <c r="O367" s="2">
        <f t="shared" si="32"/>
        <v>0</v>
      </c>
      <c r="P367" s="2" t="e">
        <f t="shared" si="33"/>
        <v>#DIV/0!</v>
      </c>
      <c r="Q367" s="2">
        <f t="shared" si="34"/>
        <v>0</v>
      </c>
      <c r="R367" s="2" t="e">
        <f t="shared" si="35"/>
        <v>#DIV/0!</v>
      </c>
      <c r="S367" s="2" t="e">
        <f t="shared" si="36"/>
        <v>#DIV/0!</v>
      </c>
    </row>
    <row r="368" spans="2:19" x14ac:dyDescent="0.25">
      <c r="B368" s="1">
        <f t="shared" si="37"/>
        <v>362</v>
      </c>
      <c r="O368" s="2">
        <f t="shared" si="32"/>
        <v>0</v>
      </c>
      <c r="P368" s="2" t="e">
        <f t="shared" si="33"/>
        <v>#DIV/0!</v>
      </c>
      <c r="Q368" s="2">
        <f t="shared" si="34"/>
        <v>0</v>
      </c>
      <c r="R368" s="2" t="e">
        <f t="shared" si="35"/>
        <v>#DIV/0!</v>
      </c>
      <c r="S368" s="2" t="e">
        <f t="shared" si="36"/>
        <v>#DIV/0!</v>
      </c>
    </row>
    <row r="369" spans="2:19" x14ac:dyDescent="0.25">
      <c r="B369" s="1">
        <f t="shared" si="37"/>
        <v>363</v>
      </c>
      <c r="O369" s="2">
        <f t="shared" si="32"/>
        <v>0</v>
      </c>
      <c r="P369" s="2" t="e">
        <f t="shared" si="33"/>
        <v>#DIV/0!</v>
      </c>
      <c r="Q369" s="2">
        <f t="shared" si="34"/>
        <v>0</v>
      </c>
      <c r="R369" s="2" t="e">
        <f t="shared" si="35"/>
        <v>#DIV/0!</v>
      </c>
      <c r="S369" s="2" t="e">
        <f t="shared" si="36"/>
        <v>#DIV/0!</v>
      </c>
    </row>
    <row r="370" spans="2:19" x14ac:dyDescent="0.25">
      <c r="B370" s="1">
        <f t="shared" si="37"/>
        <v>364</v>
      </c>
      <c r="O370" s="2">
        <f t="shared" si="32"/>
        <v>0</v>
      </c>
      <c r="P370" s="2" t="e">
        <f t="shared" si="33"/>
        <v>#DIV/0!</v>
      </c>
      <c r="Q370" s="2">
        <f t="shared" si="34"/>
        <v>0</v>
      </c>
      <c r="R370" s="2" t="e">
        <f t="shared" si="35"/>
        <v>#DIV/0!</v>
      </c>
      <c r="S370" s="2" t="e">
        <f t="shared" si="36"/>
        <v>#DIV/0!</v>
      </c>
    </row>
    <row r="371" spans="2:19" x14ac:dyDescent="0.25">
      <c r="B371" s="1">
        <f t="shared" si="37"/>
        <v>365</v>
      </c>
      <c r="O371" s="2">
        <f t="shared" si="32"/>
        <v>0</v>
      </c>
      <c r="P371" s="2" t="e">
        <f t="shared" si="33"/>
        <v>#DIV/0!</v>
      </c>
      <c r="Q371" s="2">
        <f t="shared" si="34"/>
        <v>0</v>
      </c>
      <c r="R371" s="2" t="e">
        <f t="shared" si="35"/>
        <v>#DIV/0!</v>
      </c>
      <c r="S371" s="2" t="e">
        <f t="shared" si="36"/>
        <v>#DIV/0!</v>
      </c>
    </row>
    <row r="372" spans="2:19" x14ac:dyDescent="0.25">
      <c r="B372" s="1">
        <f t="shared" si="37"/>
        <v>366</v>
      </c>
      <c r="O372" s="2">
        <f t="shared" si="32"/>
        <v>0</v>
      </c>
      <c r="P372" s="2" t="e">
        <f t="shared" si="33"/>
        <v>#DIV/0!</v>
      </c>
      <c r="Q372" s="2">
        <f t="shared" si="34"/>
        <v>0</v>
      </c>
      <c r="R372" s="2" t="e">
        <f t="shared" si="35"/>
        <v>#DIV/0!</v>
      </c>
      <c r="S372" s="2" t="e">
        <f t="shared" si="36"/>
        <v>#DIV/0!</v>
      </c>
    </row>
    <row r="373" spans="2:19" x14ac:dyDescent="0.25">
      <c r="B373" s="1">
        <f t="shared" si="37"/>
        <v>367</v>
      </c>
      <c r="O373" s="2">
        <f t="shared" si="32"/>
        <v>0</v>
      </c>
      <c r="P373" s="2" t="e">
        <f t="shared" si="33"/>
        <v>#DIV/0!</v>
      </c>
      <c r="Q373" s="2">
        <f t="shared" si="34"/>
        <v>0</v>
      </c>
      <c r="R373" s="2" t="e">
        <f t="shared" si="35"/>
        <v>#DIV/0!</v>
      </c>
      <c r="S373" s="2" t="e">
        <f t="shared" si="36"/>
        <v>#DIV/0!</v>
      </c>
    </row>
    <row r="374" spans="2:19" x14ac:dyDescent="0.25">
      <c r="B374" s="1">
        <f t="shared" si="37"/>
        <v>368</v>
      </c>
      <c r="O374" s="2">
        <f t="shared" si="32"/>
        <v>0</v>
      </c>
      <c r="P374" s="2" t="e">
        <f t="shared" si="33"/>
        <v>#DIV/0!</v>
      </c>
      <c r="Q374" s="2">
        <f t="shared" si="34"/>
        <v>0</v>
      </c>
      <c r="R374" s="2" t="e">
        <f t="shared" si="35"/>
        <v>#DIV/0!</v>
      </c>
      <c r="S374" s="2" t="e">
        <f t="shared" si="36"/>
        <v>#DIV/0!</v>
      </c>
    </row>
    <row r="375" spans="2:19" x14ac:dyDescent="0.25">
      <c r="B375" s="1">
        <f t="shared" si="37"/>
        <v>369</v>
      </c>
      <c r="O375" s="2">
        <f t="shared" si="32"/>
        <v>0</v>
      </c>
      <c r="P375" s="2" t="e">
        <f t="shared" si="33"/>
        <v>#DIV/0!</v>
      </c>
      <c r="Q375" s="2">
        <f t="shared" si="34"/>
        <v>0</v>
      </c>
      <c r="R375" s="2" t="e">
        <f t="shared" si="35"/>
        <v>#DIV/0!</v>
      </c>
      <c r="S375" s="2" t="e">
        <f t="shared" si="36"/>
        <v>#DIV/0!</v>
      </c>
    </row>
    <row r="376" spans="2:19" x14ac:dyDescent="0.25">
      <c r="B376" s="1">
        <f t="shared" si="37"/>
        <v>370</v>
      </c>
      <c r="O376" s="2">
        <f t="shared" si="32"/>
        <v>0</v>
      </c>
      <c r="P376" s="2" t="e">
        <f t="shared" si="33"/>
        <v>#DIV/0!</v>
      </c>
      <c r="Q376" s="2">
        <f t="shared" si="34"/>
        <v>0</v>
      </c>
      <c r="R376" s="2" t="e">
        <f t="shared" si="35"/>
        <v>#DIV/0!</v>
      </c>
      <c r="S376" s="2" t="e">
        <f t="shared" si="36"/>
        <v>#DIV/0!</v>
      </c>
    </row>
    <row r="377" spans="2:19" x14ac:dyDescent="0.25">
      <c r="B377" s="1">
        <f t="shared" si="37"/>
        <v>371</v>
      </c>
      <c r="O377" s="2">
        <f t="shared" si="32"/>
        <v>0</v>
      </c>
      <c r="P377" s="2" t="e">
        <f t="shared" si="33"/>
        <v>#DIV/0!</v>
      </c>
      <c r="Q377" s="2">
        <f t="shared" si="34"/>
        <v>0</v>
      </c>
      <c r="R377" s="2" t="e">
        <f t="shared" si="35"/>
        <v>#DIV/0!</v>
      </c>
      <c r="S377" s="2" t="e">
        <f t="shared" si="36"/>
        <v>#DIV/0!</v>
      </c>
    </row>
    <row r="378" spans="2:19" x14ac:dyDescent="0.25">
      <c r="B378" s="1">
        <f t="shared" si="37"/>
        <v>372</v>
      </c>
      <c r="O378" s="2">
        <f t="shared" si="32"/>
        <v>0</v>
      </c>
      <c r="P378" s="2" t="e">
        <f t="shared" si="33"/>
        <v>#DIV/0!</v>
      </c>
      <c r="Q378" s="2">
        <f t="shared" si="34"/>
        <v>0</v>
      </c>
      <c r="R378" s="2" t="e">
        <f t="shared" si="35"/>
        <v>#DIV/0!</v>
      </c>
      <c r="S378" s="2" t="e">
        <f t="shared" si="36"/>
        <v>#DIV/0!</v>
      </c>
    </row>
    <row r="379" spans="2:19" x14ac:dyDescent="0.25">
      <c r="B379" s="1">
        <f t="shared" si="37"/>
        <v>373</v>
      </c>
      <c r="O379" s="2">
        <f t="shared" si="32"/>
        <v>0</v>
      </c>
      <c r="P379" s="2" t="e">
        <f t="shared" si="33"/>
        <v>#DIV/0!</v>
      </c>
      <c r="Q379" s="2">
        <f t="shared" si="34"/>
        <v>0</v>
      </c>
      <c r="R379" s="2" t="e">
        <f t="shared" si="35"/>
        <v>#DIV/0!</v>
      </c>
      <c r="S379" s="2" t="e">
        <f t="shared" si="36"/>
        <v>#DIV/0!</v>
      </c>
    </row>
    <row r="380" spans="2:19" x14ac:dyDescent="0.25">
      <c r="B380" s="1">
        <f t="shared" si="37"/>
        <v>374</v>
      </c>
      <c r="O380" s="2">
        <f t="shared" si="32"/>
        <v>0</v>
      </c>
      <c r="P380" s="2" t="e">
        <f t="shared" si="33"/>
        <v>#DIV/0!</v>
      </c>
      <c r="Q380" s="2">
        <f t="shared" si="34"/>
        <v>0</v>
      </c>
      <c r="R380" s="2" t="e">
        <f t="shared" si="35"/>
        <v>#DIV/0!</v>
      </c>
      <c r="S380" s="2" t="e">
        <f t="shared" si="36"/>
        <v>#DIV/0!</v>
      </c>
    </row>
    <row r="381" spans="2:19" x14ac:dyDescent="0.25">
      <c r="B381" s="1">
        <f t="shared" si="37"/>
        <v>375</v>
      </c>
      <c r="O381" s="2">
        <f t="shared" si="32"/>
        <v>0</v>
      </c>
      <c r="P381" s="2" t="e">
        <f t="shared" si="33"/>
        <v>#DIV/0!</v>
      </c>
      <c r="Q381" s="2">
        <f t="shared" si="34"/>
        <v>0</v>
      </c>
      <c r="R381" s="2" t="e">
        <f t="shared" si="35"/>
        <v>#DIV/0!</v>
      </c>
      <c r="S381" s="2" t="e">
        <f t="shared" si="36"/>
        <v>#DIV/0!</v>
      </c>
    </row>
    <row r="382" spans="2:19" x14ac:dyDescent="0.25">
      <c r="B382" s="1">
        <f t="shared" si="37"/>
        <v>376</v>
      </c>
      <c r="O382" s="2">
        <f t="shared" si="32"/>
        <v>0</v>
      </c>
      <c r="P382" s="2" t="e">
        <f t="shared" si="33"/>
        <v>#DIV/0!</v>
      </c>
      <c r="Q382" s="2">
        <f t="shared" si="34"/>
        <v>0</v>
      </c>
      <c r="R382" s="2" t="e">
        <f t="shared" si="35"/>
        <v>#DIV/0!</v>
      </c>
      <c r="S382" s="2" t="e">
        <f t="shared" si="36"/>
        <v>#DIV/0!</v>
      </c>
    </row>
    <row r="383" spans="2:19" x14ac:dyDescent="0.25">
      <c r="B383" s="1">
        <f t="shared" si="37"/>
        <v>377</v>
      </c>
      <c r="O383" s="2">
        <f t="shared" si="32"/>
        <v>0</v>
      </c>
      <c r="P383" s="2" t="e">
        <f t="shared" si="33"/>
        <v>#DIV/0!</v>
      </c>
      <c r="Q383" s="2">
        <f t="shared" si="34"/>
        <v>0</v>
      </c>
      <c r="R383" s="2" t="e">
        <f t="shared" si="35"/>
        <v>#DIV/0!</v>
      </c>
      <c r="S383" s="2" t="e">
        <f t="shared" si="36"/>
        <v>#DIV/0!</v>
      </c>
    </row>
    <row r="384" spans="2:19" x14ac:dyDescent="0.25">
      <c r="B384" s="1">
        <f t="shared" si="37"/>
        <v>378</v>
      </c>
      <c r="O384" s="2">
        <f t="shared" si="32"/>
        <v>0</v>
      </c>
      <c r="P384" s="2" t="e">
        <f t="shared" si="33"/>
        <v>#DIV/0!</v>
      </c>
      <c r="Q384" s="2">
        <f t="shared" si="34"/>
        <v>0</v>
      </c>
      <c r="R384" s="2" t="e">
        <f t="shared" si="35"/>
        <v>#DIV/0!</v>
      </c>
      <c r="S384" s="2" t="e">
        <f t="shared" si="36"/>
        <v>#DIV/0!</v>
      </c>
    </row>
    <row r="385" spans="2:19" x14ac:dyDescent="0.25">
      <c r="B385" s="1">
        <f t="shared" si="37"/>
        <v>379</v>
      </c>
      <c r="O385" s="2">
        <f t="shared" si="32"/>
        <v>0</v>
      </c>
      <c r="P385" s="2" t="e">
        <f t="shared" si="33"/>
        <v>#DIV/0!</v>
      </c>
      <c r="Q385" s="2">
        <f t="shared" si="34"/>
        <v>0</v>
      </c>
      <c r="R385" s="2" t="e">
        <f t="shared" si="35"/>
        <v>#DIV/0!</v>
      </c>
      <c r="S385" s="2" t="e">
        <f t="shared" si="36"/>
        <v>#DIV/0!</v>
      </c>
    </row>
    <row r="386" spans="2:19" x14ac:dyDescent="0.25">
      <c r="B386" s="1">
        <f t="shared" si="37"/>
        <v>380</v>
      </c>
      <c r="O386" s="2">
        <f t="shared" si="32"/>
        <v>0</v>
      </c>
      <c r="P386" s="2" t="e">
        <f t="shared" si="33"/>
        <v>#DIV/0!</v>
      </c>
      <c r="Q386" s="2">
        <f t="shared" si="34"/>
        <v>0</v>
      </c>
      <c r="R386" s="2" t="e">
        <f t="shared" si="35"/>
        <v>#DIV/0!</v>
      </c>
      <c r="S386" s="2" t="e">
        <f t="shared" si="36"/>
        <v>#DIV/0!</v>
      </c>
    </row>
    <row r="387" spans="2:19" x14ac:dyDescent="0.25">
      <c r="B387" s="1">
        <f t="shared" si="37"/>
        <v>381</v>
      </c>
      <c r="O387" s="2">
        <f t="shared" si="32"/>
        <v>0</v>
      </c>
      <c r="P387" s="2" t="e">
        <f t="shared" si="33"/>
        <v>#DIV/0!</v>
      </c>
      <c r="Q387" s="2">
        <f t="shared" si="34"/>
        <v>0</v>
      </c>
      <c r="R387" s="2" t="e">
        <f t="shared" si="35"/>
        <v>#DIV/0!</v>
      </c>
      <c r="S387" s="2" t="e">
        <f t="shared" si="36"/>
        <v>#DIV/0!</v>
      </c>
    </row>
    <row r="388" spans="2:19" x14ac:dyDescent="0.25">
      <c r="B388" s="1">
        <f t="shared" si="37"/>
        <v>382</v>
      </c>
      <c r="O388" s="2">
        <f t="shared" si="32"/>
        <v>0</v>
      </c>
      <c r="P388" s="2" t="e">
        <f t="shared" si="33"/>
        <v>#DIV/0!</v>
      </c>
      <c r="Q388" s="2">
        <f t="shared" si="34"/>
        <v>0</v>
      </c>
      <c r="R388" s="2" t="e">
        <f t="shared" si="35"/>
        <v>#DIV/0!</v>
      </c>
      <c r="S388" s="2" t="e">
        <f t="shared" si="36"/>
        <v>#DIV/0!</v>
      </c>
    </row>
    <row r="389" spans="2:19" x14ac:dyDescent="0.25">
      <c r="B389" s="1">
        <f t="shared" si="37"/>
        <v>383</v>
      </c>
      <c r="O389" s="2">
        <f t="shared" si="32"/>
        <v>0</v>
      </c>
      <c r="P389" s="2" t="e">
        <f t="shared" si="33"/>
        <v>#DIV/0!</v>
      </c>
      <c r="Q389" s="2">
        <f t="shared" si="34"/>
        <v>0</v>
      </c>
      <c r="R389" s="2" t="e">
        <f t="shared" si="35"/>
        <v>#DIV/0!</v>
      </c>
      <c r="S389" s="2" t="e">
        <f t="shared" si="36"/>
        <v>#DIV/0!</v>
      </c>
    </row>
    <row r="390" spans="2:19" x14ac:dyDescent="0.25">
      <c r="B390" s="1">
        <f t="shared" si="37"/>
        <v>384</v>
      </c>
      <c r="O390" s="2">
        <f t="shared" si="32"/>
        <v>0</v>
      </c>
      <c r="P390" s="2" t="e">
        <f t="shared" si="33"/>
        <v>#DIV/0!</v>
      </c>
      <c r="Q390" s="2">
        <f t="shared" si="34"/>
        <v>0</v>
      </c>
      <c r="R390" s="2" t="e">
        <f t="shared" si="35"/>
        <v>#DIV/0!</v>
      </c>
      <c r="S390" s="2" t="e">
        <f t="shared" si="36"/>
        <v>#DIV/0!</v>
      </c>
    </row>
    <row r="391" spans="2:19" x14ac:dyDescent="0.25">
      <c r="B391" s="1">
        <f t="shared" si="37"/>
        <v>385</v>
      </c>
      <c r="O391" s="2">
        <f t="shared" si="32"/>
        <v>0</v>
      </c>
      <c r="P391" s="2" t="e">
        <f t="shared" si="33"/>
        <v>#DIV/0!</v>
      </c>
      <c r="Q391" s="2">
        <f t="shared" si="34"/>
        <v>0</v>
      </c>
      <c r="R391" s="2" t="e">
        <f t="shared" si="35"/>
        <v>#DIV/0!</v>
      </c>
      <c r="S391" s="2" t="e">
        <f t="shared" si="36"/>
        <v>#DIV/0!</v>
      </c>
    </row>
    <row r="392" spans="2:19" x14ac:dyDescent="0.25">
      <c r="B392" s="1">
        <f t="shared" si="37"/>
        <v>386</v>
      </c>
      <c r="O392" s="2">
        <f t="shared" ref="O392:O455" si="38">M392-$X$23</f>
        <v>0</v>
      </c>
      <c r="P392" s="2" t="e">
        <f t="shared" ref="P392:P455" si="39">O392*$AC$21+$Y$23</f>
        <v>#DIV/0!</v>
      </c>
      <c r="Q392" s="2">
        <f t="shared" ref="Q392:Q455" si="40">((D392+D393)/2)*(M393-M392)</f>
        <v>0</v>
      </c>
      <c r="R392" s="2" t="e">
        <f t="shared" ref="R392:R455" si="41">((P392+P393)/2)*(O393-O392)</f>
        <v>#DIV/0!</v>
      </c>
      <c r="S392" s="2" t="e">
        <f t="shared" ref="S392:S455" si="42">Q392-R392</f>
        <v>#DIV/0!</v>
      </c>
    </row>
    <row r="393" spans="2:19" x14ac:dyDescent="0.25">
      <c r="B393" s="1">
        <f t="shared" ref="B393:B456" si="43">B392+1</f>
        <v>387</v>
      </c>
      <c r="O393" s="2">
        <f t="shared" si="38"/>
        <v>0</v>
      </c>
      <c r="P393" s="2" t="e">
        <f t="shared" si="39"/>
        <v>#DIV/0!</v>
      </c>
      <c r="Q393" s="2">
        <f t="shared" si="40"/>
        <v>0</v>
      </c>
      <c r="R393" s="2" t="e">
        <f t="shared" si="41"/>
        <v>#DIV/0!</v>
      </c>
      <c r="S393" s="2" t="e">
        <f t="shared" si="42"/>
        <v>#DIV/0!</v>
      </c>
    </row>
    <row r="394" spans="2:19" x14ac:dyDescent="0.25">
      <c r="B394" s="1">
        <f t="shared" si="43"/>
        <v>388</v>
      </c>
      <c r="O394" s="2">
        <f t="shared" si="38"/>
        <v>0</v>
      </c>
      <c r="P394" s="2" t="e">
        <f t="shared" si="39"/>
        <v>#DIV/0!</v>
      </c>
      <c r="Q394" s="2">
        <f t="shared" si="40"/>
        <v>0</v>
      </c>
      <c r="R394" s="2" t="e">
        <f t="shared" si="41"/>
        <v>#DIV/0!</v>
      </c>
      <c r="S394" s="2" t="e">
        <f t="shared" si="42"/>
        <v>#DIV/0!</v>
      </c>
    </row>
    <row r="395" spans="2:19" x14ac:dyDescent="0.25">
      <c r="B395" s="1">
        <f t="shared" si="43"/>
        <v>389</v>
      </c>
      <c r="O395" s="2">
        <f t="shared" si="38"/>
        <v>0</v>
      </c>
      <c r="P395" s="2" t="e">
        <f t="shared" si="39"/>
        <v>#DIV/0!</v>
      </c>
      <c r="Q395" s="2">
        <f t="shared" si="40"/>
        <v>0</v>
      </c>
      <c r="R395" s="2" t="e">
        <f t="shared" si="41"/>
        <v>#DIV/0!</v>
      </c>
      <c r="S395" s="2" t="e">
        <f t="shared" si="42"/>
        <v>#DIV/0!</v>
      </c>
    </row>
    <row r="396" spans="2:19" x14ac:dyDescent="0.25">
      <c r="B396" s="1">
        <f t="shared" si="43"/>
        <v>390</v>
      </c>
      <c r="O396" s="2">
        <f t="shared" si="38"/>
        <v>0</v>
      </c>
      <c r="P396" s="2" t="e">
        <f t="shared" si="39"/>
        <v>#DIV/0!</v>
      </c>
      <c r="Q396" s="2">
        <f t="shared" si="40"/>
        <v>0</v>
      </c>
      <c r="R396" s="2" t="e">
        <f t="shared" si="41"/>
        <v>#DIV/0!</v>
      </c>
      <c r="S396" s="2" t="e">
        <f t="shared" si="42"/>
        <v>#DIV/0!</v>
      </c>
    </row>
    <row r="397" spans="2:19" x14ac:dyDescent="0.25">
      <c r="B397" s="1">
        <f t="shared" si="43"/>
        <v>391</v>
      </c>
      <c r="O397" s="2">
        <f t="shared" si="38"/>
        <v>0</v>
      </c>
      <c r="P397" s="2" t="e">
        <f t="shared" si="39"/>
        <v>#DIV/0!</v>
      </c>
      <c r="Q397" s="2">
        <f t="shared" si="40"/>
        <v>0</v>
      </c>
      <c r="R397" s="2" t="e">
        <f t="shared" si="41"/>
        <v>#DIV/0!</v>
      </c>
      <c r="S397" s="2" t="e">
        <f t="shared" si="42"/>
        <v>#DIV/0!</v>
      </c>
    </row>
    <row r="398" spans="2:19" x14ac:dyDescent="0.25">
      <c r="B398" s="1">
        <f t="shared" si="43"/>
        <v>392</v>
      </c>
      <c r="O398" s="2">
        <f t="shared" si="38"/>
        <v>0</v>
      </c>
      <c r="P398" s="2" t="e">
        <f t="shared" si="39"/>
        <v>#DIV/0!</v>
      </c>
      <c r="Q398" s="2">
        <f t="shared" si="40"/>
        <v>0</v>
      </c>
      <c r="R398" s="2" t="e">
        <f t="shared" si="41"/>
        <v>#DIV/0!</v>
      </c>
      <c r="S398" s="2" t="e">
        <f t="shared" si="42"/>
        <v>#DIV/0!</v>
      </c>
    </row>
    <row r="399" spans="2:19" x14ac:dyDescent="0.25">
      <c r="B399" s="1">
        <f t="shared" si="43"/>
        <v>393</v>
      </c>
      <c r="O399" s="2">
        <f t="shared" si="38"/>
        <v>0</v>
      </c>
      <c r="P399" s="2" t="e">
        <f t="shared" si="39"/>
        <v>#DIV/0!</v>
      </c>
      <c r="Q399" s="2">
        <f t="shared" si="40"/>
        <v>0</v>
      </c>
      <c r="R399" s="2" t="e">
        <f t="shared" si="41"/>
        <v>#DIV/0!</v>
      </c>
      <c r="S399" s="2" t="e">
        <f t="shared" si="42"/>
        <v>#DIV/0!</v>
      </c>
    </row>
    <row r="400" spans="2:19" x14ac:dyDescent="0.25">
      <c r="B400" s="1">
        <f t="shared" si="43"/>
        <v>394</v>
      </c>
      <c r="O400" s="2">
        <f t="shared" si="38"/>
        <v>0</v>
      </c>
      <c r="P400" s="2" t="e">
        <f t="shared" si="39"/>
        <v>#DIV/0!</v>
      </c>
      <c r="Q400" s="2">
        <f t="shared" si="40"/>
        <v>0</v>
      </c>
      <c r="R400" s="2" t="e">
        <f t="shared" si="41"/>
        <v>#DIV/0!</v>
      </c>
      <c r="S400" s="2" t="e">
        <f t="shared" si="42"/>
        <v>#DIV/0!</v>
      </c>
    </row>
    <row r="401" spans="2:19" x14ac:dyDescent="0.25">
      <c r="B401" s="1">
        <f t="shared" si="43"/>
        <v>395</v>
      </c>
      <c r="O401" s="2">
        <f t="shared" si="38"/>
        <v>0</v>
      </c>
      <c r="P401" s="2" t="e">
        <f t="shared" si="39"/>
        <v>#DIV/0!</v>
      </c>
      <c r="Q401" s="2">
        <f t="shared" si="40"/>
        <v>0</v>
      </c>
      <c r="R401" s="2" t="e">
        <f t="shared" si="41"/>
        <v>#DIV/0!</v>
      </c>
      <c r="S401" s="2" t="e">
        <f t="shared" si="42"/>
        <v>#DIV/0!</v>
      </c>
    </row>
    <row r="402" spans="2:19" x14ac:dyDescent="0.25">
      <c r="B402" s="1">
        <f t="shared" si="43"/>
        <v>396</v>
      </c>
      <c r="O402" s="2">
        <f t="shared" si="38"/>
        <v>0</v>
      </c>
      <c r="P402" s="2" t="e">
        <f t="shared" si="39"/>
        <v>#DIV/0!</v>
      </c>
      <c r="Q402" s="2">
        <f t="shared" si="40"/>
        <v>0</v>
      </c>
      <c r="R402" s="2" t="e">
        <f t="shared" si="41"/>
        <v>#DIV/0!</v>
      </c>
      <c r="S402" s="2" t="e">
        <f t="shared" si="42"/>
        <v>#DIV/0!</v>
      </c>
    </row>
    <row r="403" spans="2:19" x14ac:dyDescent="0.25">
      <c r="B403" s="1">
        <f t="shared" si="43"/>
        <v>397</v>
      </c>
      <c r="O403" s="2">
        <f t="shared" si="38"/>
        <v>0</v>
      </c>
      <c r="P403" s="2" t="e">
        <f t="shared" si="39"/>
        <v>#DIV/0!</v>
      </c>
      <c r="Q403" s="2">
        <f t="shared" si="40"/>
        <v>0</v>
      </c>
      <c r="R403" s="2" t="e">
        <f t="shared" si="41"/>
        <v>#DIV/0!</v>
      </c>
      <c r="S403" s="2" t="e">
        <f t="shared" si="42"/>
        <v>#DIV/0!</v>
      </c>
    </row>
    <row r="404" spans="2:19" x14ac:dyDescent="0.25">
      <c r="B404" s="1">
        <f t="shared" si="43"/>
        <v>398</v>
      </c>
      <c r="O404" s="2">
        <f t="shared" si="38"/>
        <v>0</v>
      </c>
      <c r="P404" s="2" t="e">
        <f t="shared" si="39"/>
        <v>#DIV/0!</v>
      </c>
      <c r="Q404" s="2">
        <f t="shared" si="40"/>
        <v>0</v>
      </c>
      <c r="R404" s="2" t="e">
        <f t="shared" si="41"/>
        <v>#DIV/0!</v>
      </c>
      <c r="S404" s="2" t="e">
        <f t="shared" si="42"/>
        <v>#DIV/0!</v>
      </c>
    </row>
    <row r="405" spans="2:19" x14ac:dyDescent="0.25">
      <c r="B405" s="1">
        <f t="shared" si="43"/>
        <v>399</v>
      </c>
      <c r="O405" s="2">
        <f t="shared" si="38"/>
        <v>0</v>
      </c>
      <c r="P405" s="2" t="e">
        <f t="shared" si="39"/>
        <v>#DIV/0!</v>
      </c>
      <c r="Q405" s="2">
        <f t="shared" si="40"/>
        <v>0</v>
      </c>
      <c r="R405" s="2" t="e">
        <f t="shared" si="41"/>
        <v>#DIV/0!</v>
      </c>
      <c r="S405" s="2" t="e">
        <f t="shared" si="42"/>
        <v>#DIV/0!</v>
      </c>
    </row>
    <row r="406" spans="2:19" x14ac:dyDescent="0.25">
      <c r="B406" s="1">
        <f t="shared" si="43"/>
        <v>400</v>
      </c>
      <c r="O406" s="2">
        <f t="shared" si="38"/>
        <v>0</v>
      </c>
      <c r="P406" s="2" t="e">
        <f t="shared" si="39"/>
        <v>#DIV/0!</v>
      </c>
      <c r="Q406" s="2">
        <f t="shared" si="40"/>
        <v>0</v>
      </c>
      <c r="R406" s="2" t="e">
        <f t="shared" si="41"/>
        <v>#DIV/0!</v>
      </c>
      <c r="S406" s="2" t="e">
        <f t="shared" si="42"/>
        <v>#DIV/0!</v>
      </c>
    </row>
    <row r="407" spans="2:19" x14ac:dyDescent="0.25">
      <c r="B407" s="1">
        <f t="shared" si="43"/>
        <v>401</v>
      </c>
      <c r="O407" s="2">
        <f t="shared" si="38"/>
        <v>0</v>
      </c>
      <c r="P407" s="2" t="e">
        <f t="shared" si="39"/>
        <v>#DIV/0!</v>
      </c>
      <c r="Q407" s="2">
        <f t="shared" si="40"/>
        <v>0</v>
      </c>
      <c r="R407" s="2" t="e">
        <f t="shared" si="41"/>
        <v>#DIV/0!</v>
      </c>
      <c r="S407" s="2" t="e">
        <f t="shared" si="42"/>
        <v>#DIV/0!</v>
      </c>
    </row>
    <row r="408" spans="2:19" x14ac:dyDescent="0.25">
      <c r="B408" s="1">
        <f t="shared" si="43"/>
        <v>402</v>
      </c>
      <c r="O408" s="2">
        <f t="shared" si="38"/>
        <v>0</v>
      </c>
      <c r="P408" s="2" t="e">
        <f t="shared" si="39"/>
        <v>#DIV/0!</v>
      </c>
      <c r="Q408" s="2">
        <f t="shared" si="40"/>
        <v>0</v>
      </c>
      <c r="R408" s="2" t="e">
        <f t="shared" si="41"/>
        <v>#DIV/0!</v>
      </c>
      <c r="S408" s="2" t="e">
        <f t="shared" si="42"/>
        <v>#DIV/0!</v>
      </c>
    </row>
    <row r="409" spans="2:19" x14ac:dyDescent="0.25">
      <c r="B409" s="1">
        <f t="shared" si="43"/>
        <v>403</v>
      </c>
      <c r="O409" s="2">
        <f t="shared" si="38"/>
        <v>0</v>
      </c>
      <c r="P409" s="2" t="e">
        <f t="shared" si="39"/>
        <v>#DIV/0!</v>
      </c>
      <c r="Q409" s="2">
        <f t="shared" si="40"/>
        <v>0</v>
      </c>
      <c r="R409" s="2" t="e">
        <f t="shared" si="41"/>
        <v>#DIV/0!</v>
      </c>
      <c r="S409" s="2" t="e">
        <f t="shared" si="42"/>
        <v>#DIV/0!</v>
      </c>
    </row>
    <row r="410" spans="2:19" x14ac:dyDescent="0.25">
      <c r="B410" s="1">
        <f t="shared" si="43"/>
        <v>404</v>
      </c>
      <c r="O410" s="2">
        <f t="shared" si="38"/>
        <v>0</v>
      </c>
      <c r="P410" s="2" t="e">
        <f t="shared" si="39"/>
        <v>#DIV/0!</v>
      </c>
      <c r="Q410" s="2">
        <f t="shared" si="40"/>
        <v>0</v>
      </c>
      <c r="R410" s="2" t="e">
        <f t="shared" si="41"/>
        <v>#DIV/0!</v>
      </c>
      <c r="S410" s="2" t="e">
        <f t="shared" si="42"/>
        <v>#DIV/0!</v>
      </c>
    </row>
    <row r="411" spans="2:19" x14ac:dyDescent="0.25">
      <c r="B411" s="1">
        <f t="shared" si="43"/>
        <v>405</v>
      </c>
      <c r="O411" s="2">
        <f t="shared" si="38"/>
        <v>0</v>
      </c>
      <c r="P411" s="2" t="e">
        <f t="shared" si="39"/>
        <v>#DIV/0!</v>
      </c>
      <c r="Q411" s="2">
        <f t="shared" si="40"/>
        <v>0</v>
      </c>
      <c r="R411" s="2" t="e">
        <f t="shared" si="41"/>
        <v>#DIV/0!</v>
      </c>
      <c r="S411" s="2" t="e">
        <f t="shared" si="42"/>
        <v>#DIV/0!</v>
      </c>
    </row>
    <row r="412" spans="2:19" x14ac:dyDescent="0.25">
      <c r="B412" s="1">
        <f t="shared" si="43"/>
        <v>406</v>
      </c>
      <c r="O412" s="2">
        <f t="shared" si="38"/>
        <v>0</v>
      </c>
      <c r="P412" s="2" t="e">
        <f t="shared" si="39"/>
        <v>#DIV/0!</v>
      </c>
      <c r="Q412" s="2">
        <f t="shared" si="40"/>
        <v>0</v>
      </c>
      <c r="R412" s="2" t="e">
        <f t="shared" si="41"/>
        <v>#DIV/0!</v>
      </c>
      <c r="S412" s="2" t="e">
        <f t="shared" si="42"/>
        <v>#DIV/0!</v>
      </c>
    </row>
    <row r="413" spans="2:19" x14ac:dyDescent="0.25">
      <c r="B413" s="1">
        <f t="shared" si="43"/>
        <v>407</v>
      </c>
      <c r="O413" s="2">
        <f t="shared" si="38"/>
        <v>0</v>
      </c>
      <c r="P413" s="2" t="e">
        <f t="shared" si="39"/>
        <v>#DIV/0!</v>
      </c>
      <c r="Q413" s="2">
        <f t="shared" si="40"/>
        <v>0</v>
      </c>
      <c r="R413" s="2" t="e">
        <f t="shared" si="41"/>
        <v>#DIV/0!</v>
      </c>
      <c r="S413" s="2" t="e">
        <f t="shared" si="42"/>
        <v>#DIV/0!</v>
      </c>
    </row>
    <row r="414" spans="2:19" x14ac:dyDescent="0.25">
      <c r="B414" s="1">
        <f t="shared" si="43"/>
        <v>408</v>
      </c>
      <c r="O414" s="2">
        <f t="shared" si="38"/>
        <v>0</v>
      </c>
      <c r="P414" s="2" t="e">
        <f t="shared" si="39"/>
        <v>#DIV/0!</v>
      </c>
      <c r="Q414" s="2">
        <f t="shared" si="40"/>
        <v>0</v>
      </c>
      <c r="R414" s="2" t="e">
        <f t="shared" si="41"/>
        <v>#DIV/0!</v>
      </c>
      <c r="S414" s="2" t="e">
        <f t="shared" si="42"/>
        <v>#DIV/0!</v>
      </c>
    </row>
    <row r="415" spans="2:19" x14ac:dyDescent="0.25">
      <c r="B415" s="1">
        <f t="shared" si="43"/>
        <v>409</v>
      </c>
      <c r="O415" s="2">
        <f t="shared" si="38"/>
        <v>0</v>
      </c>
      <c r="P415" s="2" t="e">
        <f t="shared" si="39"/>
        <v>#DIV/0!</v>
      </c>
      <c r="Q415" s="2">
        <f t="shared" si="40"/>
        <v>0</v>
      </c>
      <c r="R415" s="2" t="e">
        <f t="shared" si="41"/>
        <v>#DIV/0!</v>
      </c>
      <c r="S415" s="2" t="e">
        <f t="shared" si="42"/>
        <v>#DIV/0!</v>
      </c>
    </row>
    <row r="416" spans="2:19" x14ac:dyDescent="0.25">
      <c r="B416" s="1">
        <f t="shared" si="43"/>
        <v>410</v>
      </c>
      <c r="O416" s="2">
        <f t="shared" si="38"/>
        <v>0</v>
      </c>
      <c r="P416" s="2" t="e">
        <f t="shared" si="39"/>
        <v>#DIV/0!</v>
      </c>
      <c r="Q416" s="2">
        <f t="shared" si="40"/>
        <v>0</v>
      </c>
      <c r="R416" s="2" t="e">
        <f t="shared" si="41"/>
        <v>#DIV/0!</v>
      </c>
      <c r="S416" s="2" t="e">
        <f t="shared" si="42"/>
        <v>#DIV/0!</v>
      </c>
    </row>
    <row r="417" spans="2:19" x14ac:dyDescent="0.25">
      <c r="B417" s="1">
        <f t="shared" si="43"/>
        <v>411</v>
      </c>
      <c r="O417" s="2">
        <f t="shared" si="38"/>
        <v>0</v>
      </c>
      <c r="P417" s="2" t="e">
        <f t="shared" si="39"/>
        <v>#DIV/0!</v>
      </c>
      <c r="Q417" s="2">
        <f t="shared" si="40"/>
        <v>0</v>
      </c>
      <c r="R417" s="2" t="e">
        <f t="shared" si="41"/>
        <v>#DIV/0!</v>
      </c>
      <c r="S417" s="2" t="e">
        <f t="shared" si="42"/>
        <v>#DIV/0!</v>
      </c>
    </row>
    <row r="418" spans="2:19" x14ac:dyDescent="0.25">
      <c r="B418" s="1">
        <f t="shared" si="43"/>
        <v>412</v>
      </c>
      <c r="O418" s="2">
        <f t="shared" si="38"/>
        <v>0</v>
      </c>
      <c r="P418" s="2" t="e">
        <f t="shared" si="39"/>
        <v>#DIV/0!</v>
      </c>
      <c r="Q418" s="2">
        <f t="shared" si="40"/>
        <v>0</v>
      </c>
      <c r="R418" s="2" t="e">
        <f t="shared" si="41"/>
        <v>#DIV/0!</v>
      </c>
      <c r="S418" s="2" t="e">
        <f t="shared" si="42"/>
        <v>#DIV/0!</v>
      </c>
    </row>
    <row r="419" spans="2:19" x14ac:dyDescent="0.25">
      <c r="B419" s="1">
        <f t="shared" si="43"/>
        <v>413</v>
      </c>
      <c r="O419" s="2">
        <f t="shared" si="38"/>
        <v>0</v>
      </c>
      <c r="P419" s="2" t="e">
        <f t="shared" si="39"/>
        <v>#DIV/0!</v>
      </c>
      <c r="Q419" s="2">
        <f t="shared" si="40"/>
        <v>0</v>
      </c>
      <c r="R419" s="2" t="e">
        <f t="shared" si="41"/>
        <v>#DIV/0!</v>
      </c>
      <c r="S419" s="2" t="e">
        <f t="shared" si="42"/>
        <v>#DIV/0!</v>
      </c>
    </row>
    <row r="420" spans="2:19" x14ac:dyDescent="0.25">
      <c r="B420" s="1">
        <f t="shared" si="43"/>
        <v>414</v>
      </c>
      <c r="O420" s="2">
        <f t="shared" si="38"/>
        <v>0</v>
      </c>
      <c r="P420" s="2" t="e">
        <f t="shared" si="39"/>
        <v>#DIV/0!</v>
      </c>
      <c r="Q420" s="2">
        <f t="shared" si="40"/>
        <v>0</v>
      </c>
      <c r="R420" s="2" t="e">
        <f t="shared" si="41"/>
        <v>#DIV/0!</v>
      </c>
      <c r="S420" s="2" t="e">
        <f t="shared" si="42"/>
        <v>#DIV/0!</v>
      </c>
    </row>
    <row r="421" spans="2:19" x14ac:dyDescent="0.25">
      <c r="B421" s="1">
        <f t="shared" si="43"/>
        <v>415</v>
      </c>
      <c r="O421" s="2">
        <f t="shared" si="38"/>
        <v>0</v>
      </c>
      <c r="P421" s="2" t="e">
        <f t="shared" si="39"/>
        <v>#DIV/0!</v>
      </c>
      <c r="Q421" s="2">
        <f t="shared" si="40"/>
        <v>0</v>
      </c>
      <c r="R421" s="2" t="e">
        <f t="shared" si="41"/>
        <v>#DIV/0!</v>
      </c>
      <c r="S421" s="2" t="e">
        <f t="shared" si="42"/>
        <v>#DIV/0!</v>
      </c>
    </row>
    <row r="422" spans="2:19" x14ac:dyDescent="0.25">
      <c r="B422" s="1">
        <f t="shared" si="43"/>
        <v>416</v>
      </c>
      <c r="O422" s="2">
        <f t="shared" si="38"/>
        <v>0</v>
      </c>
      <c r="P422" s="2" t="e">
        <f t="shared" si="39"/>
        <v>#DIV/0!</v>
      </c>
      <c r="Q422" s="2">
        <f t="shared" si="40"/>
        <v>0</v>
      </c>
      <c r="R422" s="2" t="e">
        <f t="shared" si="41"/>
        <v>#DIV/0!</v>
      </c>
      <c r="S422" s="2" t="e">
        <f t="shared" si="42"/>
        <v>#DIV/0!</v>
      </c>
    </row>
    <row r="423" spans="2:19" x14ac:dyDescent="0.25">
      <c r="B423" s="1">
        <f t="shared" si="43"/>
        <v>417</v>
      </c>
      <c r="O423" s="2">
        <f t="shared" si="38"/>
        <v>0</v>
      </c>
      <c r="P423" s="2" t="e">
        <f t="shared" si="39"/>
        <v>#DIV/0!</v>
      </c>
      <c r="Q423" s="2">
        <f t="shared" si="40"/>
        <v>0</v>
      </c>
      <c r="R423" s="2" t="e">
        <f t="shared" si="41"/>
        <v>#DIV/0!</v>
      </c>
      <c r="S423" s="2" t="e">
        <f t="shared" si="42"/>
        <v>#DIV/0!</v>
      </c>
    </row>
    <row r="424" spans="2:19" x14ac:dyDescent="0.25">
      <c r="B424" s="1">
        <f t="shared" si="43"/>
        <v>418</v>
      </c>
      <c r="O424" s="2">
        <f t="shared" si="38"/>
        <v>0</v>
      </c>
      <c r="P424" s="2" t="e">
        <f t="shared" si="39"/>
        <v>#DIV/0!</v>
      </c>
      <c r="Q424" s="2">
        <f t="shared" si="40"/>
        <v>0</v>
      </c>
      <c r="R424" s="2" t="e">
        <f t="shared" si="41"/>
        <v>#DIV/0!</v>
      </c>
      <c r="S424" s="2" t="e">
        <f t="shared" si="42"/>
        <v>#DIV/0!</v>
      </c>
    </row>
    <row r="425" spans="2:19" x14ac:dyDescent="0.25">
      <c r="B425" s="1">
        <f t="shared" si="43"/>
        <v>419</v>
      </c>
      <c r="O425" s="2">
        <f t="shared" si="38"/>
        <v>0</v>
      </c>
      <c r="P425" s="2" t="e">
        <f t="shared" si="39"/>
        <v>#DIV/0!</v>
      </c>
      <c r="Q425" s="2">
        <f t="shared" si="40"/>
        <v>0</v>
      </c>
      <c r="R425" s="2" t="e">
        <f t="shared" si="41"/>
        <v>#DIV/0!</v>
      </c>
      <c r="S425" s="2" t="e">
        <f t="shared" si="42"/>
        <v>#DIV/0!</v>
      </c>
    </row>
    <row r="426" spans="2:19" x14ac:dyDescent="0.25">
      <c r="B426" s="1">
        <f t="shared" si="43"/>
        <v>420</v>
      </c>
      <c r="O426" s="2">
        <f t="shared" si="38"/>
        <v>0</v>
      </c>
      <c r="P426" s="2" t="e">
        <f t="shared" si="39"/>
        <v>#DIV/0!</v>
      </c>
      <c r="Q426" s="2">
        <f t="shared" si="40"/>
        <v>0</v>
      </c>
      <c r="R426" s="2" t="e">
        <f t="shared" si="41"/>
        <v>#DIV/0!</v>
      </c>
      <c r="S426" s="2" t="e">
        <f t="shared" si="42"/>
        <v>#DIV/0!</v>
      </c>
    </row>
    <row r="427" spans="2:19" x14ac:dyDescent="0.25">
      <c r="B427" s="1">
        <f t="shared" si="43"/>
        <v>421</v>
      </c>
      <c r="O427" s="2">
        <f t="shared" si="38"/>
        <v>0</v>
      </c>
      <c r="P427" s="2" t="e">
        <f t="shared" si="39"/>
        <v>#DIV/0!</v>
      </c>
      <c r="Q427" s="2">
        <f t="shared" si="40"/>
        <v>0</v>
      </c>
      <c r="R427" s="2" t="e">
        <f t="shared" si="41"/>
        <v>#DIV/0!</v>
      </c>
      <c r="S427" s="2" t="e">
        <f t="shared" si="42"/>
        <v>#DIV/0!</v>
      </c>
    </row>
    <row r="428" spans="2:19" x14ac:dyDescent="0.25">
      <c r="B428" s="1">
        <f t="shared" si="43"/>
        <v>422</v>
      </c>
      <c r="O428" s="2">
        <f t="shared" si="38"/>
        <v>0</v>
      </c>
      <c r="P428" s="2" t="e">
        <f t="shared" si="39"/>
        <v>#DIV/0!</v>
      </c>
      <c r="Q428" s="2">
        <f t="shared" si="40"/>
        <v>0</v>
      </c>
      <c r="R428" s="2" t="e">
        <f t="shared" si="41"/>
        <v>#DIV/0!</v>
      </c>
      <c r="S428" s="2" t="e">
        <f t="shared" si="42"/>
        <v>#DIV/0!</v>
      </c>
    </row>
    <row r="429" spans="2:19" x14ac:dyDescent="0.25">
      <c r="B429" s="1">
        <f t="shared" si="43"/>
        <v>423</v>
      </c>
      <c r="O429" s="2">
        <f t="shared" si="38"/>
        <v>0</v>
      </c>
      <c r="P429" s="2" t="e">
        <f t="shared" si="39"/>
        <v>#DIV/0!</v>
      </c>
      <c r="Q429" s="2">
        <f t="shared" si="40"/>
        <v>0</v>
      </c>
      <c r="R429" s="2" t="e">
        <f t="shared" si="41"/>
        <v>#DIV/0!</v>
      </c>
      <c r="S429" s="2" t="e">
        <f t="shared" si="42"/>
        <v>#DIV/0!</v>
      </c>
    </row>
    <row r="430" spans="2:19" x14ac:dyDescent="0.25">
      <c r="B430" s="1">
        <f t="shared" si="43"/>
        <v>424</v>
      </c>
      <c r="O430" s="2">
        <f t="shared" si="38"/>
        <v>0</v>
      </c>
      <c r="P430" s="2" t="e">
        <f t="shared" si="39"/>
        <v>#DIV/0!</v>
      </c>
      <c r="Q430" s="2">
        <f t="shared" si="40"/>
        <v>0</v>
      </c>
      <c r="R430" s="2" t="e">
        <f t="shared" si="41"/>
        <v>#DIV/0!</v>
      </c>
      <c r="S430" s="2" t="e">
        <f t="shared" si="42"/>
        <v>#DIV/0!</v>
      </c>
    </row>
    <row r="431" spans="2:19" x14ac:dyDescent="0.25">
      <c r="B431" s="1">
        <f t="shared" si="43"/>
        <v>425</v>
      </c>
      <c r="O431" s="2">
        <f t="shared" si="38"/>
        <v>0</v>
      </c>
      <c r="P431" s="2" t="e">
        <f t="shared" si="39"/>
        <v>#DIV/0!</v>
      </c>
      <c r="Q431" s="2">
        <f t="shared" si="40"/>
        <v>0</v>
      </c>
      <c r="R431" s="2" t="e">
        <f t="shared" si="41"/>
        <v>#DIV/0!</v>
      </c>
      <c r="S431" s="2" t="e">
        <f t="shared" si="42"/>
        <v>#DIV/0!</v>
      </c>
    </row>
    <row r="432" spans="2:19" x14ac:dyDescent="0.25">
      <c r="B432" s="1">
        <f t="shared" si="43"/>
        <v>426</v>
      </c>
      <c r="O432" s="2">
        <f t="shared" si="38"/>
        <v>0</v>
      </c>
      <c r="P432" s="2" t="e">
        <f t="shared" si="39"/>
        <v>#DIV/0!</v>
      </c>
      <c r="Q432" s="2">
        <f t="shared" si="40"/>
        <v>0</v>
      </c>
      <c r="R432" s="2" t="e">
        <f t="shared" si="41"/>
        <v>#DIV/0!</v>
      </c>
      <c r="S432" s="2" t="e">
        <f t="shared" si="42"/>
        <v>#DIV/0!</v>
      </c>
    </row>
    <row r="433" spans="2:19" x14ac:dyDescent="0.25">
      <c r="B433" s="1">
        <f t="shared" si="43"/>
        <v>427</v>
      </c>
      <c r="O433" s="2">
        <f t="shared" si="38"/>
        <v>0</v>
      </c>
      <c r="P433" s="2" t="e">
        <f t="shared" si="39"/>
        <v>#DIV/0!</v>
      </c>
      <c r="Q433" s="2">
        <f t="shared" si="40"/>
        <v>0</v>
      </c>
      <c r="R433" s="2" t="e">
        <f t="shared" si="41"/>
        <v>#DIV/0!</v>
      </c>
      <c r="S433" s="2" t="e">
        <f t="shared" si="42"/>
        <v>#DIV/0!</v>
      </c>
    </row>
    <row r="434" spans="2:19" x14ac:dyDescent="0.25">
      <c r="B434" s="1">
        <f t="shared" si="43"/>
        <v>428</v>
      </c>
      <c r="O434" s="2">
        <f t="shared" si="38"/>
        <v>0</v>
      </c>
      <c r="P434" s="2" t="e">
        <f t="shared" si="39"/>
        <v>#DIV/0!</v>
      </c>
      <c r="Q434" s="2">
        <f t="shared" si="40"/>
        <v>0</v>
      </c>
      <c r="R434" s="2" t="e">
        <f t="shared" si="41"/>
        <v>#DIV/0!</v>
      </c>
      <c r="S434" s="2" t="e">
        <f t="shared" si="42"/>
        <v>#DIV/0!</v>
      </c>
    </row>
    <row r="435" spans="2:19" x14ac:dyDescent="0.25">
      <c r="B435" s="1">
        <f t="shared" si="43"/>
        <v>429</v>
      </c>
      <c r="O435" s="2">
        <f t="shared" si="38"/>
        <v>0</v>
      </c>
      <c r="P435" s="2" t="e">
        <f t="shared" si="39"/>
        <v>#DIV/0!</v>
      </c>
      <c r="Q435" s="2">
        <f t="shared" si="40"/>
        <v>0</v>
      </c>
      <c r="R435" s="2" t="e">
        <f t="shared" si="41"/>
        <v>#DIV/0!</v>
      </c>
      <c r="S435" s="2" t="e">
        <f t="shared" si="42"/>
        <v>#DIV/0!</v>
      </c>
    </row>
    <row r="436" spans="2:19" x14ac:dyDescent="0.25">
      <c r="B436" s="1">
        <f t="shared" si="43"/>
        <v>430</v>
      </c>
      <c r="O436" s="2">
        <f t="shared" si="38"/>
        <v>0</v>
      </c>
      <c r="P436" s="2" t="e">
        <f t="shared" si="39"/>
        <v>#DIV/0!</v>
      </c>
      <c r="Q436" s="2">
        <f t="shared" si="40"/>
        <v>0</v>
      </c>
      <c r="R436" s="2" t="e">
        <f t="shared" si="41"/>
        <v>#DIV/0!</v>
      </c>
      <c r="S436" s="2" t="e">
        <f t="shared" si="42"/>
        <v>#DIV/0!</v>
      </c>
    </row>
    <row r="437" spans="2:19" x14ac:dyDescent="0.25">
      <c r="B437" s="1">
        <f t="shared" si="43"/>
        <v>431</v>
      </c>
      <c r="O437" s="2">
        <f t="shared" si="38"/>
        <v>0</v>
      </c>
      <c r="P437" s="2" t="e">
        <f t="shared" si="39"/>
        <v>#DIV/0!</v>
      </c>
      <c r="Q437" s="2">
        <f t="shared" si="40"/>
        <v>0</v>
      </c>
      <c r="R437" s="2" t="e">
        <f t="shared" si="41"/>
        <v>#DIV/0!</v>
      </c>
      <c r="S437" s="2" t="e">
        <f t="shared" si="42"/>
        <v>#DIV/0!</v>
      </c>
    </row>
    <row r="438" spans="2:19" x14ac:dyDescent="0.25">
      <c r="B438" s="1">
        <f t="shared" si="43"/>
        <v>432</v>
      </c>
      <c r="O438" s="2">
        <f t="shared" si="38"/>
        <v>0</v>
      </c>
      <c r="P438" s="2" t="e">
        <f t="shared" si="39"/>
        <v>#DIV/0!</v>
      </c>
      <c r="Q438" s="2">
        <f t="shared" si="40"/>
        <v>0</v>
      </c>
      <c r="R438" s="2" t="e">
        <f t="shared" si="41"/>
        <v>#DIV/0!</v>
      </c>
      <c r="S438" s="2" t="e">
        <f t="shared" si="42"/>
        <v>#DIV/0!</v>
      </c>
    </row>
    <row r="439" spans="2:19" x14ac:dyDescent="0.25">
      <c r="B439" s="1">
        <f t="shared" si="43"/>
        <v>433</v>
      </c>
      <c r="O439" s="2">
        <f t="shared" si="38"/>
        <v>0</v>
      </c>
      <c r="P439" s="2" t="e">
        <f t="shared" si="39"/>
        <v>#DIV/0!</v>
      </c>
      <c r="Q439" s="2">
        <f t="shared" si="40"/>
        <v>0</v>
      </c>
      <c r="R439" s="2" t="e">
        <f t="shared" si="41"/>
        <v>#DIV/0!</v>
      </c>
      <c r="S439" s="2" t="e">
        <f t="shared" si="42"/>
        <v>#DIV/0!</v>
      </c>
    </row>
    <row r="440" spans="2:19" x14ac:dyDescent="0.25">
      <c r="B440" s="1">
        <f t="shared" si="43"/>
        <v>434</v>
      </c>
      <c r="O440" s="2">
        <f t="shared" si="38"/>
        <v>0</v>
      </c>
      <c r="P440" s="2" t="e">
        <f t="shared" si="39"/>
        <v>#DIV/0!</v>
      </c>
      <c r="Q440" s="2">
        <f t="shared" si="40"/>
        <v>0</v>
      </c>
      <c r="R440" s="2" t="e">
        <f t="shared" si="41"/>
        <v>#DIV/0!</v>
      </c>
      <c r="S440" s="2" t="e">
        <f t="shared" si="42"/>
        <v>#DIV/0!</v>
      </c>
    </row>
    <row r="441" spans="2:19" x14ac:dyDescent="0.25">
      <c r="B441" s="1">
        <f t="shared" si="43"/>
        <v>435</v>
      </c>
      <c r="O441" s="2">
        <f t="shared" si="38"/>
        <v>0</v>
      </c>
      <c r="P441" s="2" t="e">
        <f t="shared" si="39"/>
        <v>#DIV/0!</v>
      </c>
      <c r="Q441" s="2">
        <f t="shared" si="40"/>
        <v>0</v>
      </c>
      <c r="R441" s="2" t="e">
        <f t="shared" si="41"/>
        <v>#DIV/0!</v>
      </c>
      <c r="S441" s="2" t="e">
        <f t="shared" si="42"/>
        <v>#DIV/0!</v>
      </c>
    </row>
    <row r="442" spans="2:19" x14ac:dyDescent="0.25">
      <c r="B442" s="1">
        <f t="shared" si="43"/>
        <v>436</v>
      </c>
      <c r="O442" s="2">
        <f t="shared" si="38"/>
        <v>0</v>
      </c>
      <c r="P442" s="2" t="e">
        <f t="shared" si="39"/>
        <v>#DIV/0!</v>
      </c>
      <c r="Q442" s="2">
        <f t="shared" si="40"/>
        <v>0</v>
      </c>
      <c r="R442" s="2" t="e">
        <f t="shared" si="41"/>
        <v>#DIV/0!</v>
      </c>
      <c r="S442" s="2" t="e">
        <f t="shared" si="42"/>
        <v>#DIV/0!</v>
      </c>
    </row>
    <row r="443" spans="2:19" x14ac:dyDescent="0.25">
      <c r="B443" s="1">
        <f t="shared" si="43"/>
        <v>437</v>
      </c>
      <c r="O443" s="2">
        <f t="shared" si="38"/>
        <v>0</v>
      </c>
      <c r="P443" s="2" t="e">
        <f t="shared" si="39"/>
        <v>#DIV/0!</v>
      </c>
      <c r="Q443" s="2">
        <f t="shared" si="40"/>
        <v>0</v>
      </c>
      <c r="R443" s="2" t="e">
        <f t="shared" si="41"/>
        <v>#DIV/0!</v>
      </c>
      <c r="S443" s="2" t="e">
        <f t="shared" si="42"/>
        <v>#DIV/0!</v>
      </c>
    </row>
    <row r="444" spans="2:19" x14ac:dyDescent="0.25">
      <c r="B444" s="1">
        <f t="shared" si="43"/>
        <v>438</v>
      </c>
      <c r="O444" s="2">
        <f t="shared" si="38"/>
        <v>0</v>
      </c>
      <c r="P444" s="2" t="e">
        <f t="shared" si="39"/>
        <v>#DIV/0!</v>
      </c>
      <c r="Q444" s="2">
        <f t="shared" si="40"/>
        <v>0</v>
      </c>
      <c r="R444" s="2" t="e">
        <f t="shared" si="41"/>
        <v>#DIV/0!</v>
      </c>
      <c r="S444" s="2" t="e">
        <f t="shared" si="42"/>
        <v>#DIV/0!</v>
      </c>
    </row>
    <row r="445" spans="2:19" x14ac:dyDescent="0.25">
      <c r="B445" s="1">
        <f t="shared" si="43"/>
        <v>439</v>
      </c>
      <c r="O445" s="2">
        <f t="shared" si="38"/>
        <v>0</v>
      </c>
      <c r="P445" s="2" t="e">
        <f t="shared" si="39"/>
        <v>#DIV/0!</v>
      </c>
      <c r="Q445" s="2">
        <f t="shared" si="40"/>
        <v>0</v>
      </c>
      <c r="R445" s="2" t="e">
        <f t="shared" si="41"/>
        <v>#DIV/0!</v>
      </c>
      <c r="S445" s="2" t="e">
        <f t="shared" si="42"/>
        <v>#DIV/0!</v>
      </c>
    </row>
    <row r="446" spans="2:19" x14ac:dyDescent="0.25">
      <c r="B446" s="1">
        <f t="shared" si="43"/>
        <v>440</v>
      </c>
      <c r="O446" s="2">
        <f t="shared" si="38"/>
        <v>0</v>
      </c>
      <c r="P446" s="2" t="e">
        <f t="shared" si="39"/>
        <v>#DIV/0!</v>
      </c>
      <c r="Q446" s="2">
        <f t="shared" si="40"/>
        <v>0</v>
      </c>
      <c r="R446" s="2" t="e">
        <f t="shared" si="41"/>
        <v>#DIV/0!</v>
      </c>
      <c r="S446" s="2" t="e">
        <f t="shared" si="42"/>
        <v>#DIV/0!</v>
      </c>
    </row>
    <row r="447" spans="2:19" x14ac:dyDescent="0.25">
      <c r="B447" s="1">
        <f t="shared" si="43"/>
        <v>441</v>
      </c>
      <c r="O447" s="2">
        <f t="shared" si="38"/>
        <v>0</v>
      </c>
      <c r="P447" s="2" t="e">
        <f t="shared" si="39"/>
        <v>#DIV/0!</v>
      </c>
      <c r="Q447" s="2">
        <f t="shared" si="40"/>
        <v>0</v>
      </c>
      <c r="R447" s="2" t="e">
        <f t="shared" si="41"/>
        <v>#DIV/0!</v>
      </c>
      <c r="S447" s="2" t="e">
        <f t="shared" si="42"/>
        <v>#DIV/0!</v>
      </c>
    </row>
    <row r="448" spans="2:19" x14ac:dyDescent="0.25">
      <c r="B448" s="1">
        <f t="shared" si="43"/>
        <v>442</v>
      </c>
      <c r="O448" s="2">
        <f t="shared" si="38"/>
        <v>0</v>
      </c>
      <c r="P448" s="2" t="e">
        <f t="shared" si="39"/>
        <v>#DIV/0!</v>
      </c>
      <c r="Q448" s="2">
        <f t="shared" si="40"/>
        <v>0</v>
      </c>
      <c r="R448" s="2" t="e">
        <f t="shared" si="41"/>
        <v>#DIV/0!</v>
      </c>
      <c r="S448" s="2" t="e">
        <f t="shared" si="42"/>
        <v>#DIV/0!</v>
      </c>
    </row>
    <row r="449" spans="2:19" x14ac:dyDescent="0.25">
      <c r="B449" s="1">
        <f t="shared" si="43"/>
        <v>443</v>
      </c>
      <c r="O449" s="2">
        <f t="shared" si="38"/>
        <v>0</v>
      </c>
      <c r="P449" s="2" t="e">
        <f t="shared" si="39"/>
        <v>#DIV/0!</v>
      </c>
      <c r="Q449" s="2">
        <f t="shared" si="40"/>
        <v>0</v>
      </c>
      <c r="R449" s="2" t="e">
        <f t="shared" si="41"/>
        <v>#DIV/0!</v>
      </c>
      <c r="S449" s="2" t="e">
        <f t="shared" si="42"/>
        <v>#DIV/0!</v>
      </c>
    </row>
    <row r="450" spans="2:19" x14ac:dyDescent="0.25">
      <c r="B450" s="1">
        <f t="shared" si="43"/>
        <v>444</v>
      </c>
      <c r="O450" s="2">
        <f t="shared" si="38"/>
        <v>0</v>
      </c>
      <c r="P450" s="2" t="e">
        <f t="shared" si="39"/>
        <v>#DIV/0!</v>
      </c>
      <c r="Q450" s="2">
        <f t="shared" si="40"/>
        <v>0</v>
      </c>
      <c r="R450" s="2" t="e">
        <f t="shared" si="41"/>
        <v>#DIV/0!</v>
      </c>
      <c r="S450" s="2" t="e">
        <f t="shared" si="42"/>
        <v>#DIV/0!</v>
      </c>
    </row>
    <row r="451" spans="2:19" x14ac:dyDescent="0.25">
      <c r="B451" s="1">
        <f t="shared" si="43"/>
        <v>445</v>
      </c>
      <c r="O451" s="2">
        <f t="shared" si="38"/>
        <v>0</v>
      </c>
      <c r="P451" s="2" t="e">
        <f t="shared" si="39"/>
        <v>#DIV/0!</v>
      </c>
      <c r="Q451" s="2">
        <f t="shared" si="40"/>
        <v>0</v>
      </c>
      <c r="R451" s="2" t="e">
        <f t="shared" si="41"/>
        <v>#DIV/0!</v>
      </c>
      <c r="S451" s="2" t="e">
        <f t="shared" si="42"/>
        <v>#DIV/0!</v>
      </c>
    </row>
    <row r="452" spans="2:19" x14ac:dyDescent="0.25">
      <c r="B452" s="1">
        <f t="shared" si="43"/>
        <v>446</v>
      </c>
      <c r="O452" s="2">
        <f t="shared" si="38"/>
        <v>0</v>
      </c>
      <c r="P452" s="2" t="e">
        <f t="shared" si="39"/>
        <v>#DIV/0!</v>
      </c>
      <c r="Q452" s="2">
        <f t="shared" si="40"/>
        <v>0</v>
      </c>
      <c r="R452" s="2" t="e">
        <f t="shared" si="41"/>
        <v>#DIV/0!</v>
      </c>
      <c r="S452" s="2" t="e">
        <f t="shared" si="42"/>
        <v>#DIV/0!</v>
      </c>
    </row>
    <row r="453" spans="2:19" x14ac:dyDescent="0.25">
      <c r="B453" s="1">
        <f t="shared" si="43"/>
        <v>447</v>
      </c>
      <c r="O453" s="2">
        <f t="shared" si="38"/>
        <v>0</v>
      </c>
      <c r="P453" s="2" t="e">
        <f t="shared" si="39"/>
        <v>#DIV/0!</v>
      </c>
      <c r="Q453" s="2">
        <f t="shared" si="40"/>
        <v>0</v>
      </c>
      <c r="R453" s="2" t="e">
        <f t="shared" si="41"/>
        <v>#DIV/0!</v>
      </c>
      <c r="S453" s="2" t="e">
        <f t="shared" si="42"/>
        <v>#DIV/0!</v>
      </c>
    </row>
    <row r="454" spans="2:19" x14ac:dyDescent="0.25">
      <c r="B454" s="1">
        <f t="shared" si="43"/>
        <v>448</v>
      </c>
      <c r="O454" s="2">
        <f t="shared" si="38"/>
        <v>0</v>
      </c>
      <c r="P454" s="2" t="e">
        <f t="shared" si="39"/>
        <v>#DIV/0!</v>
      </c>
      <c r="Q454" s="2">
        <f t="shared" si="40"/>
        <v>0</v>
      </c>
      <c r="R454" s="2" t="e">
        <f t="shared" si="41"/>
        <v>#DIV/0!</v>
      </c>
      <c r="S454" s="2" t="e">
        <f t="shared" si="42"/>
        <v>#DIV/0!</v>
      </c>
    </row>
    <row r="455" spans="2:19" x14ac:dyDescent="0.25">
      <c r="B455" s="1">
        <f t="shared" si="43"/>
        <v>449</v>
      </c>
      <c r="O455" s="2">
        <f t="shared" si="38"/>
        <v>0</v>
      </c>
      <c r="P455" s="2" t="e">
        <f t="shared" si="39"/>
        <v>#DIV/0!</v>
      </c>
      <c r="Q455" s="2">
        <f t="shared" si="40"/>
        <v>0</v>
      </c>
      <c r="R455" s="2" t="e">
        <f t="shared" si="41"/>
        <v>#DIV/0!</v>
      </c>
      <c r="S455" s="2" t="e">
        <f t="shared" si="42"/>
        <v>#DIV/0!</v>
      </c>
    </row>
    <row r="456" spans="2:19" x14ac:dyDescent="0.25">
      <c r="B456" s="1">
        <f t="shared" si="43"/>
        <v>450</v>
      </c>
      <c r="O456" s="2">
        <f t="shared" ref="O456:O519" si="44">M456-$X$23</f>
        <v>0</v>
      </c>
      <c r="P456" s="2" t="e">
        <f t="shared" ref="P456:P519" si="45">O456*$AC$21+$Y$23</f>
        <v>#DIV/0!</v>
      </c>
      <c r="Q456" s="2">
        <f t="shared" ref="Q456:Q519" si="46">((D456+D457)/2)*(M457-M456)</f>
        <v>0</v>
      </c>
      <c r="R456" s="2" t="e">
        <f t="shared" ref="R456:R519" si="47">((P456+P457)/2)*(O457-O456)</f>
        <v>#DIV/0!</v>
      </c>
      <c r="S456" s="2" t="e">
        <f t="shared" ref="S456:S519" si="48">Q456-R456</f>
        <v>#DIV/0!</v>
      </c>
    </row>
    <row r="457" spans="2:19" x14ac:dyDescent="0.25">
      <c r="B457" s="1">
        <f t="shared" ref="B457:B520" si="49">B456+1</f>
        <v>451</v>
      </c>
      <c r="O457" s="2">
        <f t="shared" si="44"/>
        <v>0</v>
      </c>
      <c r="P457" s="2" t="e">
        <f t="shared" si="45"/>
        <v>#DIV/0!</v>
      </c>
      <c r="Q457" s="2">
        <f t="shared" si="46"/>
        <v>0</v>
      </c>
      <c r="R457" s="2" t="e">
        <f t="shared" si="47"/>
        <v>#DIV/0!</v>
      </c>
      <c r="S457" s="2" t="e">
        <f t="shared" si="48"/>
        <v>#DIV/0!</v>
      </c>
    </row>
    <row r="458" spans="2:19" x14ac:dyDescent="0.25">
      <c r="B458" s="1">
        <f t="shared" si="49"/>
        <v>452</v>
      </c>
      <c r="O458" s="2">
        <f t="shared" si="44"/>
        <v>0</v>
      </c>
      <c r="P458" s="2" t="e">
        <f t="shared" si="45"/>
        <v>#DIV/0!</v>
      </c>
      <c r="Q458" s="2">
        <f t="shared" si="46"/>
        <v>0</v>
      </c>
      <c r="R458" s="2" t="e">
        <f t="shared" si="47"/>
        <v>#DIV/0!</v>
      </c>
      <c r="S458" s="2" t="e">
        <f t="shared" si="48"/>
        <v>#DIV/0!</v>
      </c>
    </row>
    <row r="459" spans="2:19" x14ac:dyDescent="0.25">
      <c r="B459" s="1">
        <f t="shared" si="49"/>
        <v>453</v>
      </c>
      <c r="O459" s="2">
        <f t="shared" si="44"/>
        <v>0</v>
      </c>
      <c r="P459" s="2" t="e">
        <f t="shared" si="45"/>
        <v>#DIV/0!</v>
      </c>
      <c r="Q459" s="2">
        <f t="shared" si="46"/>
        <v>0</v>
      </c>
      <c r="R459" s="2" t="e">
        <f t="shared" si="47"/>
        <v>#DIV/0!</v>
      </c>
      <c r="S459" s="2" t="e">
        <f t="shared" si="48"/>
        <v>#DIV/0!</v>
      </c>
    </row>
    <row r="460" spans="2:19" x14ac:dyDescent="0.25">
      <c r="B460" s="1">
        <f t="shared" si="49"/>
        <v>454</v>
      </c>
      <c r="O460" s="2">
        <f t="shared" si="44"/>
        <v>0</v>
      </c>
      <c r="P460" s="2" t="e">
        <f t="shared" si="45"/>
        <v>#DIV/0!</v>
      </c>
      <c r="Q460" s="2">
        <f t="shared" si="46"/>
        <v>0</v>
      </c>
      <c r="R460" s="2" t="e">
        <f t="shared" si="47"/>
        <v>#DIV/0!</v>
      </c>
      <c r="S460" s="2" t="e">
        <f t="shared" si="48"/>
        <v>#DIV/0!</v>
      </c>
    </row>
    <row r="461" spans="2:19" x14ac:dyDescent="0.25">
      <c r="B461" s="1">
        <f t="shared" si="49"/>
        <v>455</v>
      </c>
      <c r="O461" s="2">
        <f t="shared" si="44"/>
        <v>0</v>
      </c>
      <c r="P461" s="2" t="e">
        <f t="shared" si="45"/>
        <v>#DIV/0!</v>
      </c>
      <c r="Q461" s="2">
        <f t="shared" si="46"/>
        <v>0</v>
      </c>
      <c r="R461" s="2" t="e">
        <f t="shared" si="47"/>
        <v>#DIV/0!</v>
      </c>
      <c r="S461" s="2" t="e">
        <f t="shared" si="48"/>
        <v>#DIV/0!</v>
      </c>
    </row>
    <row r="462" spans="2:19" x14ac:dyDescent="0.25">
      <c r="B462" s="1">
        <f t="shared" si="49"/>
        <v>456</v>
      </c>
      <c r="O462" s="2">
        <f t="shared" si="44"/>
        <v>0</v>
      </c>
      <c r="P462" s="2" t="e">
        <f t="shared" si="45"/>
        <v>#DIV/0!</v>
      </c>
      <c r="Q462" s="2">
        <f t="shared" si="46"/>
        <v>0</v>
      </c>
      <c r="R462" s="2" t="e">
        <f t="shared" si="47"/>
        <v>#DIV/0!</v>
      </c>
      <c r="S462" s="2" t="e">
        <f t="shared" si="48"/>
        <v>#DIV/0!</v>
      </c>
    </row>
    <row r="463" spans="2:19" x14ac:dyDescent="0.25">
      <c r="B463" s="1">
        <f t="shared" si="49"/>
        <v>457</v>
      </c>
      <c r="O463" s="2">
        <f t="shared" si="44"/>
        <v>0</v>
      </c>
      <c r="P463" s="2" t="e">
        <f t="shared" si="45"/>
        <v>#DIV/0!</v>
      </c>
      <c r="Q463" s="2">
        <f t="shared" si="46"/>
        <v>0</v>
      </c>
      <c r="R463" s="2" t="e">
        <f t="shared" si="47"/>
        <v>#DIV/0!</v>
      </c>
      <c r="S463" s="2" t="e">
        <f t="shared" si="48"/>
        <v>#DIV/0!</v>
      </c>
    </row>
    <row r="464" spans="2:19" x14ac:dyDescent="0.25">
      <c r="B464" s="1">
        <f t="shared" si="49"/>
        <v>458</v>
      </c>
      <c r="O464" s="2">
        <f t="shared" si="44"/>
        <v>0</v>
      </c>
      <c r="P464" s="2" t="e">
        <f t="shared" si="45"/>
        <v>#DIV/0!</v>
      </c>
      <c r="Q464" s="2">
        <f t="shared" si="46"/>
        <v>0</v>
      </c>
      <c r="R464" s="2" t="e">
        <f t="shared" si="47"/>
        <v>#DIV/0!</v>
      </c>
      <c r="S464" s="2" t="e">
        <f t="shared" si="48"/>
        <v>#DIV/0!</v>
      </c>
    </row>
    <row r="465" spans="2:19" x14ac:dyDescent="0.25">
      <c r="B465" s="1">
        <f t="shared" si="49"/>
        <v>459</v>
      </c>
      <c r="O465" s="2">
        <f t="shared" si="44"/>
        <v>0</v>
      </c>
      <c r="P465" s="2" t="e">
        <f t="shared" si="45"/>
        <v>#DIV/0!</v>
      </c>
      <c r="Q465" s="2">
        <f t="shared" si="46"/>
        <v>0</v>
      </c>
      <c r="R465" s="2" t="e">
        <f t="shared" si="47"/>
        <v>#DIV/0!</v>
      </c>
      <c r="S465" s="2" t="e">
        <f t="shared" si="48"/>
        <v>#DIV/0!</v>
      </c>
    </row>
    <row r="466" spans="2:19" x14ac:dyDescent="0.25">
      <c r="B466" s="1">
        <f t="shared" si="49"/>
        <v>460</v>
      </c>
      <c r="O466" s="2">
        <f t="shared" si="44"/>
        <v>0</v>
      </c>
      <c r="P466" s="2" t="e">
        <f t="shared" si="45"/>
        <v>#DIV/0!</v>
      </c>
      <c r="Q466" s="2">
        <f t="shared" si="46"/>
        <v>0</v>
      </c>
      <c r="R466" s="2" t="e">
        <f t="shared" si="47"/>
        <v>#DIV/0!</v>
      </c>
      <c r="S466" s="2" t="e">
        <f t="shared" si="48"/>
        <v>#DIV/0!</v>
      </c>
    </row>
    <row r="467" spans="2:19" x14ac:dyDescent="0.25">
      <c r="B467" s="1">
        <f t="shared" si="49"/>
        <v>461</v>
      </c>
      <c r="O467" s="2">
        <f t="shared" si="44"/>
        <v>0</v>
      </c>
      <c r="P467" s="2" t="e">
        <f t="shared" si="45"/>
        <v>#DIV/0!</v>
      </c>
      <c r="Q467" s="2">
        <f t="shared" si="46"/>
        <v>0</v>
      </c>
      <c r="R467" s="2" t="e">
        <f t="shared" si="47"/>
        <v>#DIV/0!</v>
      </c>
      <c r="S467" s="2" t="e">
        <f t="shared" si="48"/>
        <v>#DIV/0!</v>
      </c>
    </row>
    <row r="468" spans="2:19" x14ac:dyDescent="0.25">
      <c r="B468" s="1">
        <f t="shared" si="49"/>
        <v>462</v>
      </c>
      <c r="O468" s="2">
        <f t="shared" si="44"/>
        <v>0</v>
      </c>
      <c r="P468" s="2" t="e">
        <f t="shared" si="45"/>
        <v>#DIV/0!</v>
      </c>
      <c r="Q468" s="2">
        <f t="shared" si="46"/>
        <v>0</v>
      </c>
      <c r="R468" s="2" t="e">
        <f t="shared" si="47"/>
        <v>#DIV/0!</v>
      </c>
      <c r="S468" s="2" t="e">
        <f t="shared" si="48"/>
        <v>#DIV/0!</v>
      </c>
    </row>
    <row r="469" spans="2:19" x14ac:dyDescent="0.25">
      <c r="B469" s="1">
        <f t="shared" si="49"/>
        <v>463</v>
      </c>
      <c r="O469" s="2">
        <f t="shared" si="44"/>
        <v>0</v>
      </c>
      <c r="P469" s="2" t="e">
        <f t="shared" si="45"/>
        <v>#DIV/0!</v>
      </c>
      <c r="Q469" s="2">
        <f t="shared" si="46"/>
        <v>0</v>
      </c>
      <c r="R469" s="2" t="e">
        <f t="shared" si="47"/>
        <v>#DIV/0!</v>
      </c>
      <c r="S469" s="2" t="e">
        <f t="shared" si="48"/>
        <v>#DIV/0!</v>
      </c>
    </row>
    <row r="470" spans="2:19" x14ac:dyDescent="0.25">
      <c r="B470" s="1">
        <f t="shared" si="49"/>
        <v>464</v>
      </c>
      <c r="O470" s="2">
        <f t="shared" si="44"/>
        <v>0</v>
      </c>
      <c r="P470" s="2" t="e">
        <f t="shared" si="45"/>
        <v>#DIV/0!</v>
      </c>
      <c r="Q470" s="2">
        <f t="shared" si="46"/>
        <v>0</v>
      </c>
      <c r="R470" s="2" t="e">
        <f t="shared" si="47"/>
        <v>#DIV/0!</v>
      </c>
      <c r="S470" s="2" t="e">
        <f t="shared" si="48"/>
        <v>#DIV/0!</v>
      </c>
    </row>
    <row r="471" spans="2:19" x14ac:dyDescent="0.25">
      <c r="B471" s="1">
        <f t="shared" si="49"/>
        <v>465</v>
      </c>
      <c r="O471" s="2">
        <f t="shared" si="44"/>
        <v>0</v>
      </c>
      <c r="P471" s="2" t="e">
        <f t="shared" si="45"/>
        <v>#DIV/0!</v>
      </c>
      <c r="Q471" s="2">
        <f t="shared" si="46"/>
        <v>0</v>
      </c>
      <c r="R471" s="2" t="e">
        <f t="shared" si="47"/>
        <v>#DIV/0!</v>
      </c>
      <c r="S471" s="2" t="e">
        <f t="shared" si="48"/>
        <v>#DIV/0!</v>
      </c>
    </row>
    <row r="472" spans="2:19" x14ac:dyDescent="0.25">
      <c r="B472" s="1">
        <f t="shared" si="49"/>
        <v>466</v>
      </c>
      <c r="O472" s="2">
        <f t="shared" si="44"/>
        <v>0</v>
      </c>
      <c r="P472" s="2" t="e">
        <f t="shared" si="45"/>
        <v>#DIV/0!</v>
      </c>
      <c r="Q472" s="2">
        <f t="shared" si="46"/>
        <v>0</v>
      </c>
      <c r="R472" s="2" t="e">
        <f t="shared" si="47"/>
        <v>#DIV/0!</v>
      </c>
      <c r="S472" s="2" t="e">
        <f t="shared" si="48"/>
        <v>#DIV/0!</v>
      </c>
    </row>
    <row r="473" spans="2:19" x14ac:dyDescent="0.25">
      <c r="B473" s="1">
        <f t="shared" si="49"/>
        <v>467</v>
      </c>
      <c r="O473" s="2">
        <f t="shared" si="44"/>
        <v>0</v>
      </c>
      <c r="P473" s="2" t="e">
        <f t="shared" si="45"/>
        <v>#DIV/0!</v>
      </c>
      <c r="Q473" s="2">
        <f t="shared" si="46"/>
        <v>0</v>
      </c>
      <c r="R473" s="2" t="e">
        <f t="shared" si="47"/>
        <v>#DIV/0!</v>
      </c>
      <c r="S473" s="2" t="e">
        <f t="shared" si="48"/>
        <v>#DIV/0!</v>
      </c>
    </row>
    <row r="474" spans="2:19" x14ac:dyDescent="0.25">
      <c r="B474" s="1">
        <f t="shared" si="49"/>
        <v>468</v>
      </c>
      <c r="O474" s="2">
        <f t="shared" si="44"/>
        <v>0</v>
      </c>
      <c r="P474" s="2" t="e">
        <f t="shared" si="45"/>
        <v>#DIV/0!</v>
      </c>
      <c r="Q474" s="2">
        <f t="shared" si="46"/>
        <v>0</v>
      </c>
      <c r="R474" s="2" t="e">
        <f t="shared" si="47"/>
        <v>#DIV/0!</v>
      </c>
      <c r="S474" s="2" t="e">
        <f t="shared" si="48"/>
        <v>#DIV/0!</v>
      </c>
    </row>
    <row r="475" spans="2:19" x14ac:dyDescent="0.25">
      <c r="B475" s="1">
        <f t="shared" si="49"/>
        <v>469</v>
      </c>
      <c r="O475" s="2">
        <f t="shared" si="44"/>
        <v>0</v>
      </c>
      <c r="P475" s="2" t="e">
        <f t="shared" si="45"/>
        <v>#DIV/0!</v>
      </c>
      <c r="Q475" s="2">
        <f t="shared" si="46"/>
        <v>0</v>
      </c>
      <c r="R475" s="2" t="e">
        <f t="shared" si="47"/>
        <v>#DIV/0!</v>
      </c>
      <c r="S475" s="2" t="e">
        <f t="shared" si="48"/>
        <v>#DIV/0!</v>
      </c>
    </row>
    <row r="476" spans="2:19" x14ac:dyDescent="0.25">
      <c r="B476" s="1">
        <f t="shared" si="49"/>
        <v>470</v>
      </c>
      <c r="O476" s="2">
        <f t="shared" si="44"/>
        <v>0</v>
      </c>
      <c r="P476" s="2" t="e">
        <f t="shared" si="45"/>
        <v>#DIV/0!</v>
      </c>
      <c r="Q476" s="2">
        <f t="shared" si="46"/>
        <v>0</v>
      </c>
      <c r="R476" s="2" t="e">
        <f t="shared" si="47"/>
        <v>#DIV/0!</v>
      </c>
      <c r="S476" s="2" t="e">
        <f t="shared" si="48"/>
        <v>#DIV/0!</v>
      </c>
    </row>
    <row r="477" spans="2:19" x14ac:dyDescent="0.25">
      <c r="B477" s="1">
        <f t="shared" si="49"/>
        <v>471</v>
      </c>
      <c r="O477" s="2">
        <f t="shared" si="44"/>
        <v>0</v>
      </c>
      <c r="P477" s="2" t="e">
        <f t="shared" si="45"/>
        <v>#DIV/0!</v>
      </c>
      <c r="Q477" s="2">
        <f t="shared" si="46"/>
        <v>0</v>
      </c>
      <c r="R477" s="2" t="e">
        <f t="shared" si="47"/>
        <v>#DIV/0!</v>
      </c>
      <c r="S477" s="2" t="e">
        <f t="shared" si="48"/>
        <v>#DIV/0!</v>
      </c>
    </row>
    <row r="478" spans="2:19" x14ac:dyDescent="0.25">
      <c r="B478" s="1">
        <f t="shared" si="49"/>
        <v>472</v>
      </c>
      <c r="O478" s="2">
        <f t="shared" si="44"/>
        <v>0</v>
      </c>
      <c r="P478" s="2" t="e">
        <f t="shared" si="45"/>
        <v>#DIV/0!</v>
      </c>
      <c r="Q478" s="2">
        <f t="shared" si="46"/>
        <v>0</v>
      </c>
      <c r="R478" s="2" t="e">
        <f t="shared" si="47"/>
        <v>#DIV/0!</v>
      </c>
      <c r="S478" s="2" t="e">
        <f t="shared" si="48"/>
        <v>#DIV/0!</v>
      </c>
    </row>
    <row r="479" spans="2:19" x14ac:dyDescent="0.25">
      <c r="B479" s="1">
        <f t="shared" si="49"/>
        <v>473</v>
      </c>
      <c r="O479" s="2">
        <f t="shared" si="44"/>
        <v>0</v>
      </c>
      <c r="P479" s="2" t="e">
        <f t="shared" si="45"/>
        <v>#DIV/0!</v>
      </c>
      <c r="Q479" s="2">
        <f t="shared" si="46"/>
        <v>0</v>
      </c>
      <c r="R479" s="2" t="e">
        <f t="shared" si="47"/>
        <v>#DIV/0!</v>
      </c>
      <c r="S479" s="2" t="e">
        <f t="shared" si="48"/>
        <v>#DIV/0!</v>
      </c>
    </row>
    <row r="480" spans="2:19" x14ac:dyDescent="0.25">
      <c r="B480" s="1">
        <f t="shared" si="49"/>
        <v>474</v>
      </c>
      <c r="O480" s="2">
        <f t="shared" si="44"/>
        <v>0</v>
      </c>
      <c r="P480" s="2" t="e">
        <f t="shared" si="45"/>
        <v>#DIV/0!</v>
      </c>
      <c r="Q480" s="2">
        <f t="shared" si="46"/>
        <v>0</v>
      </c>
      <c r="R480" s="2" t="e">
        <f t="shared" si="47"/>
        <v>#DIV/0!</v>
      </c>
      <c r="S480" s="2" t="e">
        <f t="shared" si="48"/>
        <v>#DIV/0!</v>
      </c>
    </row>
    <row r="481" spans="2:19" x14ac:dyDescent="0.25">
      <c r="B481" s="1">
        <f t="shared" si="49"/>
        <v>475</v>
      </c>
      <c r="O481" s="2">
        <f t="shared" si="44"/>
        <v>0</v>
      </c>
      <c r="P481" s="2" t="e">
        <f t="shared" si="45"/>
        <v>#DIV/0!</v>
      </c>
      <c r="Q481" s="2">
        <f t="shared" si="46"/>
        <v>0</v>
      </c>
      <c r="R481" s="2" t="e">
        <f t="shared" si="47"/>
        <v>#DIV/0!</v>
      </c>
      <c r="S481" s="2" t="e">
        <f t="shared" si="48"/>
        <v>#DIV/0!</v>
      </c>
    </row>
    <row r="482" spans="2:19" x14ac:dyDescent="0.25">
      <c r="B482" s="1">
        <f t="shared" si="49"/>
        <v>476</v>
      </c>
      <c r="O482" s="2">
        <f t="shared" si="44"/>
        <v>0</v>
      </c>
      <c r="P482" s="2" t="e">
        <f t="shared" si="45"/>
        <v>#DIV/0!</v>
      </c>
      <c r="Q482" s="2">
        <f t="shared" si="46"/>
        <v>0</v>
      </c>
      <c r="R482" s="2" t="e">
        <f t="shared" si="47"/>
        <v>#DIV/0!</v>
      </c>
      <c r="S482" s="2" t="e">
        <f t="shared" si="48"/>
        <v>#DIV/0!</v>
      </c>
    </row>
    <row r="483" spans="2:19" x14ac:dyDescent="0.25">
      <c r="B483" s="1">
        <f t="shared" si="49"/>
        <v>477</v>
      </c>
      <c r="O483" s="2">
        <f t="shared" si="44"/>
        <v>0</v>
      </c>
      <c r="P483" s="2" t="e">
        <f t="shared" si="45"/>
        <v>#DIV/0!</v>
      </c>
      <c r="Q483" s="2">
        <f t="shared" si="46"/>
        <v>0</v>
      </c>
      <c r="R483" s="2" t="e">
        <f t="shared" si="47"/>
        <v>#DIV/0!</v>
      </c>
      <c r="S483" s="2" t="e">
        <f t="shared" si="48"/>
        <v>#DIV/0!</v>
      </c>
    </row>
    <row r="484" spans="2:19" x14ac:dyDescent="0.25">
      <c r="B484" s="1">
        <f t="shared" si="49"/>
        <v>478</v>
      </c>
      <c r="O484" s="2">
        <f t="shared" si="44"/>
        <v>0</v>
      </c>
      <c r="P484" s="2" t="e">
        <f t="shared" si="45"/>
        <v>#DIV/0!</v>
      </c>
      <c r="Q484" s="2">
        <f t="shared" si="46"/>
        <v>0</v>
      </c>
      <c r="R484" s="2" t="e">
        <f t="shared" si="47"/>
        <v>#DIV/0!</v>
      </c>
      <c r="S484" s="2" t="e">
        <f t="shared" si="48"/>
        <v>#DIV/0!</v>
      </c>
    </row>
    <row r="485" spans="2:19" x14ac:dyDescent="0.25">
      <c r="B485" s="1">
        <f t="shared" si="49"/>
        <v>479</v>
      </c>
      <c r="O485" s="2">
        <f t="shared" si="44"/>
        <v>0</v>
      </c>
      <c r="P485" s="2" t="e">
        <f t="shared" si="45"/>
        <v>#DIV/0!</v>
      </c>
      <c r="Q485" s="2">
        <f t="shared" si="46"/>
        <v>0</v>
      </c>
      <c r="R485" s="2" t="e">
        <f t="shared" si="47"/>
        <v>#DIV/0!</v>
      </c>
      <c r="S485" s="2" t="e">
        <f t="shared" si="48"/>
        <v>#DIV/0!</v>
      </c>
    </row>
    <row r="486" spans="2:19" x14ac:dyDescent="0.25">
      <c r="B486" s="1">
        <f t="shared" si="49"/>
        <v>480</v>
      </c>
      <c r="O486" s="2">
        <f t="shared" si="44"/>
        <v>0</v>
      </c>
      <c r="P486" s="2" t="e">
        <f t="shared" si="45"/>
        <v>#DIV/0!</v>
      </c>
      <c r="Q486" s="2">
        <f t="shared" si="46"/>
        <v>0</v>
      </c>
      <c r="R486" s="2" t="e">
        <f t="shared" si="47"/>
        <v>#DIV/0!</v>
      </c>
      <c r="S486" s="2" t="e">
        <f t="shared" si="48"/>
        <v>#DIV/0!</v>
      </c>
    </row>
    <row r="487" spans="2:19" x14ac:dyDescent="0.25">
      <c r="B487" s="1">
        <f t="shared" si="49"/>
        <v>481</v>
      </c>
      <c r="O487" s="2">
        <f t="shared" si="44"/>
        <v>0</v>
      </c>
      <c r="P487" s="2" t="e">
        <f t="shared" si="45"/>
        <v>#DIV/0!</v>
      </c>
      <c r="Q487" s="2">
        <f t="shared" si="46"/>
        <v>0</v>
      </c>
      <c r="R487" s="2" t="e">
        <f t="shared" si="47"/>
        <v>#DIV/0!</v>
      </c>
      <c r="S487" s="2" t="e">
        <f t="shared" si="48"/>
        <v>#DIV/0!</v>
      </c>
    </row>
    <row r="488" spans="2:19" x14ac:dyDescent="0.25">
      <c r="B488" s="1">
        <f t="shared" si="49"/>
        <v>482</v>
      </c>
      <c r="O488" s="2">
        <f t="shared" si="44"/>
        <v>0</v>
      </c>
      <c r="P488" s="2" t="e">
        <f t="shared" si="45"/>
        <v>#DIV/0!</v>
      </c>
      <c r="Q488" s="2">
        <f t="shared" si="46"/>
        <v>0</v>
      </c>
      <c r="R488" s="2" t="e">
        <f t="shared" si="47"/>
        <v>#DIV/0!</v>
      </c>
      <c r="S488" s="2" t="e">
        <f t="shared" si="48"/>
        <v>#DIV/0!</v>
      </c>
    </row>
    <row r="489" spans="2:19" x14ac:dyDescent="0.25">
      <c r="B489" s="1">
        <f t="shared" si="49"/>
        <v>483</v>
      </c>
      <c r="O489" s="2">
        <f t="shared" si="44"/>
        <v>0</v>
      </c>
      <c r="P489" s="2" t="e">
        <f t="shared" si="45"/>
        <v>#DIV/0!</v>
      </c>
      <c r="Q489" s="2">
        <f t="shared" si="46"/>
        <v>0</v>
      </c>
      <c r="R489" s="2" t="e">
        <f t="shared" si="47"/>
        <v>#DIV/0!</v>
      </c>
      <c r="S489" s="2" t="e">
        <f t="shared" si="48"/>
        <v>#DIV/0!</v>
      </c>
    </row>
    <row r="490" spans="2:19" x14ac:dyDescent="0.25">
      <c r="B490" s="1">
        <f t="shared" si="49"/>
        <v>484</v>
      </c>
      <c r="O490" s="2">
        <f t="shared" si="44"/>
        <v>0</v>
      </c>
      <c r="P490" s="2" t="e">
        <f t="shared" si="45"/>
        <v>#DIV/0!</v>
      </c>
      <c r="Q490" s="2">
        <f t="shared" si="46"/>
        <v>0</v>
      </c>
      <c r="R490" s="2" t="e">
        <f t="shared" si="47"/>
        <v>#DIV/0!</v>
      </c>
      <c r="S490" s="2" t="e">
        <f t="shared" si="48"/>
        <v>#DIV/0!</v>
      </c>
    </row>
    <row r="491" spans="2:19" x14ac:dyDescent="0.25">
      <c r="B491" s="1">
        <f t="shared" si="49"/>
        <v>485</v>
      </c>
      <c r="O491" s="2">
        <f t="shared" si="44"/>
        <v>0</v>
      </c>
      <c r="P491" s="2" t="e">
        <f t="shared" si="45"/>
        <v>#DIV/0!</v>
      </c>
      <c r="Q491" s="2">
        <f t="shared" si="46"/>
        <v>0</v>
      </c>
      <c r="R491" s="2" t="e">
        <f t="shared" si="47"/>
        <v>#DIV/0!</v>
      </c>
      <c r="S491" s="2" t="e">
        <f t="shared" si="48"/>
        <v>#DIV/0!</v>
      </c>
    </row>
    <row r="492" spans="2:19" x14ac:dyDescent="0.25">
      <c r="B492" s="1">
        <f t="shared" si="49"/>
        <v>486</v>
      </c>
      <c r="O492" s="2">
        <f t="shared" si="44"/>
        <v>0</v>
      </c>
      <c r="P492" s="2" t="e">
        <f t="shared" si="45"/>
        <v>#DIV/0!</v>
      </c>
      <c r="Q492" s="2">
        <f t="shared" si="46"/>
        <v>0</v>
      </c>
      <c r="R492" s="2" t="e">
        <f t="shared" si="47"/>
        <v>#DIV/0!</v>
      </c>
      <c r="S492" s="2" t="e">
        <f t="shared" si="48"/>
        <v>#DIV/0!</v>
      </c>
    </row>
    <row r="493" spans="2:19" x14ac:dyDescent="0.25">
      <c r="B493" s="1">
        <f t="shared" si="49"/>
        <v>487</v>
      </c>
      <c r="O493" s="2">
        <f t="shared" si="44"/>
        <v>0</v>
      </c>
      <c r="P493" s="2" t="e">
        <f t="shared" si="45"/>
        <v>#DIV/0!</v>
      </c>
      <c r="Q493" s="2">
        <f t="shared" si="46"/>
        <v>0</v>
      </c>
      <c r="R493" s="2" t="e">
        <f t="shared" si="47"/>
        <v>#DIV/0!</v>
      </c>
      <c r="S493" s="2" t="e">
        <f t="shared" si="48"/>
        <v>#DIV/0!</v>
      </c>
    </row>
    <row r="494" spans="2:19" x14ac:dyDescent="0.25">
      <c r="B494" s="1">
        <f t="shared" si="49"/>
        <v>488</v>
      </c>
      <c r="O494" s="2">
        <f t="shared" si="44"/>
        <v>0</v>
      </c>
      <c r="P494" s="2" t="e">
        <f t="shared" si="45"/>
        <v>#DIV/0!</v>
      </c>
      <c r="Q494" s="2">
        <f t="shared" si="46"/>
        <v>0</v>
      </c>
      <c r="R494" s="2" t="e">
        <f t="shared" si="47"/>
        <v>#DIV/0!</v>
      </c>
      <c r="S494" s="2" t="e">
        <f t="shared" si="48"/>
        <v>#DIV/0!</v>
      </c>
    </row>
    <row r="495" spans="2:19" x14ac:dyDescent="0.25">
      <c r="B495" s="1">
        <f t="shared" si="49"/>
        <v>489</v>
      </c>
      <c r="O495" s="2">
        <f t="shared" si="44"/>
        <v>0</v>
      </c>
      <c r="P495" s="2" t="e">
        <f t="shared" si="45"/>
        <v>#DIV/0!</v>
      </c>
      <c r="Q495" s="2">
        <f t="shared" si="46"/>
        <v>0</v>
      </c>
      <c r="R495" s="2" t="e">
        <f t="shared" si="47"/>
        <v>#DIV/0!</v>
      </c>
      <c r="S495" s="2" t="e">
        <f t="shared" si="48"/>
        <v>#DIV/0!</v>
      </c>
    </row>
    <row r="496" spans="2:19" x14ac:dyDescent="0.25">
      <c r="B496" s="1">
        <f t="shared" si="49"/>
        <v>490</v>
      </c>
      <c r="O496" s="2">
        <f t="shared" si="44"/>
        <v>0</v>
      </c>
      <c r="P496" s="2" t="e">
        <f t="shared" si="45"/>
        <v>#DIV/0!</v>
      </c>
      <c r="Q496" s="2">
        <f t="shared" si="46"/>
        <v>0</v>
      </c>
      <c r="R496" s="2" t="e">
        <f t="shared" si="47"/>
        <v>#DIV/0!</v>
      </c>
      <c r="S496" s="2" t="e">
        <f t="shared" si="48"/>
        <v>#DIV/0!</v>
      </c>
    </row>
    <row r="497" spans="2:19" x14ac:dyDescent="0.25">
      <c r="B497" s="1">
        <f t="shared" si="49"/>
        <v>491</v>
      </c>
      <c r="O497" s="2">
        <f t="shared" si="44"/>
        <v>0</v>
      </c>
      <c r="P497" s="2" t="e">
        <f t="shared" si="45"/>
        <v>#DIV/0!</v>
      </c>
      <c r="Q497" s="2">
        <f t="shared" si="46"/>
        <v>0</v>
      </c>
      <c r="R497" s="2" t="e">
        <f t="shared" si="47"/>
        <v>#DIV/0!</v>
      </c>
      <c r="S497" s="2" t="e">
        <f t="shared" si="48"/>
        <v>#DIV/0!</v>
      </c>
    </row>
    <row r="498" spans="2:19" x14ac:dyDescent="0.25">
      <c r="B498" s="1">
        <f t="shared" si="49"/>
        <v>492</v>
      </c>
      <c r="O498" s="2">
        <f t="shared" si="44"/>
        <v>0</v>
      </c>
      <c r="P498" s="2" t="e">
        <f t="shared" si="45"/>
        <v>#DIV/0!</v>
      </c>
      <c r="Q498" s="2">
        <f t="shared" si="46"/>
        <v>0</v>
      </c>
      <c r="R498" s="2" t="e">
        <f t="shared" si="47"/>
        <v>#DIV/0!</v>
      </c>
      <c r="S498" s="2" t="e">
        <f t="shared" si="48"/>
        <v>#DIV/0!</v>
      </c>
    </row>
    <row r="499" spans="2:19" x14ac:dyDescent="0.25">
      <c r="B499" s="1">
        <f t="shared" si="49"/>
        <v>493</v>
      </c>
      <c r="O499" s="2">
        <f t="shared" si="44"/>
        <v>0</v>
      </c>
      <c r="P499" s="2" t="e">
        <f t="shared" si="45"/>
        <v>#DIV/0!</v>
      </c>
      <c r="Q499" s="2">
        <f t="shared" si="46"/>
        <v>0</v>
      </c>
      <c r="R499" s="2" t="e">
        <f t="shared" si="47"/>
        <v>#DIV/0!</v>
      </c>
      <c r="S499" s="2" t="e">
        <f t="shared" si="48"/>
        <v>#DIV/0!</v>
      </c>
    </row>
    <row r="500" spans="2:19" x14ac:dyDescent="0.25">
      <c r="B500" s="1">
        <f t="shared" si="49"/>
        <v>494</v>
      </c>
      <c r="O500" s="2">
        <f t="shared" si="44"/>
        <v>0</v>
      </c>
      <c r="P500" s="2" t="e">
        <f t="shared" si="45"/>
        <v>#DIV/0!</v>
      </c>
      <c r="Q500" s="2">
        <f t="shared" si="46"/>
        <v>0</v>
      </c>
      <c r="R500" s="2" t="e">
        <f t="shared" si="47"/>
        <v>#DIV/0!</v>
      </c>
      <c r="S500" s="2" t="e">
        <f t="shared" si="48"/>
        <v>#DIV/0!</v>
      </c>
    </row>
    <row r="501" spans="2:19" x14ac:dyDescent="0.25">
      <c r="B501" s="1">
        <f t="shared" si="49"/>
        <v>495</v>
      </c>
      <c r="O501" s="2">
        <f t="shared" si="44"/>
        <v>0</v>
      </c>
      <c r="P501" s="2" t="e">
        <f t="shared" si="45"/>
        <v>#DIV/0!</v>
      </c>
      <c r="Q501" s="2">
        <f t="shared" si="46"/>
        <v>0</v>
      </c>
      <c r="R501" s="2" t="e">
        <f t="shared" si="47"/>
        <v>#DIV/0!</v>
      </c>
      <c r="S501" s="2" t="e">
        <f t="shared" si="48"/>
        <v>#DIV/0!</v>
      </c>
    </row>
    <row r="502" spans="2:19" x14ac:dyDescent="0.25">
      <c r="B502" s="1">
        <f t="shared" si="49"/>
        <v>496</v>
      </c>
      <c r="O502" s="2">
        <f t="shared" si="44"/>
        <v>0</v>
      </c>
      <c r="P502" s="2" t="e">
        <f t="shared" si="45"/>
        <v>#DIV/0!</v>
      </c>
      <c r="Q502" s="2">
        <f t="shared" si="46"/>
        <v>0</v>
      </c>
      <c r="R502" s="2" t="e">
        <f t="shared" si="47"/>
        <v>#DIV/0!</v>
      </c>
      <c r="S502" s="2" t="e">
        <f t="shared" si="48"/>
        <v>#DIV/0!</v>
      </c>
    </row>
    <row r="503" spans="2:19" x14ac:dyDescent="0.25">
      <c r="B503" s="1">
        <f t="shared" si="49"/>
        <v>497</v>
      </c>
      <c r="O503" s="2">
        <f t="shared" si="44"/>
        <v>0</v>
      </c>
      <c r="P503" s="2" t="e">
        <f t="shared" si="45"/>
        <v>#DIV/0!</v>
      </c>
      <c r="Q503" s="2">
        <f t="shared" si="46"/>
        <v>0</v>
      </c>
      <c r="R503" s="2" t="e">
        <f t="shared" si="47"/>
        <v>#DIV/0!</v>
      </c>
      <c r="S503" s="2" t="e">
        <f t="shared" si="48"/>
        <v>#DIV/0!</v>
      </c>
    </row>
    <row r="504" spans="2:19" x14ac:dyDescent="0.25">
      <c r="B504" s="1">
        <f t="shared" si="49"/>
        <v>498</v>
      </c>
      <c r="O504" s="2">
        <f t="shared" si="44"/>
        <v>0</v>
      </c>
      <c r="P504" s="2" t="e">
        <f t="shared" si="45"/>
        <v>#DIV/0!</v>
      </c>
      <c r="Q504" s="2">
        <f t="shared" si="46"/>
        <v>0</v>
      </c>
      <c r="R504" s="2" t="e">
        <f t="shared" si="47"/>
        <v>#DIV/0!</v>
      </c>
      <c r="S504" s="2" t="e">
        <f t="shared" si="48"/>
        <v>#DIV/0!</v>
      </c>
    </row>
    <row r="505" spans="2:19" x14ac:dyDescent="0.25">
      <c r="B505" s="1">
        <f t="shared" si="49"/>
        <v>499</v>
      </c>
      <c r="O505" s="2">
        <f t="shared" si="44"/>
        <v>0</v>
      </c>
      <c r="P505" s="2" t="e">
        <f t="shared" si="45"/>
        <v>#DIV/0!</v>
      </c>
      <c r="Q505" s="2">
        <f t="shared" si="46"/>
        <v>0</v>
      </c>
      <c r="R505" s="2" t="e">
        <f t="shared" si="47"/>
        <v>#DIV/0!</v>
      </c>
      <c r="S505" s="2" t="e">
        <f t="shared" si="48"/>
        <v>#DIV/0!</v>
      </c>
    </row>
    <row r="506" spans="2:19" x14ac:dyDescent="0.25">
      <c r="B506" s="1">
        <f t="shared" si="49"/>
        <v>500</v>
      </c>
      <c r="O506" s="2">
        <f t="shared" si="44"/>
        <v>0</v>
      </c>
      <c r="P506" s="2" t="e">
        <f t="shared" si="45"/>
        <v>#DIV/0!</v>
      </c>
      <c r="Q506" s="2">
        <f t="shared" si="46"/>
        <v>0</v>
      </c>
      <c r="R506" s="2" t="e">
        <f t="shared" si="47"/>
        <v>#DIV/0!</v>
      </c>
      <c r="S506" s="2" t="e">
        <f t="shared" si="48"/>
        <v>#DIV/0!</v>
      </c>
    </row>
    <row r="507" spans="2:19" x14ac:dyDescent="0.25">
      <c r="B507" s="1">
        <f t="shared" si="49"/>
        <v>501</v>
      </c>
      <c r="O507" s="2">
        <f t="shared" si="44"/>
        <v>0</v>
      </c>
      <c r="P507" s="2" t="e">
        <f t="shared" si="45"/>
        <v>#DIV/0!</v>
      </c>
      <c r="Q507" s="2">
        <f t="shared" si="46"/>
        <v>0</v>
      </c>
      <c r="R507" s="2" t="e">
        <f t="shared" si="47"/>
        <v>#DIV/0!</v>
      </c>
      <c r="S507" s="2" t="e">
        <f t="shared" si="48"/>
        <v>#DIV/0!</v>
      </c>
    </row>
    <row r="508" spans="2:19" x14ac:dyDescent="0.25">
      <c r="B508" s="1">
        <f t="shared" si="49"/>
        <v>502</v>
      </c>
      <c r="O508" s="2">
        <f t="shared" si="44"/>
        <v>0</v>
      </c>
      <c r="P508" s="2" t="e">
        <f t="shared" si="45"/>
        <v>#DIV/0!</v>
      </c>
      <c r="Q508" s="2">
        <f t="shared" si="46"/>
        <v>0</v>
      </c>
      <c r="R508" s="2" t="e">
        <f t="shared" si="47"/>
        <v>#DIV/0!</v>
      </c>
      <c r="S508" s="2" t="e">
        <f t="shared" si="48"/>
        <v>#DIV/0!</v>
      </c>
    </row>
    <row r="509" spans="2:19" x14ac:dyDescent="0.25">
      <c r="B509" s="1">
        <f t="shared" si="49"/>
        <v>503</v>
      </c>
      <c r="O509" s="2">
        <f t="shared" si="44"/>
        <v>0</v>
      </c>
      <c r="P509" s="2" t="e">
        <f t="shared" si="45"/>
        <v>#DIV/0!</v>
      </c>
      <c r="Q509" s="2">
        <f t="shared" si="46"/>
        <v>0</v>
      </c>
      <c r="R509" s="2" t="e">
        <f t="shared" si="47"/>
        <v>#DIV/0!</v>
      </c>
      <c r="S509" s="2" t="e">
        <f t="shared" si="48"/>
        <v>#DIV/0!</v>
      </c>
    </row>
    <row r="510" spans="2:19" x14ac:dyDescent="0.25">
      <c r="B510" s="1">
        <f t="shared" si="49"/>
        <v>504</v>
      </c>
      <c r="O510" s="2">
        <f t="shared" si="44"/>
        <v>0</v>
      </c>
      <c r="P510" s="2" t="e">
        <f t="shared" si="45"/>
        <v>#DIV/0!</v>
      </c>
      <c r="Q510" s="2">
        <f t="shared" si="46"/>
        <v>0</v>
      </c>
      <c r="R510" s="2" t="e">
        <f t="shared" si="47"/>
        <v>#DIV/0!</v>
      </c>
      <c r="S510" s="2" t="e">
        <f t="shared" si="48"/>
        <v>#DIV/0!</v>
      </c>
    </row>
    <row r="511" spans="2:19" x14ac:dyDescent="0.25">
      <c r="B511" s="1">
        <f t="shared" si="49"/>
        <v>505</v>
      </c>
      <c r="O511" s="2">
        <f t="shared" si="44"/>
        <v>0</v>
      </c>
      <c r="P511" s="2" t="e">
        <f t="shared" si="45"/>
        <v>#DIV/0!</v>
      </c>
      <c r="Q511" s="2">
        <f t="shared" si="46"/>
        <v>0</v>
      </c>
      <c r="R511" s="2" t="e">
        <f t="shared" si="47"/>
        <v>#DIV/0!</v>
      </c>
      <c r="S511" s="2" t="e">
        <f t="shared" si="48"/>
        <v>#DIV/0!</v>
      </c>
    </row>
    <row r="512" spans="2:19" x14ac:dyDescent="0.25">
      <c r="B512" s="1">
        <f t="shared" si="49"/>
        <v>506</v>
      </c>
      <c r="O512" s="2">
        <f t="shared" si="44"/>
        <v>0</v>
      </c>
      <c r="P512" s="2" t="e">
        <f t="shared" si="45"/>
        <v>#DIV/0!</v>
      </c>
      <c r="Q512" s="2">
        <f t="shared" si="46"/>
        <v>0</v>
      </c>
      <c r="R512" s="2" t="e">
        <f t="shared" si="47"/>
        <v>#DIV/0!</v>
      </c>
      <c r="S512" s="2" t="e">
        <f t="shared" si="48"/>
        <v>#DIV/0!</v>
      </c>
    </row>
    <row r="513" spans="2:19" x14ac:dyDescent="0.25">
      <c r="B513" s="1">
        <f t="shared" si="49"/>
        <v>507</v>
      </c>
      <c r="O513" s="2">
        <f t="shared" si="44"/>
        <v>0</v>
      </c>
      <c r="P513" s="2" t="e">
        <f t="shared" si="45"/>
        <v>#DIV/0!</v>
      </c>
      <c r="Q513" s="2">
        <f t="shared" si="46"/>
        <v>0</v>
      </c>
      <c r="R513" s="2" t="e">
        <f t="shared" si="47"/>
        <v>#DIV/0!</v>
      </c>
      <c r="S513" s="2" t="e">
        <f t="shared" si="48"/>
        <v>#DIV/0!</v>
      </c>
    </row>
    <row r="514" spans="2:19" x14ac:dyDescent="0.25">
      <c r="B514" s="1">
        <f t="shared" si="49"/>
        <v>508</v>
      </c>
      <c r="O514" s="2">
        <f t="shared" si="44"/>
        <v>0</v>
      </c>
      <c r="P514" s="2" t="e">
        <f t="shared" si="45"/>
        <v>#DIV/0!</v>
      </c>
      <c r="Q514" s="2">
        <f t="shared" si="46"/>
        <v>0</v>
      </c>
      <c r="R514" s="2" t="e">
        <f t="shared" si="47"/>
        <v>#DIV/0!</v>
      </c>
      <c r="S514" s="2" t="e">
        <f t="shared" si="48"/>
        <v>#DIV/0!</v>
      </c>
    </row>
    <row r="515" spans="2:19" x14ac:dyDescent="0.25">
      <c r="B515" s="1">
        <f t="shared" si="49"/>
        <v>509</v>
      </c>
      <c r="O515" s="2">
        <f t="shared" si="44"/>
        <v>0</v>
      </c>
      <c r="P515" s="2" t="e">
        <f t="shared" si="45"/>
        <v>#DIV/0!</v>
      </c>
      <c r="Q515" s="2">
        <f t="shared" si="46"/>
        <v>0</v>
      </c>
      <c r="R515" s="2" t="e">
        <f t="shared" si="47"/>
        <v>#DIV/0!</v>
      </c>
      <c r="S515" s="2" t="e">
        <f t="shared" si="48"/>
        <v>#DIV/0!</v>
      </c>
    </row>
    <row r="516" spans="2:19" x14ac:dyDescent="0.25">
      <c r="B516" s="1">
        <f t="shared" si="49"/>
        <v>510</v>
      </c>
      <c r="O516" s="2">
        <f t="shared" si="44"/>
        <v>0</v>
      </c>
      <c r="P516" s="2" t="e">
        <f t="shared" si="45"/>
        <v>#DIV/0!</v>
      </c>
      <c r="Q516" s="2">
        <f t="shared" si="46"/>
        <v>0</v>
      </c>
      <c r="R516" s="2" t="e">
        <f t="shared" si="47"/>
        <v>#DIV/0!</v>
      </c>
      <c r="S516" s="2" t="e">
        <f t="shared" si="48"/>
        <v>#DIV/0!</v>
      </c>
    </row>
    <row r="517" spans="2:19" x14ac:dyDescent="0.25">
      <c r="B517" s="1">
        <f t="shared" si="49"/>
        <v>511</v>
      </c>
      <c r="O517" s="2">
        <f t="shared" si="44"/>
        <v>0</v>
      </c>
      <c r="P517" s="2" t="e">
        <f t="shared" si="45"/>
        <v>#DIV/0!</v>
      </c>
      <c r="Q517" s="2">
        <f t="shared" si="46"/>
        <v>0</v>
      </c>
      <c r="R517" s="2" t="e">
        <f t="shared" si="47"/>
        <v>#DIV/0!</v>
      </c>
      <c r="S517" s="2" t="e">
        <f t="shared" si="48"/>
        <v>#DIV/0!</v>
      </c>
    </row>
    <row r="518" spans="2:19" x14ac:dyDescent="0.25">
      <c r="B518" s="1">
        <f t="shared" si="49"/>
        <v>512</v>
      </c>
      <c r="O518" s="2">
        <f t="shared" si="44"/>
        <v>0</v>
      </c>
      <c r="P518" s="2" t="e">
        <f t="shared" si="45"/>
        <v>#DIV/0!</v>
      </c>
      <c r="Q518" s="2">
        <f t="shared" si="46"/>
        <v>0</v>
      </c>
      <c r="R518" s="2" t="e">
        <f t="shared" si="47"/>
        <v>#DIV/0!</v>
      </c>
      <c r="S518" s="2" t="e">
        <f t="shared" si="48"/>
        <v>#DIV/0!</v>
      </c>
    </row>
    <row r="519" spans="2:19" x14ac:dyDescent="0.25">
      <c r="B519" s="1">
        <f t="shared" si="49"/>
        <v>513</v>
      </c>
      <c r="O519" s="2">
        <f t="shared" si="44"/>
        <v>0</v>
      </c>
      <c r="P519" s="2" t="e">
        <f t="shared" si="45"/>
        <v>#DIV/0!</v>
      </c>
      <c r="Q519" s="2">
        <f t="shared" si="46"/>
        <v>0</v>
      </c>
      <c r="R519" s="2" t="e">
        <f t="shared" si="47"/>
        <v>#DIV/0!</v>
      </c>
      <c r="S519" s="2" t="e">
        <f t="shared" si="48"/>
        <v>#DIV/0!</v>
      </c>
    </row>
    <row r="520" spans="2:19" x14ac:dyDescent="0.25">
      <c r="B520" s="1">
        <f t="shared" si="49"/>
        <v>514</v>
      </c>
      <c r="O520" s="2">
        <f t="shared" ref="O520:O583" si="50">M520-$X$23</f>
        <v>0</v>
      </c>
      <c r="P520" s="2" t="e">
        <f t="shared" ref="P520:P583" si="51">O520*$AC$21+$Y$23</f>
        <v>#DIV/0!</v>
      </c>
      <c r="Q520" s="2">
        <f t="shared" ref="Q520:Q583" si="52">((D520+D521)/2)*(M521-M520)</f>
        <v>0</v>
      </c>
      <c r="R520" s="2" t="e">
        <f t="shared" ref="R520:R583" si="53">((P520+P521)/2)*(O521-O520)</f>
        <v>#DIV/0!</v>
      </c>
      <c r="S520" s="2" t="e">
        <f t="shared" ref="S520:S583" si="54">Q520-R520</f>
        <v>#DIV/0!</v>
      </c>
    </row>
    <row r="521" spans="2:19" x14ac:dyDescent="0.25">
      <c r="B521" s="1">
        <f t="shared" ref="B521:B584" si="55">B520+1</f>
        <v>515</v>
      </c>
      <c r="O521" s="2">
        <f t="shared" si="50"/>
        <v>0</v>
      </c>
      <c r="P521" s="2" t="e">
        <f t="shared" si="51"/>
        <v>#DIV/0!</v>
      </c>
      <c r="Q521" s="2">
        <f t="shared" si="52"/>
        <v>0</v>
      </c>
      <c r="R521" s="2" t="e">
        <f t="shared" si="53"/>
        <v>#DIV/0!</v>
      </c>
      <c r="S521" s="2" t="e">
        <f t="shared" si="54"/>
        <v>#DIV/0!</v>
      </c>
    </row>
    <row r="522" spans="2:19" x14ac:dyDescent="0.25">
      <c r="B522" s="1">
        <f t="shared" si="55"/>
        <v>516</v>
      </c>
      <c r="O522" s="2">
        <f t="shared" si="50"/>
        <v>0</v>
      </c>
      <c r="P522" s="2" t="e">
        <f t="shared" si="51"/>
        <v>#DIV/0!</v>
      </c>
      <c r="Q522" s="2">
        <f t="shared" si="52"/>
        <v>0</v>
      </c>
      <c r="R522" s="2" t="e">
        <f t="shared" si="53"/>
        <v>#DIV/0!</v>
      </c>
      <c r="S522" s="2" t="e">
        <f t="shared" si="54"/>
        <v>#DIV/0!</v>
      </c>
    </row>
    <row r="523" spans="2:19" x14ac:dyDescent="0.25">
      <c r="B523" s="1">
        <f t="shared" si="55"/>
        <v>517</v>
      </c>
      <c r="O523" s="2">
        <f t="shared" si="50"/>
        <v>0</v>
      </c>
      <c r="P523" s="2" t="e">
        <f t="shared" si="51"/>
        <v>#DIV/0!</v>
      </c>
      <c r="Q523" s="2">
        <f t="shared" si="52"/>
        <v>0</v>
      </c>
      <c r="R523" s="2" t="e">
        <f t="shared" si="53"/>
        <v>#DIV/0!</v>
      </c>
      <c r="S523" s="2" t="e">
        <f t="shared" si="54"/>
        <v>#DIV/0!</v>
      </c>
    </row>
    <row r="524" spans="2:19" x14ac:dyDescent="0.25">
      <c r="B524" s="1">
        <f t="shared" si="55"/>
        <v>518</v>
      </c>
      <c r="O524" s="2">
        <f t="shared" si="50"/>
        <v>0</v>
      </c>
      <c r="P524" s="2" t="e">
        <f t="shared" si="51"/>
        <v>#DIV/0!</v>
      </c>
      <c r="Q524" s="2">
        <f t="shared" si="52"/>
        <v>0</v>
      </c>
      <c r="R524" s="2" t="e">
        <f t="shared" si="53"/>
        <v>#DIV/0!</v>
      </c>
      <c r="S524" s="2" t="e">
        <f t="shared" si="54"/>
        <v>#DIV/0!</v>
      </c>
    </row>
    <row r="525" spans="2:19" x14ac:dyDescent="0.25">
      <c r="B525" s="1">
        <f t="shared" si="55"/>
        <v>519</v>
      </c>
      <c r="O525" s="2">
        <f t="shared" si="50"/>
        <v>0</v>
      </c>
      <c r="P525" s="2" t="e">
        <f t="shared" si="51"/>
        <v>#DIV/0!</v>
      </c>
      <c r="Q525" s="2">
        <f t="shared" si="52"/>
        <v>0</v>
      </c>
      <c r="R525" s="2" t="e">
        <f t="shared" si="53"/>
        <v>#DIV/0!</v>
      </c>
      <c r="S525" s="2" t="e">
        <f t="shared" si="54"/>
        <v>#DIV/0!</v>
      </c>
    </row>
    <row r="526" spans="2:19" x14ac:dyDescent="0.25">
      <c r="B526" s="1">
        <f t="shared" si="55"/>
        <v>520</v>
      </c>
      <c r="O526" s="2">
        <f t="shared" si="50"/>
        <v>0</v>
      </c>
      <c r="P526" s="2" t="e">
        <f t="shared" si="51"/>
        <v>#DIV/0!</v>
      </c>
      <c r="Q526" s="2">
        <f t="shared" si="52"/>
        <v>0</v>
      </c>
      <c r="R526" s="2" t="e">
        <f t="shared" si="53"/>
        <v>#DIV/0!</v>
      </c>
      <c r="S526" s="2" t="e">
        <f t="shared" si="54"/>
        <v>#DIV/0!</v>
      </c>
    </row>
    <row r="527" spans="2:19" x14ac:dyDescent="0.25">
      <c r="B527" s="1">
        <f t="shared" si="55"/>
        <v>521</v>
      </c>
      <c r="O527" s="2">
        <f t="shared" si="50"/>
        <v>0</v>
      </c>
      <c r="P527" s="2" t="e">
        <f t="shared" si="51"/>
        <v>#DIV/0!</v>
      </c>
      <c r="Q527" s="2">
        <f t="shared" si="52"/>
        <v>0</v>
      </c>
      <c r="R527" s="2" t="e">
        <f t="shared" si="53"/>
        <v>#DIV/0!</v>
      </c>
      <c r="S527" s="2" t="e">
        <f t="shared" si="54"/>
        <v>#DIV/0!</v>
      </c>
    </row>
    <row r="528" spans="2:19" x14ac:dyDescent="0.25">
      <c r="B528" s="1">
        <f t="shared" si="55"/>
        <v>522</v>
      </c>
      <c r="O528" s="2">
        <f t="shared" si="50"/>
        <v>0</v>
      </c>
      <c r="P528" s="2" t="e">
        <f t="shared" si="51"/>
        <v>#DIV/0!</v>
      </c>
      <c r="Q528" s="2">
        <f t="shared" si="52"/>
        <v>0</v>
      </c>
      <c r="R528" s="2" t="e">
        <f t="shared" si="53"/>
        <v>#DIV/0!</v>
      </c>
      <c r="S528" s="2" t="e">
        <f t="shared" si="54"/>
        <v>#DIV/0!</v>
      </c>
    </row>
    <row r="529" spans="2:19" x14ac:dyDescent="0.25">
      <c r="B529" s="1">
        <f t="shared" si="55"/>
        <v>523</v>
      </c>
      <c r="O529" s="2">
        <f t="shared" si="50"/>
        <v>0</v>
      </c>
      <c r="P529" s="2" t="e">
        <f t="shared" si="51"/>
        <v>#DIV/0!</v>
      </c>
      <c r="Q529" s="2">
        <f t="shared" si="52"/>
        <v>0</v>
      </c>
      <c r="R529" s="2" t="e">
        <f t="shared" si="53"/>
        <v>#DIV/0!</v>
      </c>
      <c r="S529" s="2" t="e">
        <f t="shared" si="54"/>
        <v>#DIV/0!</v>
      </c>
    </row>
    <row r="530" spans="2:19" x14ac:dyDescent="0.25">
      <c r="B530" s="1">
        <f t="shared" si="55"/>
        <v>524</v>
      </c>
      <c r="O530" s="2">
        <f t="shared" si="50"/>
        <v>0</v>
      </c>
      <c r="P530" s="2" t="e">
        <f t="shared" si="51"/>
        <v>#DIV/0!</v>
      </c>
      <c r="Q530" s="2">
        <f t="shared" si="52"/>
        <v>0</v>
      </c>
      <c r="R530" s="2" t="e">
        <f t="shared" si="53"/>
        <v>#DIV/0!</v>
      </c>
      <c r="S530" s="2" t="e">
        <f t="shared" si="54"/>
        <v>#DIV/0!</v>
      </c>
    </row>
    <row r="531" spans="2:19" x14ac:dyDescent="0.25">
      <c r="B531" s="1">
        <f t="shared" si="55"/>
        <v>525</v>
      </c>
      <c r="O531" s="2">
        <f t="shared" si="50"/>
        <v>0</v>
      </c>
      <c r="P531" s="2" t="e">
        <f t="shared" si="51"/>
        <v>#DIV/0!</v>
      </c>
      <c r="Q531" s="2">
        <f t="shared" si="52"/>
        <v>0</v>
      </c>
      <c r="R531" s="2" t="e">
        <f t="shared" si="53"/>
        <v>#DIV/0!</v>
      </c>
      <c r="S531" s="2" t="e">
        <f t="shared" si="54"/>
        <v>#DIV/0!</v>
      </c>
    </row>
    <row r="532" spans="2:19" x14ac:dyDescent="0.25">
      <c r="B532" s="1">
        <f t="shared" si="55"/>
        <v>526</v>
      </c>
      <c r="O532" s="2">
        <f t="shared" si="50"/>
        <v>0</v>
      </c>
      <c r="P532" s="2" t="e">
        <f t="shared" si="51"/>
        <v>#DIV/0!</v>
      </c>
      <c r="Q532" s="2">
        <f t="shared" si="52"/>
        <v>0</v>
      </c>
      <c r="R532" s="2" t="e">
        <f t="shared" si="53"/>
        <v>#DIV/0!</v>
      </c>
      <c r="S532" s="2" t="e">
        <f t="shared" si="54"/>
        <v>#DIV/0!</v>
      </c>
    </row>
    <row r="533" spans="2:19" x14ac:dyDescent="0.25">
      <c r="B533" s="1">
        <f t="shared" si="55"/>
        <v>527</v>
      </c>
      <c r="O533" s="2">
        <f t="shared" si="50"/>
        <v>0</v>
      </c>
      <c r="P533" s="2" t="e">
        <f t="shared" si="51"/>
        <v>#DIV/0!</v>
      </c>
      <c r="Q533" s="2">
        <f t="shared" si="52"/>
        <v>0</v>
      </c>
      <c r="R533" s="2" t="e">
        <f t="shared" si="53"/>
        <v>#DIV/0!</v>
      </c>
      <c r="S533" s="2" t="e">
        <f t="shared" si="54"/>
        <v>#DIV/0!</v>
      </c>
    </row>
    <row r="534" spans="2:19" x14ac:dyDescent="0.25">
      <c r="B534" s="1">
        <f t="shared" si="55"/>
        <v>528</v>
      </c>
      <c r="O534" s="2">
        <f t="shared" si="50"/>
        <v>0</v>
      </c>
      <c r="P534" s="2" t="e">
        <f t="shared" si="51"/>
        <v>#DIV/0!</v>
      </c>
      <c r="Q534" s="2">
        <f t="shared" si="52"/>
        <v>0</v>
      </c>
      <c r="R534" s="2" t="e">
        <f t="shared" si="53"/>
        <v>#DIV/0!</v>
      </c>
      <c r="S534" s="2" t="e">
        <f t="shared" si="54"/>
        <v>#DIV/0!</v>
      </c>
    </row>
    <row r="535" spans="2:19" x14ac:dyDescent="0.25">
      <c r="B535" s="1">
        <f t="shared" si="55"/>
        <v>529</v>
      </c>
      <c r="O535" s="2">
        <f t="shared" si="50"/>
        <v>0</v>
      </c>
      <c r="P535" s="2" t="e">
        <f t="shared" si="51"/>
        <v>#DIV/0!</v>
      </c>
      <c r="Q535" s="2">
        <f t="shared" si="52"/>
        <v>0</v>
      </c>
      <c r="R535" s="2" t="e">
        <f t="shared" si="53"/>
        <v>#DIV/0!</v>
      </c>
      <c r="S535" s="2" t="e">
        <f t="shared" si="54"/>
        <v>#DIV/0!</v>
      </c>
    </row>
    <row r="536" spans="2:19" x14ac:dyDescent="0.25">
      <c r="B536" s="1">
        <f t="shared" si="55"/>
        <v>530</v>
      </c>
      <c r="O536" s="2">
        <f t="shared" si="50"/>
        <v>0</v>
      </c>
      <c r="P536" s="2" t="e">
        <f t="shared" si="51"/>
        <v>#DIV/0!</v>
      </c>
      <c r="Q536" s="2">
        <f t="shared" si="52"/>
        <v>0</v>
      </c>
      <c r="R536" s="2" t="e">
        <f t="shared" si="53"/>
        <v>#DIV/0!</v>
      </c>
      <c r="S536" s="2" t="e">
        <f t="shared" si="54"/>
        <v>#DIV/0!</v>
      </c>
    </row>
    <row r="537" spans="2:19" x14ac:dyDescent="0.25">
      <c r="B537" s="1">
        <f t="shared" si="55"/>
        <v>531</v>
      </c>
      <c r="O537" s="2">
        <f t="shared" si="50"/>
        <v>0</v>
      </c>
      <c r="P537" s="2" t="e">
        <f t="shared" si="51"/>
        <v>#DIV/0!</v>
      </c>
      <c r="Q537" s="2">
        <f t="shared" si="52"/>
        <v>0</v>
      </c>
      <c r="R537" s="2" t="e">
        <f t="shared" si="53"/>
        <v>#DIV/0!</v>
      </c>
      <c r="S537" s="2" t="e">
        <f t="shared" si="54"/>
        <v>#DIV/0!</v>
      </c>
    </row>
    <row r="538" spans="2:19" x14ac:dyDescent="0.25">
      <c r="B538" s="1">
        <f t="shared" si="55"/>
        <v>532</v>
      </c>
      <c r="O538" s="2">
        <f t="shared" si="50"/>
        <v>0</v>
      </c>
      <c r="P538" s="2" t="e">
        <f t="shared" si="51"/>
        <v>#DIV/0!</v>
      </c>
      <c r="Q538" s="2">
        <f t="shared" si="52"/>
        <v>0</v>
      </c>
      <c r="R538" s="2" t="e">
        <f t="shared" si="53"/>
        <v>#DIV/0!</v>
      </c>
      <c r="S538" s="2" t="e">
        <f t="shared" si="54"/>
        <v>#DIV/0!</v>
      </c>
    </row>
    <row r="539" spans="2:19" x14ac:dyDescent="0.25">
      <c r="B539" s="1">
        <f t="shared" si="55"/>
        <v>533</v>
      </c>
      <c r="O539" s="2">
        <f t="shared" si="50"/>
        <v>0</v>
      </c>
      <c r="P539" s="2" t="e">
        <f t="shared" si="51"/>
        <v>#DIV/0!</v>
      </c>
      <c r="Q539" s="2">
        <f t="shared" si="52"/>
        <v>0</v>
      </c>
      <c r="R539" s="2" t="e">
        <f t="shared" si="53"/>
        <v>#DIV/0!</v>
      </c>
      <c r="S539" s="2" t="e">
        <f t="shared" si="54"/>
        <v>#DIV/0!</v>
      </c>
    </row>
    <row r="540" spans="2:19" x14ac:dyDescent="0.25">
      <c r="B540" s="1">
        <f t="shared" si="55"/>
        <v>534</v>
      </c>
      <c r="O540" s="2">
        <f t="shared" si="50"/>
        <v>0</v>
      </c>
      <c r="P540" s="2" t="e">
        <f t="shared" si="51"/>
        <v>#DIV/0!</v>
      </c>
      <c r="Q540" s="2">
        <f t="shared" si="52"/>
        <v>0</v>
      </c>
      <c r="R540" s="2" t="e">
        <f t="shared" si="53"/>
        <v>#DIV/0!</v>
      </c>
      <c r="S540" s="2" t="e">
        <f t="shared" si="54"/>
        <v>#DIV/0!</v>
      </c>
    </row>
    <row r="541" spans="2:19" x14ac:dyDescent="0.25">
      <c r="B541" s="1">
        <f t="shared" si="55"/>
        <v>535</v>
      </c>
      <c r="O541" s="2">
        <f t="shared" si="50"/>
        <v>0</v>
      </c>
      <c r="P541" s="2" t="e">
        <f t="shared" si="51"/>
        <v>#DIV/0!</v>
      </c>
      <c r="Q541" s="2">
        <f t="shared" si="52"/>
        <v>0</v>
      </c>
      <c r="R541" s="2" t="e">
        <f t="shared" si="53"/>
        <v>#DIV/0!</v>
      </c>
      <c r="S541" s="2" t="e">
        <f t="shared" si="54"/>
        <v>#DIV/0!</v>
      </c>
    </row>
    <row r="542" spans="2:19" x14ac:dyDescent="0.25">
      <c r="B542" s="1">
        <f t="shared" si="55"/>
        <v>536</v>
      </c>
      <c r="O542" s="2">
        <f t="shared" si="50"/>
        <v>0</v>
      </c>
      <c r="P542" s="2" t="e">
        <f t="shared" si="51"/>
        <v>#DIV/0!</v>
      </c>
      <c r="Q542" s="2">
        <f t="shared" si="52"/>
        <v>0</v>
      </c>
      <c r="R542" s="2" t="e">
        <f t="shared" si="53"/>
        <v>#DIV/0!</v>
      </c>
      <c r="S542" s="2" t="e">
        <f t="shared" si="54"/>
        <v>#DIV/0!</v>
      </c>
    </row>
    <row r="543" spans="2:19" x14ac:dyDescent="0.25">
      <c r="B543" s="1">
        <f t="shared" si="55"/>
        <v>537</v>
      </c>
      <c r="O543" s="2">
        <f t="shared" si="50"/>
        <v>0</v>
      </c>
      <c r="P543" s="2" t="e">
        <f t="shared" si="51"/>
        <v>#DIV/0!</v>
      </c>
      <c r="Q543" s="2">
        <f t="shared" si="52"/>
        <v>0</v>
      </c>
      <c r="R543" s="2" t="e">
        <f t="shared" si="53"/>
        <v>#DIV/0!</v>
      </c>
      <c r="S543" s="2" t="e">
        <f t="shared" si="54"/>
        <v>#DIV/0!</v>
      </c>
    </row>
    <row r="544" spans="2:19" x14ac:dyDescent="0.25">
      <c r="B544" s="1">
        <f t="shared" si="55"/>
        <v>538</v>
      </c>
      <c r="O544" s="2">
        <f t="shared" si="50"/>
        <v>0</v>
      </c>
      <c r="P544" s="2" t="e">
        <f t="shared" si="51"/>
        <v>#DIV/0!</v>
      </c>
      <c r="Q544" s="2">
        <f t="shared" si="52"/>
        <v>0</v>
      </c>
      <c r="R544" s="2" t="e">
        <f t="shared" si="53"/>
        <v>#DIV/0!</v>
      </c>
      <c r="S544" s="2" t="e">
        <f t="shared" si="54"/>
        <v>#DIV/0!</v>
      </c>
    </row>
    <row r="545" spans="2:19" x14ac:dyDescent="0.25">
      <c r="B545" s="1">
        <f t="shared" si="55"/>
        <v>539</v>
      </c>
      <c r="O545" s="2">
        <f t="shared" si="50"/>
        <v>0</v>
      </c>
      <c r="P545" s="2" t="e">
        <f t="shared" si="51"/>
        <v>#DIV/0!</v>
      </c>
      <c r="Q545" s="2">
        <f t="shared" si="52"/>
        <v>0</v>
      </c>
      <c r="R545" s="2" t="e">
        <f t="shared" si="53"/>
        <v>#DIV/0!</v>
      </c>
      <c r="S545" s="2" t="e">
        <f t="shared" si="54"/>
        <v>#DIV/0!</v>
      </c>
    </row>
    <row r="546" spans="2:19" x14ac:dyDescent="0.25">
      <c r="B546" s="1">
        <f t="shared" si="55"/>
        <v>540</v>
      </c>
      <c r="O546" s="2">
        <f t="shared" si="50"/>
        <v>0</v>
      </c>
      <c r="P546" s="2" t="e">
        <f t="shared" si="51"/>
        <v>#DIV/0!</v>
      </c>
      <c r="Q546" s="2">
        <f t="shared" si="52"/>
        <v>0</v>
      </c>
      <c r="R546" s="2" t="e">
        <f t="shared" si="53"/>
        <v>#DIV/0!</v>
      </c>
      <c r="S546" s="2" t="e">
        <f t="shared" si="54"/>
        <v>#DIV/0!</v>
      </c>
    </row>
    <row r="547" spans="2:19" x14ac:dyDescent="0.25">
      <c r="B547" s="1">
        <f t="shared" si="55"/>
        <v>541</v>
      </c>
      <c r="O547" s="2">
        <f t="shared" si="50"/>
        <v>0</v>
      </c>
      <c r="P547" s="2" t="e">
        <f t="shared" si="51"/>
        <v>#DIV/0!</v>
      </c>
      <c r="Q547" s="2">
        <f t="shared" si="52"/>
        <v>0</v>
      </c>
      <c r="R547" s="2" t="e">
        <f t="shared" si="53"/>
        <v>#DIV/0!</v>
      </c>
      <c r="S547" s="2" t="e">
        <f t="shared" si="54"/>
        <v>#DIV/0!</v>
      </c>
    </row>
    <row r="548" spans="2:19" x14ac:dyDescent="0.25">
      <c r="B548" s="1">
        <f t="shared" si="55"/>
        <v>542</v>
      </c>
      <c r="O548" s="2">
        <f t="shared" si="50"/>
        <v>0</v>
      </c>
      <c r="P548" s="2" t="e">
        <f t="shared" si="51"/>
        <v>#DIV/0!</v>
      </c>
      <c r="Q548" s="2">
        <f t="shared" si="52"/>
        <v>0</v>
      </c>
      <c r="R548" s="2" t="e">
        <f t="shared" si="53"/>
        <v>#DIV/0!</v>
      </c>
      <c r="S548" s="2" t="e">
        <f t="shared" si="54"/>
        <v>#DIV/0!</v>
      </c>
    </row>
    <row r="549" spans="2:19" x14ac:dyDescent="0.25">
      <c r="B549" s="1">
        <f t="shared" si="55"/>
        <v>543</v>
      </c>
      <c r="O549" s="2">
        <f t="shared" si="50"/>
        <v>0</v>
      </c>
      <c r="P549" s="2" t="e">
        <f t="shared" si="51"/>
        <v>#DIV/0!</v>
      </c>
      <c r="Q549" s="2">
        <f t="shared" si="52"/>
        <v>0</v>
      </c>
      <c r="R549" s="2" t="e">
        <f t="shared" si="53"/>
        <v>#DIV/0!</v>
      </c>
      <c r="S549" s="2" t="e">
        <f t="shared" si="54"/>
        <v>#DIV/0!</v>
      </c>
    </row>
    <row r="550" spans="2:19" x14ac:dyDescent="0.25">
      <c r="B550" s="1">
        <f t="shared" si="55"/>
        <v>544</v>
      </c>
      <c r="O550" s="2">
        <f t="shared" si="50"/>
        <v>0</v>
      </c>
      <c r="P550" s="2" t="e">
        <f t="shared" si="51"/>
        <v>#DIV/0!</v>
      </c>
      <c r="Q550" s="2">
        <f t="shared" si="52"/>
        <v>0</v>
      </c>
      <c r="R550" s="2" t="e">
        <f t="shared" si="53"/>
        <v>#DIV/0!</v>
      </c>
      <c r="S550" s="2" t="e">
        <f t="shared" si="54"/>
        <v>#DIV/0!</v>
      </c>
    </row>
    <row r="551" spans="2:19" x14ac:dyDescent="0.25">
      <c r="B551" s="1">
        <f t="shared" si="55"/>
        <v>545</v>
      </c>
      <c r="O551" s="2">
        <f t="shared" si="50"/>
        <v>0</v>
      </c>
      <c r="P551" s="2" t="e">
        <f t="shared" si="51"/>
        <v>#DIV/0!</v>
      </c>
      <c r="Q551" s="2">
        <f t="shared" si="52"/>
        <v>0</v>
      </c>
      <c r="R551" s="2" t="e">
        <f t="shared" si="53"/>
        <v>#DIV/0!</v>
      </c>
      <c r="S551" s="2" t="e">
        <f t="shared" si="54"/>
        <v>#DIV/0!</v>
      </c>
    </row>
    <row r="552" spans="2:19" x14ac:dyDescent="0.25">
      <c r="B552" s="1">
        <f t="shared" si="55"/>
        <v>546</v>
      </c>
      <c r="O552" s="2">
        <f t="shared" si="50"/>
        <v>0</v>
      </c>
      <c r="P552" s="2" t="e">
        <f t="shared" si="51"/>
        <v>#DIV/0!</v>
      </c>
      <c r="Q552" s="2">
        <f t="shared" si="52"/>
        <v>0</v>
      </c>
      <c r="R552" s="2" t="e">
        <f t="shared" si="53"/>
        <v>#DIV/0!</v>
      </c>
      <c r="S552" s="2" t="e">
        <f t="shared" si="54"/>
        <v>#DIV/0!</v>
      </c>
    </row>
    <row r="553" spans="2:19" x14ac:dyDescent="0.25">
      <c r="B553" s="1">
        <f t="shared" si="55"/>
        <v>547</v>
      </c>
      <c r="O553" s="2">
        <f t="shared" si="50"/>
        <v>0</v>
      </c>
      <c r="P553" s="2" t="e">
        <f t="shared" si="51"/>
        <v>#DIV/0!</v>
      </c>
      <c r="Q553" s="2">
        <f t="shared" si="52"/>
        <v>0</v>
      </c>
      <c r="R553" s="2" t="e">
        <f t="shared" si="53"/>
        <v>#DIV/0!</v>
      </c>
      <c r="S553" s="2" t="e">
        <f t="shared" si="54"/>
        <v>#DIV/0!</v>
      </c>
    </row>
    <row r="554" spans="2:19" x14ac:dyDescent="0.25">
      <c r="B554" s="1">
        <f t="shared" si="55"/>
        <v>548</v>
      </c>
      <c r="O554" s="2">
        <f t="shared" si="50"/>
        <v>0</v>
      </c>
      <c r="P554" s="2" t="e">
        <f t="shared" si="51"/>
        <v>#DIV/0!</v>
      </c>
      <c r="Q554" s="2">
        <f t="shared" si="52"/>
        <v>0</v>
      </c>
      <c r="R554" s="2" t="e">
        <f t="shared" si="53"/>
        <v>#DIV/0!</v>
      </c>
      <c r="S554" s="2" t="e">
        <f t="shared" si="54"/>
        <v>#DIV/0!</v>
      </c>
    </row>
    <row r="555" spans="2:19" x14ac:dyDescent="0.25">
      <c r="B555" s="1">
        <f t="shared" si="55"/>
        <v>549</v>
      </c>
      <c r="O555" s="2">
        <f t="shared" si="50"/>
        <v>0</v>
      </c>
      <c r="P555" s="2" t="e">
        <f t="shared" si="51"/>
        <v>#DIV/0!</v>
      </c>
      <c r="Q555" s="2">
        <f t="shared" si="52"/>
        <v>0</v>
      </c>
      <c r="R555" s="2" t="e">
        <f t="shared" si="53"/>
        <v>#DIV/0!</v>
      </c>
      <c r="S555" s="2" t="e">
        <f t="shared" si="54"/>
        <v>#DIV/0!</v>
      </c>
    </row>
    <row r="556" spans="2:19" x14ac:dyDescent="0.25">
      <c r="B556" s="1">
        <f t="shared" si="55"/>
        <v>550</v>
      </c>
      <c r="O556" s="2">
        <f t="shared" si="50"/>
        <v>0</v>
      </c>
      <c r="P556" s="2" t="e">
        <f t="shared" si="51"/>
        <v>#DIV/0!</v>
      </c>
      <c r="Q556" s="2">
        <f t="shared" si="52"/>
        <v>0</v>
      </c>
      <c r="R556" s="2" t="e">
        <f t="shared" si="53"/>
        <v>#DIV/0!</v>
      </c>
      <c r="S556" s="2" t="e">
        <f t="shared" si="54"/>
        <v>#DIV/0!</v>
      </c>
    </row>
    <row r="557" spans="2:19" x14ac:dyDescent="0.25">
      <c r="B557" s="1">
        <f t="shared" si="55"/>
        <v>551</v>
      </c>
      <c r="O557" s="2">
        <f t="shared" si="50"/>
        <v>0</v>
      </c>
      <c r="P557" s="2" t="e">
        <f t="shared" si="51"/>
        <v>#DIV/0!</v>
      </c>
      <c r="Q557" s="2">
        <f t="shared" si="52"/>
        <v>0</v>
      </c>
      <c r="R557" s="2" t="e">
        <f t="shared" si="53"/>
        <v>#DIV/0!</v>
      </c>
      <c r="S557" s="2" t="e">
        <f t="shared" si="54"/>
        <v>#DIV/0!</v>
      </c>
    </row>
    <row r="558" spans="2:19" x14ac:dyDescent="0.25">
      <c r="B558" s="1">
        <f t="shared" si="55"/>
        <v>552</v>
      </c>
      <c r="O558" s="2">
        <f t="shared" si="50"/>
        <v>0</v>
      </c>
      <c r="P558" s="2" t="e">
        <f t="shared" si="51"/>
        <v>#DIV/0!</v>
      </c>
      <c r="Q558" s="2">
        <f t="shared" si="52"/>
        <v>0</v>
      </c>
      <c r="R558" s="2" t="e">
        <f t="shared" si="53"/>
        <v>#DIV/0!</v>
      </c>
      <c r="S558" s="2" t="e">
        <f t="shared" si="54"/>
        <v>#DIV/0!</v>
      </c>
    </row>
    <row r="559" spans="2:19" x14ac:dyDescent="0.25">
      <c r="B559" s="1">
        <f t="shared" si="55"/>
        <v>553</v>
      </c>
      <c r="O559" s="2">
        <f t="shared" si="50"/>
        <v>0</v>
      </c>
      <c r="P559" s="2" t="e">
        <f t="shared" si="51"/>
        <v>#DIV/0!</v>
      </c>
      <c r="Q559" s="2">
        <f t="shared" si="52"/>
        <v>0</v>
      </c>
      <c r="R559" s="2" t="e">
        <f t="shared" si="53"/>
        <v>#DIV/0!</v>
      </c>
      <c r="S559" s="2" t="e">
        <f t="shared" si="54"/>
        <v>#DIV/0!</v>
      </c>
    </row>
    <row r="560" spans="2:19" x14ac:dyDescent="0.25">
      <c r="B560" s="1">
        <f t="shared" si="55"/>
        <v>554</v>
      </c>
      <c r="O560" s="2">
        <f t="shared" si="50"/>
        <v>0</v>
      </c>
      <c r="P560" s="2" t="e">
        <f t="shared" si="51"/>
        <v>#DIV/0!</v>
      </c>
      <c r="Q560" s="2">
        <f t="shared" si="52"/>
        <v>0</v>
      </c>
      <c r="R560" s="2" t="e">
        <f t="shared" si="53"/>
        <v>#DIV/0!</v>
      </c>
      <c r="S560" s="2" t="e">
        <f t="shared" si="54"/>
        <v>#DIV/0!</v>
      </c>
    </row>
    <row r="561" spans="2:19" x14ac:dyDescent="0.25">
      <c r="B561" s="1">
        <f t="shared" si="55"/>
        <v>555</v>
      </c>
      <c r="O561" s="2">
        <f t="shared" si="50"/>
        <v>0</v>
      </c>
      <c r="P561" s="2" t="e">
        <f t="shared" si="51"/>
        <v>#DIV/0!</v>
      </c>
      <c r="Q561" s="2">
        <f t="shared" si="52"/>
        <v>0</v>
      </c>
      <c r="R561" s="2" t="e">
        <f t="shared" si="53"/>
        <v>#DIV/0!</v>
      </c>
      <c r="S561" s="2" t="e">
        <f t="shared" si="54"/>
        <v>#DIV/0!</v>
      </c>
    </row>
    <row r="562" spans="2:19" x14ac:dyDescent="0.25">
      <c r="B562" s="1">
        <f t="shared" si="55"/>
        <v>556</v>
      </c>
      <c r="O562" s="2">
        <f t="shared" si="50"/>
        <v>0</v>
      </c>
      <c r="P562" s="2" t="e">
        <f t="shared" si="51"/>
        <v>#DIV/0!</v>
      </c>
      <c r="Q562" s="2">
        <f t="shared" si="52"/>
        <v>0</v>
      </c>
      <c r="R562" s="2" t="e">
        <f t="shared" si="53"/>
        <v>#DIV/0!</v>
      </c>
      <c r="S562" s="2" t="e">
        <f t="shared" si="54"/>
        <v>#DIV/0!</v>
      </c>
    </row>
    <row r="563" spans="2:19" x14ac:dyDescent="0.25">
      <c r="B563" s="1">
        <f t="shared" si="55"/>
        <v>557</v>
      </c>
      <c r="O563" s="2">
        <f t="shared" si="50"/>
        <v>0</v>
      </c>
      <c r="P563" s="2" t="e">
        <f t="shared" si="51"/>
        <v>#DIV/0!</v>
      </c>
      <c r="Q563" s="2">
        <f t="shared" si="52"/>
        <v>0</v>
      </c>
      <c r="R563" s="2" t="e">
        <f t="shared" si="53"/>
        <v>#DIV/0!</v>
      </c>
      <c r="S563" s="2" t="e">
        <f t="shared" si="54"/>
        <v>#DIV/0!</v>
      </c>
    </row>
    <row r="564" spans="2:19" x14ac:dyDescent="0.25">
      <c r="B564" s="1">
        <f t="shared" si="55"/>
        <v>558</v>
      </c>
      <c r="O564" s="2">
        <f t="shared" si="50"/>
        <v>0</v>
      </c>
      <c r="P564" s="2" t="e">
        <f t="shared" si="51"/>
        <v>#DIV/0!</v>
      </c>
      <c r="Q564" s="2">
        <f t="shared" si="52"/>
        <v>0</v>
      </c>
      <c r="R564" s="2" t="e">
        <f t="shared" si="53"/>
        <v>#DIV/0!</v>
      </c>
      <c r="S564" s="2" t="e">
        <f t="shared" si="54"/>
        <v>#DIV/0!</v>
      </c>
    </row>
    <row r="565" spans="2:19" x14ac:dyDescent="0.25">
      <c r="B565" s="1">
        <f t="shared" si="55"/>
        <v>559</v>
      </c>
      <c r="O565" s="2">
        <f t="shared" si="50"/>
        <v>0</v>
      </c>
      <c r="P565" s="2" t="e">
        <f t="shared" si="51"/>
        <v>#DIV/0!</v>
      </c>
      <c r="Q565" s="2">
        <f t="shared" si="52"/>
        <v>0</v>
      </c>
      <c r="R565" s="2" t="e">
        <f t="shared" si="53"/>
        <v>#DIV/0!</v>
      </c>
      <c r="S565" s="2" t="e">
        <f t="shared" si="54"/>
        <v>#DIV/0!</v>
      </c>
    </row>
    <row r="566" spans="2:19" x14ac:dyDescent="0.25">
      <c r="B566" s="1">
        <f t="shared" si="55"/>
        <v>560</v>
      </c>
      <c r="O566" s="2">
        <f t="shared" si="50"/>
        <v>0</v>
      </c>
      <c r="P566" s="2" t="e">
        <f t="shared" si="51"/>
        <v>#DIV/0!</v>
      </c>
      <c r="Q566" s="2">
        <f t="shared" si="52"/>
        <v>0</v>
      </c>
      <c r="R566" s="2" t="e">
        <f t="shared" si="53"/>
        <v>#DIV/0!</v>
      </c>
      <c r="S566" s="2" t="e">
        <f t="shared" si="54"/>
        <v>#DIV/0!</v>
      </c>
    </row>
    <row r="567" spans="2:19" x14ac:dyDescent="0.25">
      <c r="B567" s="1">
        <f t="shared" si="55"/>
        <v>561</v>
      </c>
      <c r="O567" s="2">
        <f t="shared" si="50"/>
        <v>0</v>
      </c>
      <c r="P567" s="2" t="e">
        <f t="shared" si="51"/>
        <v>#DIV/0!</v>
      </c>
      <c r="Q567" s="2">
        <f t="shared" si="52"/>
        <v>0</v>
      </c>
      <c r="R567" s="2" t="e">
        <f t="shared" si="53"/>
        <v>#DIV/0!</v>
      </c>
      <c r="S567" s="2" t="e">
        <f t="shared" si="54"/>
        <v>#DIV/0!</v>
      </c>
    </row>
    <row r="568" spans="2:19" x14ac:dyDescent="0.25">
      <c r="B568" s="1">
        <f t="shared" si="55"/>
        <v>562</v>
      </c>
      <c r="O568" s="2">
        <f t="shared" si="50"/>
        <v>0</v>
      </c>
      <c r="P568" s="2" t="e">
        <f t="shared" si="51"/>
        <v>#DIV/0!</v>
      </c>
      <c r="Q568" s="2">
        <f t="shared" si="52"/>
        <v>0</v>
      </c>
      <c r="R568" s="2" t="e">
        <f t="shared" si="53"/>
        <v>#DIV/0!</v>
      </c>
      <c r="S568" s="2" t="e">
        <f t="shared" si="54"/>
        <v>#DIV/0!</v>
      </c>
    </row>
    <row r="569" spans="2:19" x14ac:dyDescent="0.25">
      <c r="B569" s="1">
        <f t="shared" si="55"/>
        <v>563</v>
      </c>
      <c r="O569" s="2">
        <f t="shared" si="50"/>
        <v>0</v>
      </c>
      <c r="P569" s="2" t="e">
        <f t="shared" si="51"/>
        <v>#DIV/0!</v>
      </c>
      <c r="Q569" s="2">
        <f t="shared" si="52"/>
        <v>0</v>
      </c>
      <c r="R569" s="2" t="e">
        <f t="shared" si="53"/>
        <v>#DIV/0!</v>
      </c>
      <c r="S569" s="2" t="e">
        <f t="shared" si="54"/>
        <v>#DIV/0!</v>
      </c>
    </row>
    <row r="570" spans="2:19" x14ac:dyDescent="0.25">
      <c r="B570" s="1">
        <f t="shared" si="55"/>
        <v>564</v>
      </c>
      <c r="O570" s="2">
        <f t="shared" si="50"/>
        <v>0</v>
      </c>
      <c r="P570" s="2" t="e">
        <f t="shared" si="51"/>
        <v>#DIV/0!</v>
      </c>
      <c r="Q570" s="2">
        <f t="shared" si="52"/>
        <v>0</v>
      </c>
      <c r="R570" s="2" t="e">
        <f t="shared" si="53"/>
        <v>#DIV/0!</v>
      </c>
      <c r="S570" s="2" t="e">
        <f t="shared" si="54"/>
        <v>#DIV/0!</v>
      </c>
    </row>
    <row r="571" spans="2:19" x14ac:dyDescent="0.25">
      <c r="B571" s="1">
        <f t="shared" si="55"/>
        <v>565</v>
      </c>
      <c r="O571" s="2">
        <f t="shared" si="50"/>
        <v>0</v>
      </c>
      <c r="P571" s="2" t="e">
        <f t="shared" si="51"/>
        <v>#DIV/0!</v>
      </c>
      <c r="Q571" s="2">
        <f t="shared" si="52"/>
        <v>0</v>
      </c>
      <c r="R571" s="2" t="e">
        <f t="shared" si="53"/>
        <v>#DIV/0!</v>
      </c>
      <c r="S571" s="2" t="e">
        <f t="shared" si="54"/>
        <v>#DIV/0!</v>
      </c>
    </row>
    <row r="572" spans="2:19" x14ac:dyDescent="0.25">
      <c r="B572" s="1">
        <f t="shared" si="55"/>
        <v>566</v>
      </c>
      <c r="O572" s="2">
        <f t="shared" si="50"/>
        <v>0</v>
      </c>
      <c r="P572" s="2" t="e">
        <f t="shared" si="51"/>
        <v>#DIV/0!</v>
      </c>
      <c r="Q572" s="2">
        <f t="shared" si="52"/>
        <v>0</v>
      </c>
      <c r="R572" s="2" t="e">
        <f t="shared" si="53"/>
        <v>#DIV/0!</v>
      </c>
      <c r="S572" s="2" t="e">
        <f t="shared" si="54"/>
        <v>#DIV/0!</v>
      </c>
    </row>
    <row r="573" spans="2:19" x14ac:dyDescent="0.25">
      <c r="B573" s="1">
        <f t="shared" si="55"/>
        <v>567</v>
      </c>
      <c r="O573" s="2">
        <f t="shared" si="50"/>
        <v>0</v>
      </c>
      <c r="P573" s="2" t="e">
        <f t="shared" si="51"/>
        <v>#DIV/0!</v>
      </c>
      <c r="Q573" s="2">
        <f t="shared" si="52"/>
        <v>0</v>
      </c>
      <c r="R573" s="2" t="e">
        <f t="shared" si="53"/>
        <v>#DIV/0!</v>
      </c>
      <c r="S573" s="2" t="e">
        <f t="shared" si="54"/>
        <v>#DIV/0!</v>
      </c>
    </row>
    <row r="574" spans="2:19" x14ac:dyDescent="0.25">
      <c r="B574" s="1">
        <f t="shared" si="55"/>
        <v>568</v>
      </c>
      <c r="O574" s="2">
        <f t="shared" si="50"/>
        <v>0</v>
      </c>
      <c r="P574" s="2" t="e">
        <f t="shared" si="51"/>
        <v>#DIV/0!</v>
      </c>
      <c r="Q574" s="2">
        <f t="shared" si="52"/>
        <v>0</v>
      </c>
      <c r="R574" s="2" t="e">
        <f t="shared" si="53"/>
        <v>#DIV/0!</v>
      </c>
      <c r="S574" s="2" t="e">
        <f t="shared" si="54"/>
        <v>#DIV/0!</v>
      </c>
    </row>
    <row r="575" spans="2:19" x14ac:dyDescent="0.25">
      <c r="B575" s="1">
        <f t="shared" si="55"/>
        <v>569</v>
      </c>
      <c r="O575" s="2">
        <f t="shared" si="50"/>
        <v>0</v>
      </c>
      <c r="P575" s="2" t="e">
        <f t="shared" si="51"/>
        <v>#DIV/0!</v>
      </c>
      <c r="Q575" s="2">
        <f t="shared" si="52"/>
        <v>0</v>
      </c>
      <c r="R575" s="2" t="e">
        <f t="shared" si="53"/>
        <v>#DIV/0!</v>
      </c>
      <c r="S575" s="2" t="e">
        <f t="shared" si="54"/>
        <v>#DIV/0!</v>
      </c>
    </row>
    <row r="576" spans="2:19" x14ac:dyDescent="0.25">
      <c r="B576" s="1">
        <f t="shared" si="55"/>
        <v>570</v>
      </c>
      <c r="O576" s="2">
        <f t="shared" si="50"/>
        <v>0</v>
      </c>
      <c r="P576" s="2" t="e">
        <f t="shared" si="51"/>
        <v>#DIV/0!</v>
      </c>
      <c r="Q576" s="2">
        <f t="shared" si="52"/>
        <v>0</v>
      </c>
      <c r="R576" s="2" t="e">
        <f t="shared" si="53"/>
        <v>#DIV/0!</v>
      </c>
      <c r="S576" s="2" t="e">
        <f t="shared" si="54"/>
        <v>#DIV/0!</v>
      </c>
    </row>
    <row r="577" spans="2:19" x14ac:dyDescent="0.25">
      <c r="B577" s="1">
        <f t="shared" si="55"/>
        <v>571</v>
      </c>
      <c r="O577" s="2">
        <f t="shared" si="50"/>
        <v>0</v>
      </c>
      <c r="P577" s="2" t="e">
        <f t="shared" si="51"/>
        <v>#DIV/0!</v>
      </c>
      <c r="Q577" s="2">
        <f t="shared" si="52"/>
        <v>0</v>
      </c>
      <c r="R577" s="2" t="e">
        <f t="shared" si="53"/>
        <v>#DIV/0!</v>
      </c>
      <c r="S577" s="2" t="e">
        <f t="shared" si="54"/>
        <v>#DIV/0!</v>
      </c>
    </row>
    <row r="578" spans="2:19" x14ac:dyDescent="0.25">
      <c r="B578" s="1">
        <f t="shared" si="55"/>
        <v>572</v>
      </c>
      <c r="O578" s="2">
        <f t="shared" si="50"/>
        <v>0</v>
      </c>
      <c r="P578" s="2" t="e">
        <f t="shared" si="51"/>
        <v>#DIV/0!</v>
      </c>
      <c r="Q578" s="2">
        <f t="shared" si="52"/>
        <v>0</v>
      </c>
      <c r="R578" s="2" t="e">
        <f t="shared" si="53"/>
        <v>#DIV/0!</v>
      </c>
      <c r="S578" s="2" t="e">
        <f t="shared" si="54"/>
        <v>#DIV/0!</v>
      </c>
    </row>
    <row r="579" spans="2:19" x14ac:dyDescent="0.25">
      <c r="B579" s="1">
        <f t="shared" si="55"/>
        <v>573</v>
      </c>
      <c r="O579" s="2">
        <f t="shared" si="50"/>
        <v>0</v>
      </c>
      <c r="P579" s="2" t="e">
        <f t="shared" si="51"/>
        <v>#DIV/0!</v>
      </c>
      <c r="Q579" s="2">
        <f t="shared" si="52"/>
        <v>0</v>
      </c>
      <c r="R579" s="2" t="e">
        <f t="shared" si="53"/>
        <v>#DIV/0!</v>
      </c>
      <c r="S579" s="2" t="e">
        <f t="shared" si="54"/>
        <v>#DIV/0!</v>
      </c>
    </row>
    <row r="580" spans="2:19" x14ac:dyDescent="0.25">
      <c r="B580" s="1">
        <f t="shared" si="55"/>
        <v>574</v>
      </c>
      <c r="O580" s="2">
        <f t="shared" si="50"/>
        <v>0</v>
      </c>
      <c r="P580" s="2" t="e">
        <f t="shared" si="51"/>
        <v>#DIV/0!</v>
      </c>
      <c r="Q580" s="2">
        <f t="shared" si="52"/>
        <v>0</v>
      </c>
      <c r="R580" s="2" t="e">
        <f t="shared" si="53"/>
        <v>#DIV/0!</v>
      </c>
      <c r="S580" s="2" t="e">
        <f t="shared" si="54"/>
        <v>#DIV/0!</v>
      </c>
    </row>
    <row r="581" spans="2:19" x14ac:dyDescent="0.25">
      <c r="B581" s="1">
        <f t="shared" si="55"/>
        <v>575</v>
      </c>
      <c r="O581" s="2">
        <f t="shared" si="50"/>
        <v>0</v>
      </c>
      <c r="P581" s="2" t="e">
        <f t="shared" si="51"/>
        <v>#DIV/0!</v>
      </c>
      <c r="Q581" s="2">
        <f t="shared" si="52"/>
        <v>0</v>
      </c>
      <c r="R581" s="2" t="e">
        <f t="shared" si="53"/>
        <v>#DIV/0!</v>
      </c>
      <c r="S581" s="2" t="e">
        <f t="shared" si="54"/>
        <v>#DIV/0!</v>
      </c>
    </row>
    <row r="582" spans="2:19" x14ac:dyDescent="0.25">
      <c r="B582" s="1">
        <f t="shared" si="55"/>
        <v>576</v>
      </c>
      <c r="O582" s="2">
        <f t="shared" si="50"/>
        <v>0</v>
      </c>
      <c r="P582" s="2" t="e">
        <f t="shared" si="51"/>
        <v>#DIV/0!</v>
      </c>
      <c r="Q582" s="2">
        <f t="shared" si="52"/>
        <v>0</v>
      </c>
      <c r="R582" s="2" t="e">
        <f t="shared" si="53"/>
        <v>#DIV/0!</v>
      </c>
      <c r="S582" s="2" t="e">
        <f t="shared" si="54"/>
        <v>#DIV/0!</v>
      </c>
    </row>
    <row r="583" spans="2:19" x14ac:dyDescent="0.25">
      <c r="B583" s="1">
        <f t="shared" si="55"/>
        <v>577</v>
      </c>
      <c r="O583" s="2">
        <f t="shared" si="50"/>
        <v>0</v>
      </c>
      <c r="P583" s="2" t="e">
        <f t="shared" si="51"/>
        <v>#DIV/0!</v>
      </c>
      <c r="Q583" s="2">
        <f t="shared" si="52"/>
        <v>0</v>
      </c>
      <c r="R583" s="2" t="e">
        <f t="shared" si="53"/>
        <v>#DIV/0!</v>
      </c>
      <c r="S583" s="2" t="e">
        <f t="shared" si="54"/>
        <v>#DIV/0!</v>
      </c>
    </row>
    <row r="584" spans="2:19" x14ac:dyDescent="0.25">
      <c r="B584" s="1">
        <f t="shared" si="55"/>
        <v>578</v>
      </c>
      <c r="O584" s="2">
        <f t="shared" ref="O584:O647" si="56">M584-$X$23</f>
        <v>0</v>
      </c>
      <c r="P584" s="2" t="e">
        <f t="shared" ref="P584:P647" si="57">O584*$AC$21+$Y$23</f>
        <v>#DIV/0!</v>
      </c>
      <c r="Q584" s="2">
        <f t="shared" ref="Q584:Q647" si="58">((D584+D585)/2)*(M585-M584)</f>
        <v>0</v>
      </c>
      <c r="R584" s="2" t="e">
        <f t="shared" ref="R584:R647" si="59">((P584+P585)/2)*(O585-O584)</f>
        <v>#DIV/0!</v>
      </c>
      <c r="S584" s="2" t="e">
        <f t="shared" ref="S584:S647" si="60">Q584-R584</f>
        <v>#DIV/0!</v>
      </c>
    </row>
    <row r="585" spans="2:19" x14ac:dyDescent="0.25">
      <c r="B585" s="1">
        <f t="shared" ref="B585:B648" si="61">B584+1</f>
        <v>579</v>
      </c>
      <c r="O585" s="2">
        <f t="shared" si="56"/>
        <v>0</v>
      </c>
      <c r="P585" s="2" t="e">
        <f t="shared" si="57"/>
        <v>#DIV/0!</v>
      </c>
      <c r="Q585" s="2">
        <f t="shared" si="58"/>
        <v>0</v>
      </c>
      <c r="R585" s="2" t="e">
        <f t="shared" si="59"/>
        <v>#DIV/0!</v>
      </c>
      <c r="S585" s="2" t="e">
        <f t="shared" si="60"/>
        <v>#DIV/0!</v>
      </c>
    </row>
    <row r="586" spans="2:19" x14ac:dyDescent="0.25">
      <c r="B586" s="1">
        <f t="shared" si="61"/>
        <v>580</v>
      </c>
      <c r="O586" s="2">
        <f t="shared" si="56"/>
        <v>0</v>
      </c>
      <c r="P586" s="2" t="e">
        <f t="shared" si="57"/>
        <v>#DIV/0!</v>
      </c>
      <c r="Q586" s="2">
        <f t="shared" si="58"/>
        <v>0</v>
      </c>
      <c r="R586" s="2" t="e">
        <f t="shared" si="59"/>
        <v>#DIV/0!</v>
      </c>
      <c r="S586" s="2" t="e">
        <f t="shared" si="60"/>
        <v>#DIV/0!</v>
      </c>
    </row>
    <row r="587" spans="2:19" x14ac:dyDescent="0.25">
      <c r="B587" s="1">
        <f t="shared" si="61"/>
        <v>581</v>
      </c>
      <c r="O587" s="2">
        <f t="shared" si="56"/>
        <v>0</v>
      </c>
      <c r="P587" s="2" t="e">
        <f t="shared" si="57"/>
        <v>#DIV/0!</v>
      </c>
      <c r="Q587" s="2">
        <f t="shared" si="58"/>
        <v>0</v>
      </c>
      <c r="R587" s="2" t="e">
        <f t="shared" si="59"/>
        <v>#DIV/0!</v>
      </c>
      <c r="S587" s="2" t="e">
        <f t="shared" si="60"/>
        <v>#DIV/0!</v>
      </c>
    </row>
    <row r="588" spans="2:19" x14ac:dyDescent="0.25">
      <c r="B588" s="1">
        <f t="shared" si="61"/>
        <v>582</v>
      </c>
      <c r="O588" s="2">
        <f t="shared" si="56"/>
        <v>0</v>
      </c>
      <c r="P588" s="2" t="e">
        <f t="shared" si="57"/>
        <v>#DIV/0!</v>
      </c>
      <c r="Q588" s="2">
        <f t="shared" si="58"/>
        <v>0</v>
      </c>
      <c r="R588" s="2" t="e">
        <f t="shared" si="59"/>
        <v>#DIV/0!</v>
      </c>
      <c r="S588" s="2" t="e">
        <f t="shared" si="60"/>
        <v>#DIV/0!</v>
      </c>
    </row>
    <row r="589" spans="2:19" x14ac:dyDescent="0.25">
      <c r="B589" s="1">
        <f t="shared" si="61"/>
        <v>583</v>
      </c>
      <c r="O589" s="2">
        <f t="shared" si="56"/>
        <v>0</v>
      </c>
      <c r="P589" s="2" t="e">
        <f t="shared" si="57"/>
        <v>#DIV/0!</v>
      </c>
      <c r="Q589" s="2">
        <f t="shared" si="58"/>
        <v>0</v>
      </c>
      <c r="R589" s="2" t="e">
        <f t="shared" si="59"/>
        <v>#DIV/0!</v>
      </c>
      <c r="S589" s="2" t="e">
        <f t="shared" si="60"/>
        <v>#DIV/0!</v>
      </c>
    </row>
    <row r="590" spans="2:19" x14ac:dyDescent="0.25">
      <c r="B590" s="1">
        <f t="shared" si="61"/>
        <v>584</v>
      </c>
      <c r="O590" s="2">
        <f t="shared" si="56"/>
        <v>0</v>
      </c>
      <c r="P590" s="2" t="e">
        <f t="shared" si="57"/>
        <v>#DIV/0!</v>
      </c>
      <c r="Q590" s="2">
        <f t="shared" si="58"/>
        <v>0</v>
      </c>
      <c r="R590" s="2" t="e">
        <f t="shared" si="59"/>
        <v>#DIV/0!</v>
      </c>
      <c r="S590" s="2" t="e">
        <f t="shared" si="60"/>
        <v>#DIV/0!</v>
      </c>
    </row>
    <row r="591" spans="2:19" x14ac:dyDescent="0.25">
      <c r="B591" s="1">
        <f t="shared" si="61"/>
        <v>585</v>
      </c>
      <c r="O591" s="2">
        <f t="shared" si="56"/>
        <v>0</v>
      </c>
      <c r="P591" s="2" t="e">
        <f t="shared" si="57"/>
        <v>#DIV/0!</v>
      </c>
      <c r="Q591" s="2">
        <f t="shared" si="58"/>
        <v>0</v>
      </c>
      <c r="R591" s="2" t="e">
        <f t="shared" si="59"/>
        <v>#DIV/0!</v>
      </c>
      <c r="S591" s="2" t="e">
        <f t="shared" si="60"/>
        <v>#DIV/0!</v>
      </c>
    </row>
    <row r="592" spans="2:19" x14ac:dyDescent="0.25">
      <c r="B592" s="1">
        <f t="shared" si="61"/>
        <v>586</v>
      </c>
      <c r="O592" s="2">
        <f t="shared" si="56"/>
        <v>0</v>
      </c>
      <c r="P592" s="2" t="e">
        <f t="shared" si="57"/>
        <v>#DIV/0!</v>
      </c>
      <c r="Q592" s="2">
        <f t="shared" si="58"/>
        <v>0</v>
      </c>
      <c r="R592" s="2" t="e">
        <f t="shared" si="59"/>
        <v>#DIV/0!</v>
      </c>
      <c r="S592" s="2" t="e">
        <f t="shared" si="60"/>
        <v>#DIV/0!</v>
      </c>
    </row>
    <row r="593" spans="2:19" x14ac:dyDescent="0.25">
      <c r="B593" s="1">
        <f t="shared" si="61"/>
        <v>587</v>
      </c>
      <c r="O593" s="2">
        <f t="shared" si="56"/>
        <v>0</v>
      </c>
      <c r="P593" s="2" t="e">
        <f t="shared" si="57"/>
        <v>#DIV/0!</v>
      </c>
      <c r="Q593" s="2">
        <f t="shared" si="58"/>
        <v>0</v>
      </c>
      <c r="R593" s="2" t="e">
        <f t="shared" si="59"/>
        <v>#DIV/0!</v>
      </c>
      <c r="S593" s="2" t="e">
        <f t="shared" si="60"/>
        <v>#DIV/0!</v>
      </c>
    </row>
    <row r="594" spans="2:19" x14ac:dyDescent="0.25">
      <c r="B594" s="1">
        <f t="shared" si="61"/>
        <v>588</v>
      </c>
      <c r="O594" s="2">
        <f t="shared" si="56"/>
        <v>0</v>
      </c>
      <c r="P594" s="2" t="e">
        <f t="shared" si="57"/>
        <v>#DIV/0!</v>
      </c>
      <c r="Q594" s="2">
        <f t="shared" si="58"/>
        <v>0</v>
      </c>
      <c r="R594" s="2" t="e">
        <f t="shared" si="59"/>
        <v>#DIV/0!</v>
      </c>
      <c r="S594" s="2" t="e">
        <f t="shared" si="60"/>
        <v>#DIV/0!</v>
      </c>
    </row>
    <row r="595" spans="2:19" x14ac:dyDescent="0.25">
      <c r="B595" s="1">
        <f t="shared" si="61"/>
        <v>589</v>
      </c>
      <c r="O595" s="2">
        <f t="shared" si="56"/>
        <v>0</v>
      </c>
      <c r="P595" s="2" t="e">
        <f t="shared" si="57"/>
        <v>#DIV/0!</v>
      </c>
      <c r="Q595" s="2">
        <f t="shared" si="58"/>
        <v>0</v>
      </c>
      <c r="R595" s="2" t="e">
        <f t="shared" si="59"/>
        <v>#DIV/0!</v>
      </c>
      <c r="S595" s="2" t="e">
        <f t="shared" si="60"/>
        <v>#DIV/0!</v>
      </c>
    </row>
    <row r="596" spans="2:19" x14ac:dyDescent="0.25">
      <c r="B596" s="1">
        <f t="shared" si="61"/>
        <v>590</v>
      </c>
      <c r="O596" s="2">
        <f t="shared" si="56"/>
        <v>0</v>
      </c>
      <c r="P596" s="2" t="e">
        <f t="shared" si="57"/>
        <v>#DIV/0!</v>
      </c>
      <c r="Q596" s="2">
        <f t="shared" si="58"/>
        <v>0</v>
      </c>
      <c r="R596" s="2" t="e">
        <f t="shared" si="59"/>
        <v>#DIV/0!</v>
      </c>
      <c r="S596" s="2" t="e">
        <f t="shared" si="60"/>
        <v>#DIV/0!</v>
      </c>
    </row>
    <row r="597" spans="2:19" x14ac:dyDescent="0.25">
      <c r="B597" s="1">
        <f t="shared" si="61"/>
        <v>591</v>
      </c>
      <c r="O597" s="2">
        <f t="shared" si="56"/>
        <v>0</v>
      </c>
      <c r="P597" s="2" t="e">
        <f t="shared" si="57"/>
        <v>#DIV/0!</v>
      </c>
      <c r="Q597" s="2">
        <f t="shared" si="58"/>
        <v>0</v>
      </c>
      <c r="R597" s="2" t="e">
        <f t="shared" si="59"/>
        <v>#DIV/0!</v>
      </c>
      <c r="S597" s="2" t="e">
        <f t="shared" si="60"/>
        <v>#DIV/0!</v>
      </c>
    </row>
    <row r="598" spans="2:19" x14ac:dyDescent="0.25">
      <c r="B598" s="1">
        <f t="shared" si="61"/>
        <v>592</v>
      </c>
      <c r="O598" s="2">
        <f t="shared" si="56"/>
        <v>0</v>
      </c>
      <c r="P598" s="2" t="e">
        <f t="shared" si="57"/>
        <v>#DIV/0!</v>
      </c>
      <c r="Q598" s="2">
        <f t="shared" si="58"/>
        <v>0</v>
      </c>
      <c r="R598" s="2" t="e">
        <f t="shared" si="59"/>
        <v>#DIV/0!</v>
      </c>
      <c r="S598" s="2" t="e">
        <f t="shared" si="60"/>
        <v>#DIV/0!</v>
      </c>
    </row>
    <row r="599" spans="2:19" x14ac:dyDescent="0.25">
      <c r="B599" s="1">
        <f t="shared" si="61"/>
        <v>593</v>
      </c>
      <c r="O599" s="2">
        <f t="shared" si="56"/>
        <v>0</v>
      </c>
      <c r="P599" s="2" t="e">
        <f t="shared" si="57"/>
        <v>#DIV/0!</v>
      </c>
      <c r="Q599" s="2">
        <f t="shared" si="58"/>
        <v>0</v>
      </c>
      <c r="R599" s="2" t="e">
        <f t="shared" si="59"/>
        <v>#DIV/0!</v>
      </c>
      <c r="S599" s="2" t="e">
        <f t="shared" si="60"/>
        <v>#DIV/0!</v>
      </c>
    </row>
    <row r="600" spans="2:19" x14ac:dyDescent="0.25">
      <c r="B600" s="1">
        <f t="shared" si="61"/>
        <v>594</v>
      </c>
      <c r="O600" s="2">
        <f t="shared" si="56"/>
        <v>0</v>
      </c>
      <c r="P600" s="2" t="e">
        <f t="shared" si="57"/>
        <v>#DIV/0!</v>
      </c>
      <c r="Q600" s="2">
        <f t="shared" si="58"/>
        <v>0</v>
      </c>
      <c r="R600" s="2" t="e">
        <f t="shared" si="59"/>
        <v>#DIV/0!</v>
      </c>
      <c r="S600" s="2" t="e">
        <f t="shared" si="60"/>
        <v>#DIV/0!</v>
      </c>
    </row>
    <row r="601" spans="2:19" x14ac:dyDescent="0.25">
      <c r="B601" s="1">
        <f t="shared" si="61"/>
        <v>595</v>
      </c>
      <c r="O601" s="2">
        <f t="shared" si="56"/>
        <v>0</v>
      </c>
      <c r="P601" s="2" t="e">
        <f t="shared" si="57"/>
        <v>#DIV/0!</v>
      </c>
      <c r="Q601" s="2">
        <f t="shared" si="58"/>
        <v>0</v>
      </c>
      <c r="R601" s="2" t="e">
        <f t="shared" si="59"/>
        <v>#DIV/0!</v>
      </c>
      <c r="S601" s="2" t="e">
        <f t="shared" si="60"/>
        <v>#DIV/0!</v>
      </c>
    </row>
    <row r="602" spans="2:19" x14ac:dyDescent="0.25">
      <c r="B602" s="1">
        <f t="shared" si="61"/>
        <v>596</v>
      </c>
      <c r="O602" s="2">
        <f t="shared" si="56"/>
        <v>0</v>
      </c>
      <c r="P602" s="2" t="e">
        <f t="shared" si="57"/>
        <v>#DIV/0!</v>
      </c>
      <c r="Q602" s="2">
        <f t="shared" si="58"/>
        <v>0</v>
      </c>
      <c r="R602" s="2" t="e">
        <f t="shared" si="59"/>
        <v>#DIV/0!</v>
      </c>
      <c r="S602" s="2" t="e">
        <f t="shared" si="60"/>
        <v>#DIV/0!</v>
      </c>
    </row>
    <row r="603" spans="2:19" x14ac:dyDescent="0.25">
      <c r="B603" s="1">
        <f t="shared" si="61"/>
        <v>597</v>
      </c>
      <c r="O603" s="2">
        <f t="shared" si="56"/>
        <v>0</v>
      </c>
      <c r="P603" s="2" t="e">
        <f t="shared" si="57"/>
        <v>#DIV/0!</v>
      </c>
      <c r="Q603" s="2">
        <f t="shared" si="58"/>
        <v>0</v>
      </c>
      <c r="R603" s="2" t="e">
        <f t="shared" si="59"/>
        <v>#DIV/0!</v>
      </c>
      <c r="S603" s="2" t="e">
        <f t="shared" si="60"/>
        <v>#DIV/0!</v>
      </c>
    </row>
    <row r="604" spans="2:19" x14ac:dyDescent="0.25">
      <c r="B604" s="1">
        <f t="shared" si="61"/>
        <v>598</v>
      </c>
      <c r="O604" s="2">
        <f t="shared" si="56"/>
        <v>0</v>
      </c>
      <c r="P604" s="2" t="e">
        <f t="shared" si="57"/>
        <v>#DIV/0!</v>
      </c>
      <c r="Q604" s="2">
        <f t="shared" si="58"/>
        <v>0</v>
      </c>
      <c r="R604" s="2" t="e">
        <f t="shared" si="59"/>
        <v>#DIV/0!</v>
      </c>
      <c r="S604" s="2" t="e">
        <f t="shared" si="60"/>
        <v>#DIV/0!</v>
      </c>
    </row>
    <row r="605" spans="2:19" x14ac:dyDescent="0.25">
      <c r="B605" s="1">
        <f t="shared" si="61"/>
        <v>599</v>
      </c>
      <c r="O605" s="2">
        <f t="shared" si="56"/>
        <v>0</v>
      </c>
      <c r="P605" s="2" t="e">
        <f t="shared" si="57"/>
        <v>#DIV/0!</v>
      </c>
      <c r="Q605" s="2">
        <f t="shared" si="58"/>
        <v>0</v>
      </c>
      <c r="R605" s="2" t="e">
        <f t="shared" si="59"/>
        <v>#DIV/0!</v>
      </c>
      <c r="S605" s="2" t="e">
        <f t="shared" si="60"/>
        <v>#DIV/0!</v>
      </c>
    </row>
    <row r="606" spans="2:19" x14ac:dyDescent="0.25">
      <c r="B606" s="1">
        <f t="shared" si="61"/>
        <v>600</v>
      </c>
      <c r="O606" s="2">
        <f t="shared" si="56"/>
        <v>0</v>
      </c>
      <c r="P606" s="2" t="e">
        <f t="shared" si="57"/>
        <v>#DIV/0!</v>
      </c>
      <c r="Q606" s="2">
        <f t="shared" si="58"/>
        <v>0</v>
      </c>
      <c r="R606" s="2" t="e">
        <f t="shared" si="59"/>
        <v>#DIV/0!</v>
      </c>
      <c r="S606" s="2" t="e">
        <f t="shared" si="60"/>
        <v>#DIV/0!</v>
      </c>
    </row>
    <row r="607" spans="2:19" x14ac:dyDescent="0.25">
      <c r="B607" s="1">
        <f t="shared" si="61"/>
        <v>601</v>
      </c>
      <c r="O607" s="2">
        <f t="shared" si="56"/>
        <v>0</v>
      </c>
      <c r="P607" s="2" t="e">
        <f t="shared" si="57"/>
        <v>#DIV/0!</v>
      </c>
      <c r="Q607" s="2">
        <f t="shared" si="58"/>
        <v>0</v>
      </c>
      <c r="R607" s="2" t="e">
        <f t="shared" si="59"/>
        <v>#DIV/0!</v>
      </c>
      <c r="S607" s="2" t="e">
        <f t="shared" si="60"/>
        <v>#DIV/0!</v>
      </c>
    </row>
    <row r="608" spans="2:19" x14ac:dyDescent="0.25">
      <c r="B608" s="1">
        <f t="shared" si="61"/>
        <v>602</v>
      </c>
      <c r="O608" s="2">
        <f t="shared" si="56"/>
        <v>0</v>
      </c>
      <c r="P608" s="2" t="e">
        <f t="shared" si="57"/>
        <v>#DIV/0!</v>
      </c>
      <c r="Q608" s="2">
        <f t="shared" si="58"/>
        <v>0</v>
      </c>
      <c r="R608" s="2" t="e">
        <f t="shared" si="59"/>
        <v>#DIV/0!</v>
      </c>
      <c r="S608" s="2" t="e">
        <f t="shared" si="60"/>
        <v>#DIV/0!</v>
      </c>
    </row>
    <row r="609" spans="2:19" x14ac:dyDescent="0.25">
      <c r="B609" s="1">
        <f t="shared" si="61"/>
        <v>603</v>
      </c>
      <c r="O609" s="2">
        <f t="shared" si="56"/>
        <v>0</v>
      </c>
      <c r="P609" s="2" t="e">
        <f t="shared" si="57"/>
        <v>#DIV/0!</v>
      </c>
      <c r="Q609" s="2">
        <f t="shared" si="58"/>
        <v>0</v>
      </c>
      <c r="R609" s="2" t="e">
        <f t="shared" si="59"/>
        <v>#DIV/0!</v>
      </c>
      <c r="S609" s="2" t="e">
        <f t="shared" si="60"/>
        <v>#DIV/0!</v>
      </c>
    </row>
    <row r="610" spans="2:19" x14ac:dyDescent="0.25">
      <c r="B610" s="1">
        <f t="shared" si="61"/>
        <v>604</v>
      </c>
      <c r="O610" s="2">
        <f t="shared" si="56"/>
        <v>0</v>
      </c>
      <c r="P610" s="2" t="e">
        <f t="shared" si="57"/>
        <v>#DIV/0!</v>
      </c>
      <c r="Q610" s="2">
        <f t="shared" si="58"/>
        <v>0</v>
      </c>
      <c r="R610" s="2" t="e">
        <f t="shared" si="59"/>
        <v>#DIV/0!</v>
      </c>
      <c r="S610" s="2" t="e">
        <f t="shared" si="60"/>
        <v>#DIV/0!</v>
      </c>
    </row>
    <row r="611" spans="2:19" x14ac:dyDescent="0.25">
      <c r="B611" s="1">
        <f t="shared" si="61"/>
        <v>605</v>
      </c>
      <c r="O611" s="2">
        <f t="shared" si="56"/>
        <v>0</v>
      </c>
      <c r="P611" s="2" t="e">
        <f t="shared" si="57"/>
        <v>#DIV/0!</v>
      </c>
      <c r="Q611" s="2">
        <f t="shared" si="58"/>
        <v>0</v>
      </c>
      <c r="R611" s="2" t="e">
        <f t="shared" si="59"/>
        <v>#DIV/0!</v>
      </c>
      <c r="S611" s="2" t="e">
        <f t="shared" si="60"/>
        <v>#DIV/0!</v>
      </c>
    </row>
    <row r="612" spans="2:19" x14ac:dyDescent="0.25">
      <c r="B612" s="1">
        <f t="shared" si="61"/>
        <v>606</v>
      </c>
      <c r="O612" s="2">
        <f t="shared" si="56"/>
        <v>0</v>
      </c>
      <c r="P612" s="2" t="e">
        <f t="shared" si="57"/>
        <v>#DIV/0!</v>
      </c>
      <c r="Q612" s="2">
        <f t="shared" si="58"/>
        <v>0</v>
      </c>
      <c r="R612" s="2" t="e">
        <f t="shared" si="59"/>
        <v>#DIV/0!</v>
      </c>
      <c r="S612" s="2" t="e">
        <f t="shared" si="60"/>
        <v>#DIV/0!</v>
      </c>
    </row>
    <row r="613" spans="2:19" x14ac:dyDescent="0.25">
      <c r="B613" s="1">
        <f t="shared" si="61"/>
        <v>607</v>
      </c>
      <c r="O613" s="2">
        <f t="shared" si="56"/>
        <v>0</v>
      </c>
      <c r="P613" s="2" t="e">
        <f t="shared" si="57"/>
        <v>#DIV/0!</v>
      </c>
      <c r="Q613" s="2">
        <f t="shared" si="58"/>
        <v>0</v>
      </c>
      <c r="R613" s="2" t="e">
        <f t="shared" si="59"/>
        <v>#DIV/0!</v>
      </c>
      <c r="S613" s="2" t="e">
        <f t="shared" si="60"/>
        <v>#DIV/0!</v>
      </c>
    </row>
    <row r="614" spans="2:19" x14ac:dyDescent="0.25">
      <c r="B614" s="1">
        <f t="shared" si="61"/>
        <v>608</v>
      </c>
      <c r="O614" s="2">
        <f t="shared" si="56"/>
        <v>0</v>
      </c>
      <c r="P614" s="2" t="e">
        <f t="shared" si="57"/>
        <v>#DIV/0!</v>
      </c>
      <c r="Q614" s="2">
        <f t="shared" si="58"/>
        <v>0</v>
      </c>
      <c r="R614" s="2" t="e">
        <f t="shared" si="59"/>
        <v>#DIV/0!</v>
      </c>
      <c r="S614" s="2" t="e">
        <f t="shared" si="60"/>
        <v>#DIV/0!</v>
      </c>
    </row>
    <row r="615" spans="2:19" x14ac:dyDescent="0.25">
      <c r="B615" s="1">
        <f t="shared" si="61"/>
        <v>609</v>
      </c>
      <c r="O615" s="2">
        <f t="shared" si="56"/>
        <v>0</v>
      </c>
      <c r="P615" s="2" t="e">
        <f t="shared" si="57"/>
        <v>#DIV/0!</v>
      </c>
      <c r="Q615" s="2">
        <f t="shared" si="58"/>
        <v>0</v>
      </c>
      <c r="R615" s="2" t="e">
        <f t="shared" si="59"/>
        <v>#DIV/0!</v>
      </c>
      <c r="S615" s="2" t="e">
        <f t="shared" si="60"/>
        <v>#DIV/0!</v>
      </c>
    </row>
    <row r="616" spans="2:19" x14ac:dyDescent="0.25">
      <c r="B616" s="1">
        <f t="shared" si="61"/>
        <v>610</v>
      </c>
      <c r="O616" s="2">
        <f t="shared" si="56"/>
        <v>0</v>
      </c>
      <c r="P616" s="2" t="e">
        <f t="shared" si="57"/>
        <v>#DIV/0!</v>
      </c>
      <c r="Q616" s="2">
        <f t="shared" si="58"/>
        <v>0</v>
      </c>
      <c r="R616" s="2" t="e">
        <f t="shared" si="59"/>
        <v>#DIV/0!</v>
      </c>
      <c r="S616" s="2" t="e">
        <f t="shared" si="60"/>
        <v>#DIV/0!</v>
      </c>
    </row>
    <row r="617" spans="2:19" x14ac:dyDescent="0.25">
      <c r="B617" s="1">
        <f t="shared" si="61"/>
        <v>611</v>
      </c>
      <c r="O617" s="2">
        <f t="shared" si="56"/>
        <v>0</v>
      </c>
      <c r="P617" s="2" t="e">
        <f t="shared" si="57"/>
        <v>#DIV/0!</v>
      </c>
      <c r="Q617" s="2">
        <f t="shared" si="58"/>
        <v>0</v>
      </c>
      <c r="R617" s="2" t="e">
        <f t="shared" si="59"/>
        <v>#DIV/0!</v>
      </c>
      <c r="S617" s="2" t="e">
        <f t="shared" si="60"/>
        <v>#DIV/0!</v>
      </c>
    </row>
    <row r="618" spans="2:19" x14ac:dyDescent="0.25">
      <c r="B618" s="1">
        <f t="shared" si="61"/>
        <v>612</v>
      </c>
      <c r="O618" s="2">
        <f t="shared" si="56"/>
        <v>0</v>
      </c>
      <c r="P618" s="2" t="e">
        <f t="shared" si="57"/>
        <v>#DIV/0!</v>
      </c>
      <c r="Q618" s="2">
        <f t="shared" si="58"/>
        <v>0</v>
      </c>
      <c r="R618" s="2" t="e">
        <f t="shared" si="59"/>
        <v>#DIV/0!</v>
      </c>
      <c r="S618" s="2" t="e">
        <f t="shared" si="60"/>
        <v>#DIV/0!</v>
      </c>
    </row>
    <row r="619" spans="2:19" x14ac:dyDescent="0.25">
      <c r="B619" s="1">
        <f t="shared" si="61"/>
        <v>613</v>
      </c>
      <c r="O619" s="2">
        <f t="shared" si="56"/>
        <v>0</v>
      </c>
      <c r="P619" s="2" t="e">
        <f t="shared" si="57"/>
        <v>#DIV/0!</v>
      </c>
      <c r="Q619" s="2">
        <f t="shared" si="58"/>
        <v>0</v>
      </c>
      <c r="R619" s="2" t="e">
        <f t="shared" si="59"/>
        <v>#DIV/0!</v>
      </c>
      <c r="S619" s="2" t="e">
        <f t="shared" si="60"/>
        <v>#DIV/0!</v>
      </c>
    </row>
    <row r="620" spans="2:19" x14ac:dyDescent="0.25">
      <c r="B620" s="1">
        <f t="shared" si="61"/>
        <v>614</v>
      </c>
      <c r="O620" s="2">
        <f t="shared" si="56"/>
        <v>0</v>
      </c>
      <c r="P620" s="2" t="e">
        <f t="shared" si="57"/>
        <v>#DIV/0!</v>
      </c>
      <c r="Q620" s="2">
        <f t="shared" si="58"/>
        <v>0</v>
      </c>
      <c r="R620" s="2" t="e">
        <f t="shared" si="59"/>
        <v>#DIV/0!</v>
      </c>
      <c r="S620" s="2" t="e">
        <f t="shared" si="60"/>
        <v>#DIV/0!</v>
      </c>
    </row>
    <row r="621" spans="2:19" x14ac:dyDescent="0.25">
      <c r="B621" s="1">
        <f t="shared" si="61"/>
        <v>615</v>
      </c>
      <c r="O621" s="2">
        <f t="shared" si="56"/>
        <v>0</v>
      </c>
      <c r="P621" s="2" t="e">
        <f t="shared" si="57"/>
        <v>#DIV/0!</v>
      </c>
      <c r="Q621" s="2">
        <f t="shared" si="58"/>
        <v>0</v>
      </c>
      <c r="R621" s="2" t="e">
        <f t="shared" si="59"/>
        <v>#DIV/0!</v>
      </c>
      <c r="S621" s="2" t="e">
        <f t="shared" si="60"/>
        <v>#DIV/0!</v>
      </c>
    </row>
    <row r="622" spans="2:19" x14ac:dyDescent="0.25">
      <c r="B622" s="1">
        <f t="shared" si="61"/>
        <v>616</v>
      </c>
      <c r="O622" s="2">
        <f t="shared" si="56"/>
        <v>0</v>
      </c>
      <c r="P622" s="2" t="e">
        <f t="shared" si="57"/>
        <v>#DIV/0!</v>
      </c>
      <c r="Q622" s="2">
        <f t="shared" si="58"/>
        <v>0</v>
      </c>
      <c r="R622" s="2" t="e">
        <f t="shared" si="59"/>
        <v>#DIV/0!</v>
      </c>
      <c r="S622" s="2" t="e">
        <f t="shared" si="60"/>
        <v>#DIV/0!</v>
      </c>
    </row>
    <row r="623" spans="2:19" x14ac:dyDescent="0.25">
      <c r="B623" s="1">
        <f t="shared" si="61"/>
        <v>617</v>
      </c>
      <c r="O623" s="2">
        <f t="shared" si="56"/>
        <v>0</v>
      </c>
      <c r="P623" s="2" t="e">
        <f t="shared" si="57"/>
        <v>#DIV/0!</v>
      </c>
      <c r="Q623" s="2">
        <f t="shared" si="58"/>
        <v>0</v>
      </c>
      <c r="R623" s="2" t="e">
        <f t="shared" si="59"/>
        <v>#DIV/0!</v>
      </c>
      <c r="S623" s="2" t="e">
        <f t="shared" si="60"/>
        <v>#DIV/0!</v>
      </c>
    </row>
    <row r="624" spans="2:19" x14ac:dyDescent="0.25">
      <c r="B624" s="1">
        <f t="shared" si="61"/>
        <v>618</v>
      </c>
      <c r="O624" s="2">
        <f t="shared" si="56"/>
        <v>0</v>
      </c>
      <c r="P624" s="2" t="e">
        <f t="shared" si="57"/>
        <v>#DIV/0!</v>
      </c>
      <c r="Q624" s="2">
        <f t="shared" si="58"/>
        <v>0</v>
      </c>
      <c r="R624" s="2" t="e">
        <f t="shared" si="59"/>
        <v>#DIV/0!</v>
      </c>
      <c r="S624" s="2" t="e">
        <f t="shared" si="60"/>
        <v>#DIV/0!</v>
      </c>
    </row>
    <row r="625" spans="2:19" x14ac:dyDescent="0.25">
      <c r="B625" s="1">
        <f t="shared" si="61"/>
        <v>619</v>
      </c>
      <c r="O625" s="2">
        <f t="shared" si="56"/>
        <v>0</v>
      </c>
      <c r="P625" s="2" t="e">
        <f t="shared" si="57"/>
        <v>#DIV/0!</v>
      </c>
      <c r="Q625" s="2">
        <f t="shared" si="58"/>
        <v>0</v>
      </c>
      <c r="R625" s="2" t="e">
        <f t="shared" si="59"/>
        <v>#DIV/0!</v>
      </c>
      <c r="S625" s="2" t="e">
        <f t="shared" si="60"/>
        <v>#DIV/0!</v>
      </c>
    </row>
    <row r="626" spans="2:19" x14ac:dyDescent="0.25">
      <c r="B626" s="1">
        <f t="shared" si="61"/>
        <v>620</v>
      </c>
      <c r="O626" s="2">
        <f t="shared" si="56"/>
        <v>0</v>
      </c>
      <c r="P626" s="2" t="e">
        <f t="shared" si="57"/>
        <v>#DIV/0!</v>
      </c>
      <c r="Q626" s="2">
        <f t="shared" si="58"/>
        <v>0</v>
      </c>
      <c r="R626" s="2" t="e">
        <f t="shared" si="59"/>
        <v>#DIV/0!</v>
      </c>
      <c r="S626" s="2" t="e">
        <f t="shared" si="60"/>
        <v>#DIV/0!</v>
      </c>
    </row>
    <row r="627" spans="2:19" x14ac:dyDescent="0.25">
      <c r="B627" s="1">
        <f t="shared" si="61"/>
        <v>621</v>
      </c>
      <c r="O627" s="2">
        <f t="shared" si="56"/>
        <v>0</v>
      </c>
      <c r="P627" s="2" t="e">
        <f t="shared" si="57"/>
        <v>#DIV/0!</v>
      </c>
      <c r="Q627" s="2">
        <f t="shared" si="58"/>
        <v>0</v>
      </c>
      <c r="R627" s="2" t="e">
        <f t="shared" si="59"/>
        <v>#DIV/0!</v>
      </c>
      <c r="S627" s="2" t="e">
        <f t="shared" si="60"/>
        <v>#DIV/0!</v>
      </c>
    </row>
    <row r="628" spans="2:19" x14ac:dyDescent="0.25">
      <c r="B628" s="1">
        <f t="shared" si="61"/>
        <v>622</v>
      </c>
      <c r="O628" s="2">
        <f t="shared" si="56"/>
        <v>0</v>
      </c>
      <c r="P628" s="2" t="e">
        <f t="shared" si="57"/>
        <v>#DIV/0!</v>
      </c>
      <c r="Q628" s="2">
        <f t="shared" si="58"/>
        <v>0</v>
      </c>
      <c r="R628" s="2" t="e">
        <f t="shared" si="59"/>
        <v>#DIV/0!</v>
      </c>
      <c r="S628" s="2" t="e">
        <f t="shared" si="60"/>
        <v>#DIV/0!</v>
      </c>
    </row>
    <row r="629" spans="2:19" x14ac:dyDescent="0.25">
      <c r="B629" s="1">
        <f t="shared" si="61"/>
        <v>623</v>
      </c>
      <c r="O629" s="2">
        <f t="shared" si="56"/>
        <v>0</v>
      </c>
      <c r="P629" s="2" t="e">
        <f t="shared" si="57"/>
        <v>#DIV/0!</v>
      </c>
      <c r="Q629" s="2">
        <f t="shared" si="58"/>
        <v>0</v>
      </c>
      <c r="R629" s="2" t="e">
        <f t="shared" si="59"/>
        <v>#DIV/0!</v>
      </c>
      <c r="S629" s="2" t="e">
        <f t="shared" si="60"/>
        <v>#DIV/0!</v>
      </c>
    </row>
    <row r="630" spans="2:19" x14ac:dyDescent="0.25">
      <c r="B630" s="1">
        <f t="shared" si="61"/>
        <v>624</v>
      </c>
      <c r="O630" s="2">
        <f t="shared" si="56"/>
        <v>0</v>
      </c>
      <c r="P630" s="2" t="e">
        <f t="shared" si="57"/>
        <v>#DIV/0!</v>
      </c>
      <c r="Q630" s="2">
        <f t="shared" si="58"/>
        <v>0</v>
      </c>
      <c r="R630" s="2" t="e">
        <f t="shared" si="59"/>
        <v>#DIV/0!</v>
      </c>
      <c r="S630" s="2" t="e">
        <f t="shared" si="60"/>
        <v>#DIV/0!</v>
      </c>
    </row>
    <row r="631" spans="2:19" x14ac:dyDescent="0.25">
      <c r="B631" s="1">
        <f t="shared" si="61"/>
        <v>625</v>
      </c>
      <c r="O631" s="2">
        <f t="shared" si="56"/>
        <v>0</v>
      </c>
      <c r="P631" s="2" t="e">
        <f t="shared" si="57"/>
        <v>#DIV/0!</v>
      </c>
      <c r="Q631" s="2">
        <f t="shared" si="58"/>
        <v>0</v>
      </c>
      <c r="R631" s="2" t="e">
        <f t="shared" si="59"/>
        <v>#DIV/0!</v>
      </c>
      <c r="S631" s="2" t="e">
        <f t="shared" si="60"/>
        <v>#DIV/0!</v>
      </c>
    </row>
    <row r="632" spans="2:19" x14ac:dyDescent="0.25">
      <c r="B632" s="1">
        <f t="shared" si="61"/>
        <v>626</v>
      </c>
      <c r="O632" s="2">
        <f t="shared" si="56"/>
        <v>0</v>
      </c>
      <c r="P632" s="2" t="e">
        <f t="shared" si="57"/>
        <v>#DIV/0!</v>
      </c>
      <c r="Q632" s="2">
        <f t="shared" si="58"/>
        <v>0</v>
      </c>
      <c r="R632" s="2" t="e">
        <f t="shared" si="59"/>
        <v>#DIV/0!</v>
      </c>
      <c r="S632" s="2" t="e">
        <f t="shared" si="60"/>
        <v>#DIV/0!</v>
      </c>
    </row>
    <row r="633" spans="2:19" x14ac:dyDescent="0.25">
      <c r="B633" s="1">
        <f t="shared" si="61"/>
        <v>627</v>
      </c>
      <c r="O633" s="2">
        <f t="shared" si="56"/>
        <v>0</v>
      </c>
      <c r="P633" s="2" t="e">
        <f t="shared" si="57"/>
        <v>#DIV/0!</v>
      </c>
      <c r="Q633" s="2">
        <f t="shared" si="58"/>
        <v>0</v>
      </c>
      <c r="R633" s="2" t="e">
        <f t="shared" si="59"/>
        <v>#DIV/0!</v>
      </c>
      <c r="S633" s="2" t="e">
        <f t="shared" si="60"/>
        <v>#DIV/0!</v>
      </c>
    </row>
    <row r="634" spans="2:19" x14ac:dyDescent="0.25">
      <c r="B634" s="1">
        <f t="shared" si="61"/>
        <v>628</v>
      </c>
      <c r="O634" s="2">
        <f t="shared" si="56"/>
        <v>0</v>
      </c>
      <c r="P634" s="2" t="e">
        <f t="shared" si="57"/>
        <v>#DIV/0!</v>
      </c>
      <c r="Q634" s="2">
        <f t="shared" si="58"/>
        <v>0</v>
      </c>
      <c r="R634" s="2" t="e">
        <f t="shared" si="59"/>
        <v>#DIV/0!</v>
      </c>
      <c r="S634" s="2" t="e">
        <f t="shared" si="60"/>
        <v>#DIV/0!</v>
      </c>
    </row>
    <row r="635" spans="2:19" x14ac:dyDescent="0.25">
      <c r="B635" s="1">
        <f t="shared" si="61"/>
        <v>629</v>
      </c>
      <c r="O635" s="2">
        <f t="shared" si="56"/>
        <v>0</v>
      </c>
      <c r="P635" s="2" t="e">
        <f t="shared" si="57"/>
        <v>#DIV/0!</v>
      </c>
      <c r="Q635" s="2">
        <f t="shared" si="58"/>
        <v>0</v>
      </c>
      <c r="R635" s="2" t="e">
        <f t="shared" si="59"/>
        <v>#DIV/0!</v>
      </c>
      <c r="S635" s="2" t="e">
        <f t="shared" si="60"/>
        <v>#DIV/0!</v>
      </c>
    </row>
    <row r="636" spans="2:19" x14ac:dyDescent="0.25">
      <c r="B636" s="1">
        <f t="shared" si="61"/>
        <v>630</v>
      </c>
      <c r="O636" s="2">
        <f t="shared" si="56"/>
        <v>0</v>
      </c>
      <c r="P636" s="2" t="e">
        <f t="shared" si="57"/>
        <v>#DIV/0!</v>
      </c>
      <c r="Q636" s="2">
        <f t="shared" si="58"/>
        <v>0</v>
      </c>
      <c r="R636" s="2" t="e">
        <f t="shared" si="59"/>
        <v>#DIV/0!</v>
      </c>
      <c r="S636" s="2" t="e">
        <f t="shared" si="60"/>
        <v>#DIV/0!</v>
      </c>
    </row>
    <row r="637" spans="2:19" x14ac:dyDescent="0.25">
      <c r="B637" s="1">
        <f t="shared" si="61"/>
        <v>631</v>
      </c>
      <c r="O637" s="2">
        <f t="shared" si="56"/>
        <v>0</v>
      </c>
      <c r="P637" s="2" t="e">
        <f t="shared" si="57"/>
        <v>#DIV/0!</v>
      </c>
      <c r="Q637" s="2">
        <f t="shared" si="58"/>
        <v>0</v>
      </c>
      <c r="R637" s="2" t="e">
        <f t="shared" si="59"/>
        <v>#DIV/0!</v>
      </c>
      <c r="S637" s="2" t="e">
        <f t="shared" si="60"/>
        <v>#DIV/0!</v>
      </c>
    </row>
    <row r="638" spans="2:19" x14ac:dyDescent="0.25">
      <c r="B638" s="1">
        <f t="shared" si="61"/>
        <v>632</v>
      </c>
      <c r="O638" s="2">
        <f t="shared" si="56"/>
        <v>0</v>
      </c>
      <c r="P638" s="2" t="e">
        <f t="shared" si="57"/>
        <v>#DIV/0!</v>
      </c>
      <c r="Q638" s="2">
        <f t="shared" si="58"/>
        <v>0</v>
      </c>
      <c r="R638" s="2" t="e">
        <f t="shared" si="59"/>
        <v>#DIV/0!</v>
      </c>
      <c r="S638" s="2" t="e">
        <f t="shared" si="60"/>
        <v>#DIV/0!</v>
      </c>
    </row>
    <row r="639" spans="2:19" x14ac:dyDescent="0.25">
      <c r="B639" s="1">
        <f t="shared" si="61"/>
        <v>633</v>
      </c>
      <c r="O639" s="2">
        <f t="shared" si="56"/>
        <v>0</v>
      </c>
      <c r="P639" s="2" t="e">
        <f t="shared" si="57"/>
        <v>#DIV/0!</v>
      </c>
      <c r="Q639" s="2">
        <f t="shared" si="58"/>
        <v>0</v>
      </c>
      <c r="R639" s="2" t="e">
        <f t="shared" si="59"/>
        <v>#DIV/0!</v>
      </c>
      <c r="S639" s="2" t="e">
        <f t="shared" si="60"/>
        <v>#DIV/0!</v>
      </c>
    </row>
    <row r="640" spans="2:19" x14ac:dyDescent="0.25">
      <c r="B640" s="1">
        <f t="shared" si="61"/>
        <v>634</v>
      </c>
      <c r="O640" s="2">
        <f t="shared" si="56"/>
        <v>0</v>
      </c>
      <c r="P640" s="2" t="e">
        <f t="shared" si="57"/>
        <v>#DIV/0!</v>
      </c>
      <c r="Q640" s="2">
        <f t="shared" si="58"/>
        <v>0</v>
      </c>
      <c r="R640" s="2" t="e">
        <f t="shared" si="59"/>
        <v>#DIV/0!</v>
      </c>
      <c r="S640" s="2" t="e">
        <f t="shared" si="60"/>
        <v>#DIV/0!</v>
      </c>
    </row>
    <row r="641" spans="2:19" x14ac:dyDescent="0.25">
      <c r="B641" s="1">
        <f t="shared" si="61"/>
        <v>635</v>
      </c>
      <c r="O641" s="2">
        <f t="shared" si="56"/>
        <v>0</v>
      </c>
      <c r="P641" s="2" t="e">
        <f t="shared" si="57"/>
        <v>#DIV/0!</v>
      </c>
      <c r="Q641" s="2">
        <f t="shared" si="58"/>
        <v>0</v>
      </c>
      <c r="R641" s="2" t="e">
        <f t="shared" si="59"/>
        <v>#DIV/0!</v>
      </c>
      <c r="S641" s="2" t="e">
        <f t="shared" si="60"/>
        <v>#DIV/0!</v>
      </c>
    </row>
    <row r="642" spans="2:19" x14ac:dyDescent="0.25">
      <c r="B642" s="1">
        <f t="shared" si="61"/>
        <v>636</v>
      </c>
      <c r="O642" s="2">
        <f t="shared" si="56"/>
        <v>0</v>
      </c>
      <c r="P642" s="2" t="e">
        <f t="shared" si="57"/>
        <v>#DIV/0!</v>
      </c>
      <c r="Q642" s="2">
        <f t="shared" si="58"/>
        <v>0</v>
      </c>
      <c r="R642" s="2" t="e">
        <f t="shared" si="59"/>
        <v>#DIV/0!</v>
      </c>
      <c r="S642" s="2" t="e">
        <f t="shared" si="60"/>
        <v>#DIV/0!</v>
      </c>
    </row>
    <row r="643" spans="2:19" x14ac:dyDescent="0.25">
      <c r="B643" s="1">
        <f t="shared" si="61"/>
        <v>637</v>
      </c>
      <c r="O643" s="2">
        <f t="shared" si="56"/>
        <v>0</v>
      </c>
      <c r="P643" s="2" t="e">
        <f t="shared" si="57"/>
        <v>#DIV/0!</v>
      </c>
      <c r="Q643" s="2">
        <f t="shared" si="58"/>
        <v>0</v>
      </c>
      <c r="R643" s="2" t="e">
        <f t="shared" si="59"/>
        <v>#DIV/0!</v>
      </c>
      <c r="S643" s="2" t="e">
        <f t="shared" si="60"/>
        <v>#DIV/0!</v>
      </c>
    </row>
    <row r="644" spans="2:19" x14ac:dyDescent="0.25">
      <c r="B644" s="1">
        <f t="shared" si="61"/>
        <v>638</v>
      </c>
      <c r="O644" s="2">
        <f t="shared" si="56"/>
        <v>0</v>
      </c>
      <c r="P644" s="2" t="e">
        <f t="shared" si="57"/>
        <v>#DIV/0!</v>
      </c>
      <c r="Q644" s="2">
        <f t="shared" si="58"/>
        <v>0</v>
      </c>
      <c r="R644" s="2" t="e">
        <f t="shared" si="59"/>
        <v>#DIV/0!</v>
      </c>
      <c r="S644" s="2" t="e">
        <f t="shared" si="60"/>
        <v>#DIV/0!</v>
      </c>
    </row>
    <row r="645" spans="2:19" x14ac:dyDescent="0.25">
      <c r="B645" s="1">
        <f t="shared" si="61"/>
        <v>639</v>
      </c>
      <c r="O645" s="2">
        <f t="shared" si="56"/>
        <v>0</v>
      </c>
      <c r="P645" s="2" t="e">
        <f t="shared" si="57"/>
        <v>#DIV/0!</v>
      </c>
      <c r="Q645" s="2">
        <f t="shared" si="58"/>
        <v>0</v>
      </c>
      <c r="R645" s="2" t="e">
        <f t="shared" si="59"/>
        <v>#DIV/0!</v>
      </c>
      <c r="S645" s="2" t="e">
        <f t="shared" si="60"/>
        <v>#DIV/0!</v>
      </c>
    </row>
    <row r="646" spans="2:19" x14ac:dyDescent="0.25">
      <c r="B646" s="1">
        <f t="shared" si="61"/>
        <v>640</v>
      </c>
      <c r="O646" s="2">
        <f t="shared" si="56"/>
        <v>0</v>
      </c>
      <c r="P646" s="2" t="e">
        <f t="shared" si="57"/>
        <v>#DIV/0!</v>
      </c>
      <c r="Q646" s="2">
        <f t="shared" si="58"/>
        <v>0</v>
      </c>
      <c r="R646" s="2" t="e">
        <f t="shared" si="59"/>
        <v>#DIV/0!</v>
      </c>
      <c r="S646" s="2" t="e">
        <f t="shared" si="60"/>
        <v>#DIV/0!</v>
      </c>
    </row>
    <row r="647" spans="2:19" x14ac:dyDescent="0.25">
      <c r="B647" s="1">
        <f t="shared" si="61"/>
        <v>641</v>
      </c>
      <c r="O647" s="2">
        <f t="shared" si="56"/>
        <v>0</v>
      </c>
      <c r="P647" s="2" t="e">
        <f t="shared" si="57"/>
        <v>#DIV/0!</v>
      </c>
      <c r="Q647" s="2">
        <f t="shared" si="58"/>
        <v>0</v>
      </c>
      <c r="R647" s="2" t="e">
        <f t="shared" si="59"/>
        <v>#DIV/0!</v>
      </c>
      <c r="S647" s="2" t="e">
        <f t="shared" si="60"/>
        <v>#DIV/0!</v>
      </c>
    </row>
    <row r="648" spans="2:19" x14ac:dyDescent="0.25">
      <c r="B648" s="1">
        <f t="shared" si="61"/>
        <v>642</v>
      </c>
      <c r="O648" s="2">
        <f t="shared" ref="O648:O711" si="62">M648-$X$23</f>
        <v>0</v>
      </c>
      <c r="P648" s="2" t="e">
        <f t="shared" ref="P648:P711" si="63">O648*$AC$21+$Y$23</f>
        <v>#DIV/0!</v>
      </c>
      <c r="Q648" s="2">
        <f t="shared" ref="Q648:Q711" si="64">((D648+D649)/2)*(M649-M648)</f>
        <v>0</v>
      </c>
      <c r="R648" s="2" t="e">
        <f t="shared" ref="R648:R711" si="65">((P648+P649)/2)*(O649-O648)</f>
        <v>#DIV/0!</v>
      </c>
      <c r="S648" s="2" t="e">
        <f t="shared" ref="S648:S711" si="66">Q648-R648</f>
        <v>#DIV/0!</v>
      </c>
    </row>
    <row r="649" spans="2:19" x14ac:dyDescent="0.25">
      <c r="B649" s="1">
        <f t="shared" ref="B649:B712" si="67">B648+1</f>
        <v>643</v>
      </c>
      <c r="O649" s="2">
        <f t="shared" si="62"/>
        <v>0</v>
      </c>
      <c r="P649" s="2" t="e">
        <f t="shared" si="63"/>
        <v>#DIV/0!</v>
      </c>
      <c r="Q649" s="2">
        <f t="shared" si="64"/>
        <v>0</v>
      </c>
      <c r="R649" s="2" t="e">
        <f t="shared" si="65"/>
        <v>#DIV/0!</v>
      </c>
      <c r="S649" s="2" t="e">
        <f t="shared" si="66"/>
        <v>#DIV/0!</v>
      </c>
    </row>
    <row r="650" spans="2:19" x14ac:dyDescent="0.25">
      <c r="B650" s="1">
        <f t="shared" si="67"/>
        <v>644</v>
      </c>
      <c r="O650" s="2">
        <f t="shared" si="62"/>
        <v>0</v>
      </c>
      <c r="P650" s="2" t="e">
        <f t="shared" si="63"/>
        <v>#DIV/0!</v>
      </c>
      <c r="Q650" s="2">
        <f t="shared" si="64"/>
        <v>0</v>
      </c>
      <c r="R650" s="2" t="e">
        <f t="shared" si="65"/>
        <v>#DIV/0!</v>
      </c>
      <c r="S650" s="2" t="e">
        <f t="shared" si="66"/>
        <v>#DIV/0!</v>
      </c>
    </row>
    <row r="651" spans="2:19" x14ac:dyDescent="0.25">
      <c r="B651" s="1">
        <f t="shared" si="67"/>
        <v>645</v>
      </c>
      <c r="O651" s="2">
        <f t="shared" si="62"/>
        <v>0</v>
      </c>
      <c r="P651" s="2" t="e">
        <f t="shared" si="63"/>
        <v>#DIV/0!</v>
      </c>
      <c r="Q651" s="2">
        <f t="shared" si="64"/>
        <v>0</v>
      </c>
      <c r="R651" s="2" t="e">
        <f t="shared" si="65"/>
        <v>#DIV/0!</v>
      </c>
      <c r="S651" s="2" t="e">
        <f t="shared" si="66"/>
        <v>#DIV/0!</v>
      </c>
    </row>
    <row r="652" spans="2:19" x14ac:dyDescent="0.25">
      <c r="B652" s="1">
        <f t="shared" si="67"/>
        <v>646</v>
      </c>
      <c r="O652" s="2">
        <f t="shared" si="62"/>
        <v>0</v>
      </c>
      <c r="P652" s="2" t="e">
        <f t="shared" si="63"/>
        <v>#DIV/0!</v>
      </c>
      <c r="Q652" s="2">
        <f t="shared" si="64"/>
        <v>0</v>
      </c>
      <c r="R652" s="2" t="e">
        <f t="shared" si="65"/>
        <v>#DIV/0!</v>
      </c>
      <c r="S652" s="2" t="e">
        <f t="shared" si="66"/>
        <v>#DIV/0!</v>
      </c>
    </row>
    <row r="653" spans="2:19" x14ac:dyDescent="0.25">
      <c r="B653" s="1">
        <f t="shared" si="67"/>
        <v>647</v>
      </c>
      <c r="O653" s="2">
        <f t="shared" si="62"/>
        <v>0</v>
      </c>
      <c r="P653" s="2" t="e">
        <f t="shared" si="63"/>
        <v>#DIV/0!</v>
      </c>
      <c r="Q653" s="2">
        <f t="shared" si="64"/>
        <v>0</v>
      </c>
      <c r="R653" s="2" t="e">
        <f t="shared" si="65"/>
        <v>#DIV/0!</v>
      </c>
      <c r="S653" s="2" t="e">
        <f t="shared" si="66"/>
        <v>#DIV/0!</v>
      </c>
    </row>
    <row r="654" spans="2:19" x14ac:dyDescent="0.25">
      <c r="B654" s="1">
        <f t="shared" si="67"/>
        <v>648</v>
      </c>
      <c r="O654" s="2">
        <f t="shared" si="62"/>
        <v>0</v>
      </c>
      <c r="P654" s="2" t="e">
        <f t="shared" si="63"/>
        <v>#DIV/0!</v>
      </c>
      <c r="Q654" s="2">
        <f t="shared" si="64"/>
        <v>0</v>
      </c>
      <c r="R654" s="2" t="e">
        <f t="shared" si="65"/>
        <v>#DIV/0!</v>
      </c>
      <c r="S654" s="2" t="e">
        <f t="shared" si="66"/>
        <v>#DIV/0!</v>
      </c>
    </row>
    <row r="655" spans="2:19" x14ac:dyDescent="0.25">
      <c r="B655" s="1">
        <f t="shared" si="67"/>
        <v>649</v>
      </c>
      <c r="O655" s="2">
        <f t="shared" si="62"/>
        <v>0</v>
      </c>
      <c r="P655" s="2" t="e">
        <f t="shared" si="63"/>
        <v>#DIV/0!</v>
      </c>
      <c r="Q655" s="2">
        <f t="shared" si="64"/>
        <v>0</v>
      </c>
      <c r="R655" s="2" t="e">
        <f t="shared" si="65"/>
        <v>#DIV/0!</v>
      </c>
      <c r="S655" s="2" t="e">
        <f t="shared" si="66"/>
        <v>#DIV/0!</v>
      </c>
    </row>
    <row r="656" spans="2:19" x14ac:dyDescent="0.25">
      <c r="B656" s="1">
        <f t="shared" si="67"/>
        <v>650</v>
      </c>
      <c r="O656" s="2">
        <f t="shared" si="62"/>
        <v>0</v>
      </c>
      <c r="P656" s="2" t="e">
        <f t="shared" si="63"/>
        <v>#DIV/0!</v>
      </c>
      <c r="Q656" s="2">
        <f t="shared" si="64"/>
        <v>0</v>
      </c>
      <c r="R656" s="2" t="e">
        <f t="shared" si="65"/>
        <v>#DIV/0!</v>
      </c>
      <c r="S656" s="2" t="e">
        <f t="shared" si="66"/>
        <v>#DIV/0!</v>
      </c>
    </row>
    <row r="657" spans="2:19" x14ac:dyDescent="0.25">
      <c r="B657" s="1">
        <f t="shared" si="67"/>
        <v>651</v>
      </c>
      <c r="O657" s="2">
        <f t="shared" si="62"/>
        <v>0</v>
      </c>
      <c r="P657" s="2" t="e">
        <f t="shared" si="63"/>
        <v>#DIV/0!</v>
      </c>
      <c r="Q657" s="2">
        <f t="shared" si="64"/>
        <v>0</v>
      </c>
      <c r="R657" s="2" t="e">
        <f t="shared" si="65"/>
        <v>#DIV/0!</v>
      </c>
      <c r="S657" s="2" t="e">
        <f t="shared" si="66"/>
        <v>#DIV/0!</v>
      </c>
    </row>
    <row r="658" spans="2:19" x14ac:dyDescent="0.25">
      <c r="B658" s="1">
        <f t="shared" si="67"/>
        <v>652</v>
      </c>
      <c r="O658" s="2">
        <f t="shared" si="62"/>
        <v>0</v>
      </c>
      <c r="P658" s="2" t="e">
        <f t="shared" si="63"/>
        <v>#DIV/0!</v>
      </c>
      <c r="Q658" s="2">
        <f t="shared" si="64"/>
        <v>0</v>
      </c>
      <c r="R658" s="2" t="e">
        <f t="shared" si="65"/>
        <v>#DIV/0!</v>
      </c>
      <c r="S658" s="2" t="e">
        <f t="shared" si="66"/>
        <v>#DIV/0!</v>
      </c>
    </row>
    <row r="659" spans="2:19" x14ac:dyDescent="0.25">
      <c r="B659" s="1">
        <f t="shared" si="67"/>
        <v>653</v>
      </c>
      <c r="O659" s="2">
        <f t="shared" si="62"/>
        <v>0</v>
      </c>
      <c r="P659" s="2" t="e">
        <f t="shared" si="63"/>
        <v>#DIV/0!</v>
      </c>
      <c r="Q659" s="2">
        <f t="shared" si="64"/>
        <v>0</v>
      </c>
      <c r="R659" s="2" t="e">
        <f t="shared" si="65"/>
        <v>#DIV/0!</v>
      </c>
      <c r="S659" s="2" t="e">
        <f t="shared" si="66"/>
        <v>#DIV/0!</v>
      </c>
    </row>
    <row r="660" spans="2:19" x14ac:dyDescent="0.25">
      <c r="B660" s="1">
        <f t="shared" si="67"/>
        <v>654</v>
      </c>
      <c r="O660" s="2">
        <f t="shared" si="62"/>
        <v>0</v>
      </c>
      <c r="P660" s="2" t="e">
        <f t="shared" si="63"/>
        <v>#DIV/0!</v>
      </c>
      <c r="Q660" s="2">
        <f t="shared" si="64"/>
        <v>0</v>
      </c>
      <c r="R660" s="2" t="e">
        <f t="shared" si="65"/>
        <v>#DIV/0!</v>
      </c>
      <c r="S660" s="2" t="e">
        <f t="shared" si="66"/>
        <v>#DIV/0!</v>
      </c>
    </row>
    <row r="661" spans="2:19" x14ac:dyDescent="0.25">
      <c r="B661" s="1">
        <f t="shared" si="67"/>
        <v>655</v>
      </c>
      <c r="O661" s="2">
        <f t="shared" si="62"/>
        <v>0</v>
      </c>
      <c r="P661" s="2" t="e">
        <f t="shared" si="63"/>
        <v>#DIV/0!</v>
      </c>
      <c r="Q661" s="2">
        <f t="shared" si="64"/>
        <v>0</v>
      </c>
      <c r="R661" s="2" t="e">
        <f t="shared" si="65"/>
        <v>#DIV/0!</v>
      </c>
      <c r="S661" s="2" t="e">
        <f t="shared" si="66"/>
        <v>#DIV/0!</v>
      </c>
    </row>
    <row r="662" spans="2:19" x14ac:dyDescent="0.25">
      <c r="B662" s="1">
        <f t="shared" si="67"/>
        <v>656</v>
      </c>
      <c r="O662" s="2">
        <f t="shared" si="62"/>
        <v>0</v>
      </c>
      <c r="P662" s="2" t="e">
        <f t="shared" si="63"/>
        <v>#DIV/0!</v>
      </c>
      <c r="Q662" s="2">
        <f t="shared" si="64"/>
        <v>0</v>
      </c>
      <c r="R662" s="2" t="e">
        <f t="shared" si="65"/>
        <v>#DIV/0!</v>
      </c>
      <c r="S662" s="2" t="e">
        <f t="shared" si="66"/>
        <v>#DIV/0!</v>
      </c>
    </row>
    <row r="663" spans="2:19" x14ac:dyDescent="0.25">
      <c r="B663" s="1">
        <f t="shared" si="67"/>
        <v>657</v>
      </c>
      <c r="O663" s="2">
        <f t="shared" si="62"/>
        <v>0</v>
      </c>
      <c r="P663" s="2" t="e">
        <f t="shared" si="63"/>
        <v>#DIV/0!</v>
      </c>
      <c r="Q663" s="2">
        <f t="shared" si="64"/>
        <v>0</v>
      </c>
      <c r="R663" s="2" t="e">
        <f t="shared" si="65"/>
        <v>#DIV/0!</v>
      </c>
      <c r="S663" s="2" t="e">
        <f t="shared" si="66"/>
        <v>#DIV/0!</v>
      </c>
    </row>
    <row r="664" spans="2:19" x14ac:dyDescent="0.25">
      <c r="B664" s="1">
        <f t="shared" si="67"/>
        <v>658</v>
      </c>
      <c r="O664" s="2">
        <f t="shared" si="62"/>
        <v>0</v>
      </c>
      <c r="P664" s="2" t="e">
        <f t="shared" si="63"/>
        <v>#DIV/0!</v>
      </c>
      <c r="Q664" s="2">
        <f t="shared" si="64"/>
        <v>0</v>
      </c>
      <c r="R664" s="2" t="e">
        <f t="shared" si="65"/>
        <v>#DIV/0!</v>
      </c>
      <c r="S664" s="2" t="e">
        <f t="shared" si="66"/>
        <v>#DIV/0!</v>
      </c>
    </row>
    <row r="665" spans="2:19" x14ac:dyDescent="0.25">
      <c r="B665" s="1">
        <f t="shared" si="67"/>
        <v>659</v>
      </c>
      <c r="O665" s="2">
        <f t="shared" si="62"/>
        <v>0</v>
      </c>
      <c r="P665" s="2" t="e">
        <f t="shared" si="63"/>
        <v>#DIV/0!</v>
      </c>
      <c r="Q665" s="2">
        <f t="shared" si="64"/>
        <v>0</v>
      </c>
      <c r="R665" s="2" t="e">
        <f t="shared" si="65"/>
        <v>#DIV/0!</v>
      </c>
      <c r="S665" s="2" t="e">
        <f t="shared" si="66"/>
        <v>#DIV/0!</v>
      </c>
    </row>
    <row r="666" spans="2:19" x14ac:dyDescent="0.25">
      <c r="B666" s="1">
        <f t="shared" si="67"/>
        <v>660</v>
      </c>
      <c r="O666" s="2">
        <f t="shared" si="62"/>
        <v>0</v>
      </c>
      <c r="P666" s="2" t="e">
        <f t="shared" si="63"/>
        <v>#DIV/0!</v>
      </c>
      <c r="Q666" s="2">
        <f t="shared" si="64"/>
        <v>0</v>
      </c>
      <c r="R666" s="2" t="e">
        <f t="shared" si="65"/>
        <v>#DIV/0!</v>
      </c>
      <c r="S666" s="2" t="e">
        <f t="shared" si="66"/>
        <v>#DIV/0!</v>
      </c>
    </row>
    <row r="667" spans="2:19" x14ac:dyDescent="0.25">
      <c r="B667" s="1">
        <f t="shared" si="67"/>
        <v>661</v>
      </c>
      <c r="O667" s="2">
        <f t="shared" si="62"/>
        <v>0</v>
      </c>
      <c r="P667" s="2" t="e">
        <f t="shared" si="63"/>
        <v>#DIV/0!</v>
      </c>
      <c r="Q667" s="2">
        <f t="shared" si="64"/>
        <v>0</v>
      </c>
      <c r="R667" s="2" t="e">
        <f t="shared" si="65"/>
        <v>#DIV/0!</v>
      </c>
      <c r="S667" s="2" t="e">
        <f t="shared" si="66"/>
        <v>#DIV/0!</v>
      </c>
    </row>
    <row r="668" spans="2:19" x14ac:dyDescent="0.25">
      <c r="B668" s="1">
        <f t="shared" si="67"/>
        <v>662</v>
      </c>
      <c r="O668" s="2">
        <f t="shared" si="62"/>
        <v>0</v>
      </c>
      <c r="P668" s="2" t="e">
        <f t="shared" si="63"/>
        <v>#DIV/0!</v>
      </c>
      <c r="Q668" s="2">
        <f t="shared" si="64"/>
        <v>0</v>
      </c>
      <c r="R668" s="2" t="e">
        <f t="shared" si="65"/>
        <v>#DIV/0!</v>
      </c>
      <c r="S668" s="2" t="e">
        <f t="shared" si="66"/>
        <v>#DIV/0!</v>
      </c>
    </row>
    <row r="669" spans="2:19" x14ac:dyDescent="0.25">
      <c r="B669" s="1">
        <f t="shared" si="67"/>
        <v>663</v>
      </c>
      <c r="O669" s="2">
        <f t="shared" si="62"/>
        <v>0</v>
      </c>
      <c r="P669" s="2" t="e">
        <f t="shared" si="63"/>
        <v>#DIV/0!</v>
      </c>
      <c r="Q669" s="2">
        <f t="shared" si="64"/>
        <v>0</v>
      </c>
      <c r="R669" s="2" t="e">
        <f t="shared" si="65"/>
        <v>#DIV/0!</v>
      </c>
      <c r="S669" s="2" t="e">
        <f t="shared" si="66"/>
        <v>#DIV/0!</v>
      </c>
    </row>
    <row r="670" spans="2:19" x14ac:dyDescent="0.25">
      <c r="B670" s="1">
        <f t="shared" si="67"/>
        <v>664</v>
      </c>
      <c r="O670" s="2">
        <f t="shared" si="62"/>
        <v>0</v>
      </c>
      <c r="P670" s="2" t="e">
        <f t="shared" si="63"/>
        <v>#DIV/0!</v>
      </c>
      <c r="Q670" s="2">
        <f t="shared" si="64"/>
        <v>0</v>
      </c>
      <c r="R670" s="2" t="e">
        <f t="shared" si="65"/>
        <v>#DIV/0!</v>
      </c>
      <c r="S670" s="2" t="e">
        <f t="shared" si="66"/>
        <v>#DIV/0!</v>
      </c>
    </row>
    <row r="671" spans="2:19" x14ac:dyDescent="0.25">
      <c r="B671" s="1">
        <f t="shared" si="67"/>
        <v>665</v>
      </c>
      <c r="O671" s="2">
        <f t="shared" si="62"/>
        <v>0</v>
      </c>
      <c r="P671" s="2" t="e">
        <f t="shared" si="63"/>
        <v>#DIV/0!</v>
      </c>
      <c r="Q671" s="2">
        <f t="shared" si="64"/>
        <v>0</v>
      </c>
      <c r="R671" s="2" t="e">
        <f t="shared" si="65"/>
        <v>#DIV/0!</v>
      </c>
      <c r="S671" s="2" t="e">
        <f t="shared" si="66"/>
        <v>#DIV/0!</v>
      </c>
    </row>
    <row r="672" spans="2:19" x14ac:dyDescent="0.25">
      <c r="B672" s="1">
        <f t="shared" si="67"/>
        <v>666</v>
      </c>
      <c r="O672" s="2">
        <f t="shared" si="62"/>
        <v>0</v>
      </c>
      <c r="P672" s="2" t="e">
        <f t="shared" si="63"/>
        <v>#DIV/0!</v>
      </c>
      <c r="Q672" s="2">
        <f t="shared" si="64"/>
        <v>0</v>
      </c>
      <c r="R672" s="2" t="e">
        <f t="shared" si="65"/>
        <v>#DIV/0!</v>
      </c>
      <c r="S672" s="2" t="e">
        <f t="shared" si="66"/>
        <v>#DIV/0!</v>
      </c>
    </row>
    <row r="673" spans="2:19" x14ac:dyDescent="0.25">
      <c r="B673" s="1">
        <f t="shared" si="67"/>
        <v>667</v>
      </c>
      <c r="O673" s="2">
        <f t="shared" si="62"/>
        <v>0</v>
      </c>
      <c r="P673" s="2" t="e">
        <f t="shared" si="63"/>
        <v>#DIV/0!</v>
      </c>
      <c r="Q673" s="2">
        <f t="shared" si="64"/>
        <v>0</v>
      </c>
      <c r="R673" s="2" t="e">
        <f t="shared" si="65"/>
        <v>#DIV/0!</v>
      </c>
      <c r="S673" s="2" t="e">
        <f t="shared" si="66"/>
        <v>#DIV/0!</v>
      </c>
    </row>
    <row r="674" spans="2:19" x14ac:dyDescent="0.25">
      <c r="B674" s="1">
        <f t="shared" si="67"/>
        <v>668</v>
      </c>
      <c r="O674" s="2">
        <f t="shared" si="62"/>
        <v>0</v>
      </c>
      <c r="P674" s="2" t="e">
        <f t="shared" si="63"/>
        <v>#DIV/0!</v>
      </c>
      <c r="Q674" s="2">
        <f t="shared" si="64"/>
        <v>0</v>
      </c>
      <c r="R674" s="2" t="e">
        <f t="shared" si="65"/>
        <v>#DIV/0!</v>
      </c>
      <c r="S674" s="2" t="e">
        <f t="shared" si="66"/>
        <v>#DIV/0!</v>
      </c>
    </row>
    <row r="675" spans="2:19" x14ac:dyDescent="0.25">
      <c r="B675" s="1">
        <f t="shared" si="67"/>
        <v>669</v>
      </c>
      <c r="O675" s="2">
        <f t="shared" si="62"/>
        <v>0</v>
      </c>
      <c r="P675" s="2" t="e">
        <f t="shared" si="63"/>
        <v>#DIV/0!</v>
      </c>
      <c r="Q675" s="2">
        <f t="shared" si="64"/>
        <v>0</v>
      </c>
      <c r="R675" s="2" t="e">
        <f t="shared" si="65"/>
        <v>#DIV/0!</v>
      </c>
      <c r="S675" s="2" t="e">
        <f t="shared" si="66"/>
        <v>#DIV/0!</v>
      </c>
    </row>
    <row r="676" spans="2:19" x14ac:dyDescent="0.25">
      <c r="B676" s="1">
        <f t="shared" si="67"/>
        <v>670</v>
      </c>
      <c r="O676" s="2">
        <f t="shared" si="62"/>
        <v>0</v>
      </c>
      <c r="P676" s="2" t="e">
        <f t="shared" si="63"/>
        <v>#DIV/0!</v>
      </c>
      <c r="Q676" s="2">
        <f t="shared" si="64"/>
        <v>0</v>
      </c>
      <c r="R676" s="2" t="e">
        <f t="shared" si="65"/>
        <v>#DIV/0!</v>
      </c>
      <c r="S676" s="2" t="e">
        <f t="shared" si="66"/>
        <v>#DIV/0!</v>
      </c>
    </row>
    <row r="677" spans="2:19" x14ac:dyDescent="0.25">
      <c r="B677" s="1">
        <f t="shared" si="67"/>
        <v>671</v>
      </c>
      <c r="O677" s="2">
        <f t="shared" si="62"/>
        <v>0</v>
      </c>
      <c r="P677" s="2" t="e">
        <f t="shared" si="63"/>
        <v>#DIV/0!</v>
      </c>
      <c r="Q677" s="2">
        <f t="shared" si="64"/>
        <v>0</v>
      </c>
      <c r="R677" s="2" t="e">
        <f t="shared" si="65"/>
        <v>#DIV/0!</v>
      </c>
      <c r="S677" s="2" t="e">
        <f t="shared" si="66"/>
        <v>#DIV/0!</v>
      </c>
    </row>
    <row r="678" spans="2:19" x14ac:dyDescent="0.25">
      <c r="B678" s="1">
        <f t="shared" si="67"/>
        <v>672</v>
      </c>
      <c r="O678" s="2">
        <f t="shared" si="62"/>
        <v>0</v>
      </c>
      <c r="P678" s="2" t="e">
        <f t="shared" si="63"/>
        <v>#DIV/0!</v>
      </c>
      <c r="Q678" s="2">
        <f t="shared" si="64"/>
        <v>0</v>
      </c>
      <c r="R678" s="2" t="e">
        <f t="shared" si="65"/>
        <v>#DIV/0!</v>
      </c>
      <c r="S678" s="2" t="e">
        <f t="shared" si="66"/>
        <v>#DIV/0!</v>
      </c>
    </row>
    <row r="679" spans="2:19" x14ac:dyDescent="0.25">
      <c r="B679" s="1">
        <f t="shared" si="67"/>
        <v>673</v>
      </c>
      <c r="O679" s="2">
        <f t="shared" si="62"/>
        <v>0</v>
      </c>
      <c r="P679" s="2" t="e">
        <f t="shared" si="63"/>
        <v>#DIV/0!</v>
      </c>
      <c r="Q679" s="2">
        <f t="shared" si="64"/>
        <v>0</v>
      </c>
      <c r="R679" s="2" t="e">
        <f t="shared" si="65"/>
        <v>#DIV/0!</v>
      </c>
      <c r="S679" s="2" t="e">
        <f t="shared" si="66"/>
        <v>#DIV/0!</v>
      </c>
    </row>
    <row r="680" spans="2:19" x14ac:dyDescent="0.25">
      <c r="B680" s="1">
        <f t="shared" si="67"/>
        <v>674</v>
      </c>
      <c r="O680" s="2">
        <f t="shared" si="62"/>
        <v>0</v>
      </c>
      <c r="P680" s="2" t="e">
        <f t="shared" si="63"/>
        <v>#DIV/0!</v>
      </c>
      <c r="Q680" s="2">
        <f t="shared" si="64"/>
        <v>0</v>
      </c>
      <c r="R680" s="2" t="e">
        <f t="shared" si="65"/>
        <v>#DIV/0!</v>
      </c>
      <c r="S680" s="2" t="e">
        <f t="shared" si="66"/>
        <v>#DIV/0!</v>
      </c>
    </row>
    <row r="681" spans="2:19" x14ac:dyDescent="0.25">
      <c r="B681" s="1">
        <f t="shared" si="67"/>
        <v>675</v>
      </c>
      <c r="O681" s="2">
        <f t="shared" si="62"/>
        <v>0</v>
      </c>
      <c r="P681" s="2" t="e">
        <f t="shared" si="63"/>
        <v>#DIV/0!</v>
      </c>
      <c r="Q681" s="2">
        <f t="shared" si="64"/>
        <v>0</v>
      </c>
      <c r="R681" s="2" t="e">
        <f t="shared" si="65"/>
        <v>#DIV/0!</v>
      </c>
      <c r="S681" s="2" t="e">
        <f t="shared" si="66"/>
        <v>#DIV/0!</v>
      </c>
    </row>
    <row r="682" spans="2:19" x14ac:dyDescent="0.25">
      <c r="B682" s="1">
        <f t="shared" si="67"/>
        <v>676</v>
      </c>
      <c r="O682" s="2">
        <f t="shared" si="62"/>
        <v>0</v>
      </c>
      <c r="P682" s="2" t="e">
        <f t="shared" si="63"/>
        <v>#DIV/0!</v>
      </c>
      <c r="Q682" s="2">
        <f t="shared" si="64"/>
        <v>0</v>
      </c>
      <c r="R682" s="2" t="e">
        <f t="shared" si="65"/>
        <v>#DIV/0!</v>
      </c>
      <c r="S682" s="2" t="e">
        <f t="shared" si="66"/>
        <v>#DIV/0!</v>
      </c>
    </row>
    <row r="683" spans="2:19" x14ac:dyDescent="0.25">
      <c r="B683" s="1">
        <f t="shared" si="67"/>
        <v>677</v>
      </c>
      <c r="O683" s="2">
        <f t="shared" si="62"/>
        <v>0</v>
      </c>
      <c r="P683" s="2" t="e">
        <f t="shared" si="63"/>
        <v>#DIV/0!</v>
      </c>
      <c r="Q683" s="2">
        <f t="shared" si="64"/>
        <v>0</v>
      </c>
      <c r="R683" s="2" t="e">
        <f t="shared" si="65"/>
        <v>#DIV/0!</v>
      </c>
      <c r="S683" s="2" t="e">
        <f t="shared" si="66"/>
        <v>#DIV/0!</v>
      </c>
    </row>
    <row r="684" spans="2:19" x14ac:dyDescent="0.25">
      <c r="B684" s="1">
        <f t="shared" si="67"/>
        <v>678</v>
      </c>
      <c r="O684" s="2">
        <f t="shared" si="62"/>
        <v>0</v>
      </c>
      <c r="P684" s="2" t="e">
        <f t="shared" si="63"/>
        <v>#DIV/0!</v>
      </c>
      <c r="Q684" s="2">
        <f t="shared" si="64"/>
        <v>0</v>
      </c>
      <c r="R684" s="2" t="e">
        <f t="shared" si="65"/>
        <v>#DIV/0!</v>
      </c>
      <c r="S684" s="2" t="e">
        <f t="shared" si="66"/>
        <v>#DIV/0!</v>
      </c>
    </row>
    <row r="685" spans="2:19" x14ac:dyDescent="0.25">
      <c r="B685" s="1">
        <f t="shared" si="67"/>
        <v>679</v>
      </c>
      <c r="O685" s="2">
        <f t="shared" si="62"/>
        <v>0</v>
      </c>
      <c r="P685" s="2" t="e">
        <f t="shared" si="63"/>
        <v>#DIV/0!</v>
      </c>
      <c r="Q685" s="2">
        <f t="shared" si="64"/>
        <v>0</v>
      </c>
      <c r="R685" s="2" t="e">
        <f t="shared" si="65"/>
        <v>#DIV/0!</v>
      </c>
      <c r="S685" s="2" t="e">
        <f t="shared" si="66"/>
        <v>#DIV/0!</v>
      </c>
    </row>
    <row r="686" spans="2:19" x14ac:dyDescent="0.25">
      <c r="B686" s="1">
        <f t="shared" si="67"/>
        <v>680</v>
      </c>
      <c r="O686" s="2">
        <f t="shared" si="62"/>
        <v>0</v>
      </c>
      <c r="P686" s="2" t="e">
        <f t="shared" si="63"/>
        <v>#DIV/0!</v>
      </c>
      <c r="Q686" s="2">
        <f t="shared" si="64"/>
        <v>0</v>
      </c>
      <c r="R686" s="2" t="e">
        <f t="shared" si="65"/>
        <v>#DIV/0!</v>
      </c>
      <c r="S686" s="2" t="e">
        <f t="shared" si="66"/>
        <v>#DIV/0!</v>
      </c>
    </row>
    <row r="687" spans="2:19" x14ac:dyDescent="0.25">
      <c r="B687" s="1">
        <f t="shared" si="67"/>
        <v>681</v>
      </c>
      <c r="O687" s="2">
        <f t="shared" si="62"/>
        <v>0</v>
      </c>
      <c r="P687" s="2" t="e">
        <f t="shared" si="63"/>
        <v>#DIV/0!</v>
      </c>
      <c r="Q687" s="2">
        <f t="shared" si="64"/>
        <v>0</v>
      </c>
      <c r="R687" s="2" t="e">
        <f t="shared" si="65"/>
        <v>#DIV/0!</v>
      </c>
      <c r="S687" s="2" t="e">
        <f t="shared" si="66"/>
        <v>#DIV/0!</v>
      </c>
    </row>
    <row r="688" spans="2:19" x14ac:dyDescent="0.25">
      <c r="B688" s="1">
        <f t="shared" si="67"/>
        <v>682</v>
      </c>
      <c r="O688" s="2">
        <f t="shared" si="62"/>
        <v>0</v>
      </c>
      <c r="P688" s="2" t="e">
        <f t="shared" si="63"/>
        <v>#DIV/0!</v>
      </c>
      <c r="Q688" s="2">
        <f t="shared" si="64"/>
        <v>0</v>
      </c>
      <c r="R688" s="2" t="e">
        <f t="shared" si="65"/>
        <v>#DIV/0!</v>
      </c>
      <c r="S688" s="2" t="e">
        <f t="shared" si="66"/>
        <v>#DIV/0!</v>
      </c>
    </row>
    <row r="689" spans="2:19" x14ac:dyDescent="0.25">
      <c r="B689" s="1">
        <f t="shared" si="67"/>
        <v>683</v>
      </c>
      <c r="O689" s="2">
        <f t="shared" si="62"/>
        <v>0</v>
      </c>
      <c r="P689" s="2" t="e">
        <f t="shared" si="63"/>
        <v>#DIV/0!</v>
      </c>
      <c r="Q689" s="2">
        <f t="shared" si="64"/>
        <v>0</v>
      </c>
      <c r="R689" s="2" t="e">
        <f t="shared" si="65"/>
        <v>#DIV/0!</v>
      </c>
      <c r="S689" s="2" t="e">
        <f t="shared" si="66"/>
        <v>#DIV/0!</v>
      </c>
    </row>
    <row r="690" spans="2:19" x14ac:dyDescent="0.25">
      <c r="B690" s="1">
        <f t="shared" si="67"/>
        <v>684</v>
      </c>
      <c r="O690" s="2">
        <f t="shared" si="62"/>
        <v>0</v>
      </c>
      <c r="P690" s="2" t="e">
        <f t="shared" si="63"/>
        <v>#DIV/0!</v>
      </c>
      <c r="Q690" s="2">
        <f t="shared" si="64"/>
        <v>0</v>
      </c>
      <c r="R690" s="2" t="e">
        <f t="shared" si="65"/>
        <v>#DIV/0!</v>
      </c>
      <c r="S690" s="2" t="e">
        <f t="shared" si="66"/>
        <v>#DIV/0!</v>
      </c>
    </row>
    <row r="691" spans="2:19" x14ac:dyDescent="0.25">
      <c r="B691" s="1">
        <f t="shared" si="67"/>
        <v>685</v>
      </c>
      <c r="O691" s="2">
        <f t="shared" si="62"/>
        <v>0</v>
      </c>
      <c r="P691" s="2" t="e">
        <f t="shared" si="63"/>
        <v>#DIV/0!</v>
      </c>
      <c r="Q691" s="2">
        <f t="shared" si="64"/>
        <v>0</v>
      </c>
      <c r="R691" s="2" t="e">
        <f t="shared" si="65"/>
        <v>#DIV/0!</v>
      </c>
      <c r="S691" s="2" t="e">
        <f t="shared" si="66"/>
        <v>#DIV/0!</v>
      </c>
    </row>
    <row r="692" spans="2:19" x14ac:dyDescent="0.25">
      <c r="B692" s="1">
        <f t="shared" si="67"/>
        <v>686</v>
      </c>
      <c r="O692" s="2">
        <f t="shared" si="62"/>
        <v>0</v>
      </c>
      <c r="P692" s="2" t="e">
        <f t="shared" si="63"/>
        <v>#DIV/0!</v>
      </c>
      <c r="Q692" s="2">
        <f t="shared" si="64"/>
        <v>0</v>
      </c>
      <c r="R692" s="2" t="e">
        <f t="shared" si="65"/>
        <v>#DIV/0!</v>
      </c>
      <c r="S692" s="2" t="e">
        <f t="shared" si="66"/>
        <v>#DIV/0!</v>
      </c>
    </row>
    <row r="693" spans="2:19" x14ac:dyDescent="0.25">
      <c r="B693" s="1">
        <f t="shared" si="67"/>
        <v>687</v>
      </c>
      <c r="O693" s="2">
        <f t="shared" si="62"/>
        <v>0</v>
      </c>
      <c r="P693" s="2" t="e">
        <f t="shared" si="63"/>
        <v>#DIV/0!</v>
      </c>
      <c r="Q693" s="2">
        <f t="shared" si="64"/>
        <v>0</v>
      </c>
      <c r="R693" s="2" t="e">
        <f t="shared" si="65"/>
        <v>#DIV/0!</v>
      </c>
      <c r="S693" s="2" t="e">
        <f t="shared" si="66"/>
        <v>#DIV/0!</v>
      </c>
    </row>
    <row r="694" spans="2:19" x14ac:dyDescent="0.25">
      <c r="B694" s="1">
        <f t="shared" si="67"/>
        <v>688</v>
      </c>
      <c r="O694" s="2">
        <f t="shared" si="62"/>
        <v>0</v>
      </c>
      <c r="P694" s="2" t="e">
        <f t="shared" si="63"/>
        <v>#DIV/0!</v>
      </c>
      <c r="Q694" s="2">
        <f t="shared" si="64"/>
        <v>0</v>
      </c>
      <c r="R694" s="2" t="e">
        <f t="shared" si="65"/>
        <v>#DIV/0!</v>
      </c>
      <c r="S694" s="2" t="e">
        <f t="shared" si="66"/>
        <v>#DIV/0!</v>
      </c>
    </row>
    <row r="695" spans="2:19" x14ac:dyDescent="0.25">
      <c r="B695" s="1">
        <f t="shared" si="67"/>
        <v>689</v>
      </c>
      <c r="O695" s="2">
        <f t="shared" si="62"/>
        <v>0</v>
      </c>
      <c r="P695" s="2" t="e">
        <f t="shared" si="63"/>
        <v>#DIV/0!</v>
      </c>
      <c r="Q695" s="2">
        <f t="shared" si="64"/>
        <v>0</v>
      </c>
      <c r="R695" s="2" t="e">
        <f t="shared" si="65"/>
        <v>#DIV/0!</v>
      </c>
      <c r="S695" s="2" t="e">
        <f t="shared" si="66"/>
        <v>#DIV/0!</v>
      </c>
    </row>
    <row r="696" spans="2:19" x14ac:dyDescent="0.25">
      <c r="B696" s="1">
        <f t="shared" si="67"/>
        <v>690</v>
      </c>
      <c r="O696" s="2">
        <f t="shared" si="62"/>
        <v>0</v>
      </c>
      <c r="P696" s="2" t="e">
        <f t="shared" si="63"/>
        <v>#DIV/0!</v>
      </c>
      <c r="Q696" s="2">
        <f t="shared" si="64"/>
        <v>0</v>
      </c>
      <c r="R696" s="2" t="e">
        <f t="shared" si="65"/>
        <v>#DIV/0!</v>
      </c>
      <c r="S696" s="2" t="e">
        <f t="shared" si="66"/>
        <v>#DIV/0!</v>
      </c>
    </row>
    <row r="697" spans="2:19" x14ac:dyDescent="0.25">
      <c r="B697" s="1">
        <f t="shared" si="67"/>
        <v>691</v>
      </c>
      <c r="O697" s="2">
        <f t="shared" si="62"/>
        <v>0</v>
      </c>
      <c r="P697" s="2" t="e">
        <f t="shared" si="63"/>
        <v>#DIV/0!</v>
      </c>
      <c r="Q697" s="2">
        <f t="shared" si="64"/>
        <v>0</v>
      </c>
      <c r="R697" s="2" t="e">
        <f t="shared" si="65"/>
        <v>#DIV/0!</v>
      </c>
      <c r="S697" s="2" t="e">
        <f t="shared" si="66"/>
        <v>#DIV/0!</v>
      </c>
    </row>
    <row r="698" spans="2:19" x14ac:dyDescent="0.25">
      <c r="B698" s="1">
        <f t="shared" si="67"/>
        <v>692</v>
      </c>
      <c r="O698" s="2">
        <f t="shared" si="62"/>
        <v>0</v>
      </c>
      <c r="P698" s="2" t="e">
        <f t="shared" si="63"/>
        <v>#DIV/0!</v>
      </c>
      <c r="Q698" s="2">
        <f t="shared" si="64"/>
        <v>0</v>
      </c>
      <c r="R698" s="2" t="e">
        <f t="shared" si="65"/>
        <v>#DIV/0!</v>
      </c>
      <c r="S698" s="2" t="e">
        <f t="shared" si="66"/>
        <v>#DIV/0!</v>
      </c>
    </row>
    <row r="699" spans="2:19" x14ac:dyDescent="0.25">
      <c r="B699" s="1">
        <f t="shared" si="67"/>
        <v>693</v>
      </c>
      <c r="O699" s="2">
        <f t="shared" si="62"/>
        <v>0</v>
      </c>
      <c r="P699" s="2" t="e">
        <f t="shared" si="63"/>
        <v>#DIV/0!</v>
      </c>
      <c r="Q699" s="2">
        <f t="shared" si="64"/>
        <v>0</v>
      </c>
      <c r="R699" s="2" t="e">
        <f t="shared" si="65"/>
        <v>#DIV/0!</v>
      </c>
      <c r="S699" s="2" t="e">
        <f t="shared" si="66"/>
        <v>#DIV/0!</v>
      </c>
    </row>
    <row r="700" spans="2:19" x14ac:dyDescent="0.25">
      <c r="B700" s="1">
        <f t="shared" si="67"/>
        <v>694</v>
      </c>
      <c r="O700" s="2">
        <f t="shared" si="62"/>
        <v>0</v>
      </c>
      <c r="P700" s="2" t="e">
        <f t="shared" si="63"/>
        <v>#DIV/0!</v>
      </c>
      <c r="Q700" s="2">
        <f t="shared" si="64"/>
        <v>0</v>
      </c>
      <c r="R700" s="2" t="e">
        <f t="shared" si="65"/>
        <v>#DIV/0!</v>
      </c>
      <c r="S700" s="2" t="e">
        <f t="shared" si="66"/>
        <v>#DIV/0!</v>
      </c>
    </row>
    <row r="701" spans="2:19" x14ac:dyDescent="0.25">
      <c r="B701" s="1">
        <f t="shared" si="67"/>
        <v>695</v>
      </c>
      <c r="O701" s="2">
        <f t="shared" si="62"/>
        <v>0</v>
      </c>
      <c r="P701" s="2" t="e">
        <f t="shared" si="63"/>
        <v>#DIV/0!</v>
      </c>
      <c r="Q701" s="2">
        <f t="shared" si="64"/>
        <v>0</v>
      </c>
      <c r="R701" s="2" t="e">
        <f t="shared" si="65"/>
        <v>#DIV/0!</v>
      </c>
      <c r="S701" s="2" t="e">
        <f t="shared" si="66"/>
        <v>#DIV/0!</v>
      </c>
    </row>
    <row r="702" spans="2:19" x14ac:dyDescent="0.25">
      <c r="B702" s="1">
        <f t="shared" si="67"/>
        <v>696</v>
      </c>
      <c r="O702" s="2">
        <f t="shared" si="62"/>
        <v>0</v>
      </c>
      <c r="P702" s="2" t="e">
        <f t="shared" si="63"/>
        <v>#DIV/0!</v>
      </c>
      <c r="Q702" s="2">
        <f t="shared" si="64"/>
        <v>0</v>
      </c>
      <c r="R702" s="2" t="e">
        <f t="shared" si="65"/>
        <v>#DIV/0!</v>
      </c>
      <c r="S702" s="2" t="e">
        <f t="shared" si="66"/>
        <v>#DIV/0!</v>
      </c>
    </row>
    <row r="703" spans="2:19" x14ac:dyDescent="0.25">
      <c r="B703" s="1">
        <f t="shared" si="67"/>
        <v>697</v>
      </c>
      <c r="O703" s="2">
        <f t="shared" si="62"/>
        <v>0</v>
      </c>
      <c r="P703" s="2" t="e">
        <f t="shared" si="63"/>
        <v>#DIV/0!</v>
      </c>
      <c r="Q703" s="2">
        <f t="shared" si="64"/>
        <v>0</v>
      </c>
      <c r="R703" s="2" t="e">
        <f t="shared" si="65"/>
        <v>#DIV/0!</v>
      </c>
      <c r="S703" s="2" t="e">
        <f t="shared" si="66"/>
        <v>#DIV/0!</v>
      </c>
    </row>
    <row r="704" spans="2:19" x14ac:dyDescent="0.25">
      <c r="B704" s="1">
        <f t="shared" si="67"/>
        <v>698</v>
      </c>
      <c r="O704" s="2">
        <f t="shared" si="62"/>
        <v>0</v>
      </c>
      <c r="P704" s="2" t="e">
        <f t="shared" si="63"/>
        <v>#DIV/0!</v>
      </c>
      <c r="Q704" s="2">
        <f t="shared" si="64"/>
        <v>0</v>
      </c>
      <c r="R704" s="2" t="e">
        <f t="shared" si="65"/>
        <v>#DIV/0!</v>
      </c>
      <c r="S704" s="2" t="e">
        <f t="shared" si="66"/>
        <v>#DIV/0!</v>
      </c>
    </row>
    <row r="705" spans="2:19" x14ac:dyDescent="0.25">
      <c r="B705" s="1">
        <f t="shared" si="67"/>
        <v>699</v>
      </c>
      <c r="O705" s="2">
        <f t="shared" si="62"/>
        <v>0</v>
      </c>
      <c r="P705" s="2" t="e">
        <f t="shared" si="63"/>
        <v>#DIV/0!</v>
      </c>
      <c r="Q705" s="2">
        <f t="shared" si="64"/>
        <v>0</v>
      </c>
      <c r="R705" s="2" t="e">
        <f t="shared" si="65"/>
        <v>#DIV/0!</v>
      </c>
      <c r="S705" s="2" t="e">
        <f t="shared" si="66"/>
        <v>#DIV/0!</v>
      </c>
    </row>
    <row r="706" spans="2:19" x14ac:dyDescent="0.25">
      <c r="B706" s="1">
        <f t="shared" si="67"/>
        <v>700</v>
      </c>
      <c r="O706" s="2">
        <f t="shared" si="62"/>
        <v>0</v>
      </c>
      <c r="P706" s="2" t="e">
        <f t="shared" si="63"/>
        <v>#DIV/0!</v>
      </c>
      <c r="Q706" s="2">
        <f t="shared" si="64"/>
        <v>0</v>
      </c>
      <c r="R706" s="2" t="e">
        <f t="shared" si="65"/>
        <v>#DIV/0!</v>
      </c>
      <c r="S706" s="2" t="e">
        <f t="shared" si="66"/>
        <v>#DIV/0!</v>
      </c>
    </row>
    <row r="707" spans="2:19" x14ac:dyDescent="0.25">
      <c r="B707" s="1">
        <f t="shared" si="67"/>
        <v>701</v>
      </c>
      <c r="O707" s="2">
        <f t="shared" si="62"/>
        <v>0</v>
      </c>
      <c r="P707" s="2" t="e">
        <f t="shared" si="63"/>
        <v>#DIV/0!</v>
      </c>
      <c r="Q707" s="2">
        <f t="shared" si="64"/>
        <v>0</v>
      </c>
      <c r="R707" s="2" t="e">
        <f t="shared" si="65"/>
        <v>#DIV/0!</v>
      </c>
      <c r="S707" s="2" t="e">
        <f t="shared" si="66"/>
        <v>#DIV/0!</v>
      </c>
    </row>
    <row r="708" spans="2:19" x14ac:dyDescent="0.25">
      <c r="B708" s="1">
        <f t="shared" si="67"/>
        <v>702</v>
      </c>
      <c r="O708" s="2">
        <f t="shared" si="62"/>
        <v>0</v>
      </c>
      <c r="P708" s="2" t="e">
        <f t="shared" si="63"/>
        <v>#DIV/0!</v>
      </c>
      <c r="Q708" s="2">
        <f t="shared" si="64"/>
        <v>0</v>
      </c>
      <c r="R708" s="2" t="e">
        <f t="shared" si="65"/>
        <v>#DIV/0!</v>
      </c>
      <c r="S708" s="2" t="e">
        <f t="shared" si="66"/>
        <v>#DIV/0!</v>
      </c>
    </row>
    <row r="709" spans="2:19" x14ac:dyDescent="0.25">
      <c r="B709" s="1">
        <f t="shared" si="67"/>
        <v>703</v>
      </c>
      <c r="O709" s="2">
        <f t="shared" si="62"/>
        <v>0</v>
      </c>
      <c r="P709" s="2" t="e">
        <f t="shared" si="63"/>
        <v>#DIV/0!</v>
      </c>
      <c r="Q709" s="2">
        <f t="shared" si="64"/>
        <v>0</v>
      </c>
      <c r="R709" s="2" t="e">
        <f t="shared" si="65"/>
        <v>#DIV/0!</v>
      </c>
      <c r="S709" s="2" t="e">
        <f t="shared" si="66"/>
        <v>#DIV/0!</v>
      </c>
    </row>
    <row r="710" spans="2:19" x14ac:dyDescent="0.25">
      <c r="B710" s="1">
        <f t="shared" si="67"/>
        <v>704</v>
      </c>
      <c r="O710" s="2">
        <f t="shared" si="62"/>
        <v>0</v>
      </c>
      <c r="P710" s="2" t="e">
        <f t="shared" si="63"/>
        <v>#DIV/0!</v>
      </c>
      <c r="Q710" s="2">
        <f t="shared" si="64"/>
        <v>0</v>
      </c>
      <c r="R710" s="2" t="e">
        <f t="shared" si="65"/>
        <v>#DIV/0!</v>
      </c>
      <c r="S710" s="2" t="e">
        <f t="shared" si="66"/>
        <v>#DIV/0!</v>
      </c>
    </row>
    <row r="711" spans="2:19" x14ac:dyDescent="0.25">
      <c r="B711" s="1">
        <f t="shared" si="67"/>
        <v>705</v>
      </c>
      <c r="O711" s="2">
        <f t="shared" si="62"/>
        <v>0</v>
      </c>
      <c r="P711" s="2" t="e">
        <f t="shared" si="63"/>
        <v>#DIV/0!</v>
      </c>
      <c r="Q711" s="2">
        <f t="shared" si="64"/>
        <v>0</v>
      </c>
      <c r="R711" s="2" t="e">
        <f t="shared" si="65"/>
        <v>#DIV/0!</v>
      </c>
      <c r="S711" s="2" t="e">
        <f t="shared" si="66"/>
        <v>#DIV/0!</v>
      </c>
    </row>
    <row r="712" spans="2:19" x14ac:dyDescent="0.25">
      <c r="B712" s="1">
        <f t="shared" si="67"/>
        <v>706</v>
      </c>
      <c r="O712" s="2">
        <f t="shared" ref="O712:O775" si="68">M712-$X$23</f>
        <v>0</v>
      </c>
      <c r="P712" s="2" t="e">
        <f t="shared" ref="P712:P775" si="69">O712*$AC$21+$Y$23</f>
        <v>#DIV/0!</v>
      </c>
      <c r="Q712" s="2">
        <f t="shared" ref="Q712:Q775" si="70">((D712+D713)/2)*(M713-M712)</f>
        <v>0</v>
      </c>
      <c r="R712" s="2" t="e">
        <f t="shared" ref="R712:R775" si="71">((P712+P713)/2)*(O713-O712)</f>
        <v>#DIV/0!</v>
      </c>
      <c r="S712" s="2" t="e">
        <f t="shared" ref="S712:S775" si="72">Q712-R712</f>
        <v>#DIV/0!</v>
      </c>
    </row>
    <row r="713" spans="2:19" x14ac:dyDescent="0.25">
      <c r="B713" s="1">
        <f t="shared" ref="B713:B776" si="73">B712+1</f>
        <v>707</v>
      </c>
      <c r="O713" s="2">
        <f t="shared" si="68"/>
        <v>0</v>
      </c>
      <c r="P713" s="2" t="e">
        <f t="shared" si="69"/>
        <v>#DIV/0!</v>
      </c>
      <c r="Q713" s="2">
        <f t="shared" si="70"/>
        <v>0</v>
      </c>
      <c r="R713" s="2" t="e">
        <f t="shared" si="71"/>
        <v>#DIV/0!</v>
      </c>
      <c r="S713" s="2" t="e">
        <f t="shared" si="72"/>
        <v>#DIV/0!</v>
      </c>
    </row>
    <row r="714" spans="2:19" x14ac:dyDescent="0.25">
      <c r="B714" s="1">
        <f t="shared" si="73"/>
        <v>708</v>
      </c>
      <c r="O714" s="2">
        <f t="shared" si="68"/>
        <v>0</v>
      </c>
      <c r="P714" s="2" t="e">
        <f t="shared" si="69"/>
        <v>#DIV/0!</v>
      </c>
      <c r="Q714" s="2">
        <f t="shared" si="70"/>
        <v>0</v>
      </c>
      <c r="R714" s="2" t="e">
        <f t="shared" si="71"/>
        <v>#DIV/0!</v>
      </c>
      <c r="S714" s="2" t="e">
        <f t="shared" si="72"/>
        <v>#DIV/0!</v>
      </c>
    </row>
    <row r="715" spans="2:19" x14ac:dyDescent="0.25">
      <c r="B715" s="1">
        <f t="shared" si="73"/>
        <v>709</v>
      </c>
      <c r="O715" s="2">
        <f t="shared" si="68"/>
        <v>0</v>
      </c>
      <c r="P715" s="2" t="e">
        <f t="shared" si="69"/>
        <v>#DIV/0!</v>
      </c>
      <c r="Q715" s="2">
        <f t="shared" si="70"/>
        <v>0</v>
      </c>
      <c r="R715" s="2" t="e">
        <f t="shared" si="71"/>
        <v>#DIV/0!</v>
      </c>
      <c r="S715" s="2" t="e">
        <f t="shared" si="72"/>
        <v>#DIV/0!</v>
      </c>
    </row>
    <row r="716" spans="2:19" x14ac:dyDescent="0.25">
      <c r="B716" s="1">
        <f t="shared" si="73"/>
        <v>710</v>
      </c>
      <c r="O716" s="2">
        <f t="shared" si="68"/>
        <v>0</v>
      </c>
      <c r="P716" s="2" t="e">
        <f t="shared" si="69"/>
        <v>#DIV/0!</v>
      </c>
      <c r="Q716" s="2">
        <f t="shared" si="70"/>
        <v>0</v>
      </c>
      <c r="R716" s="2" t="e">
        <f t="shared" si="71"/>
        <v>#DIV/0!</v>
      </c>
      <c r="S716" s="2" t="e">
        <f t="shared" si="72"/>
        <v>#DIV/0!</v>
      </c>
    </row>
    <row r="717" spans="2:19" x14ac:dyDescent="0.25">
      <c r="B717" s="1">
        <f t="shared" si="73"/>
        <v>711</v>
      </c>
      <c r="O717" s="2">
        <f t="shared" si="68"/>
        <v>0</v>
      </c>
      <c r="P717" s="2" t="e">
        <f t="shared" si="69"/>
        <v>#DIV/0!</v>
      </c>
      <c r="Q717" s="2">
        <f t="shared" si="70"/>
        <v>0</v>
      </c>
      <c r="R717" s="2" t="e">
        <f t="shared" si="71"/>
        <v>#DIV/0!</v>
      </c>
      <c r="S717" s="2" t="e">
        <f t="shared" si="72"/>
        <v>#DIV/0!</v>
      </c>
    </row>
    <row r="718" spans="2:19" x14ac:dyDescent="0.25">
      <c r="B718" s="1">
        <f t="shared" si="73"/>
        <v>712</v>
      </c>
      <c r="O718" s="2">
        <f t="shared" si="68"/>
        <v>0</v>
      </c>
      <c r="P718" s="2" t="e">
        <f t="shared" si="69"/>
        <v>#DIV/0!</v>
      </c>
      <c r="Q718" s="2">
        <f t="shared" si="70"/>
        <v>0</v>
      </c>
      <c r="R718" s="2" t="e">
        <f t="shared" si="71"/>
        <v>#DIV/0!</v>
      </c>
      <c r="S718" s="2" t="e">
        <f t="shared" si="72"/>
        <v>#DIV/0!</v>
      </c>
    </row>
    <row r="719" spans="2:19" x14ac:dyDescent="0.25">
      <c r="B719" s="1">
        <f t="shared" si="73"/>
        <v>713</v>
      </c>
      <c r="O719" s="2">
        <f t="shared" si="68"/>
        <v>0</v>
      </c>
      <c r="P719" s="2" t="e">
        <f t="shared" si="69"/>
        <v>#DIV/0!</v>
      </c>
      <c r="Q719" s="2">
        <f t="shared" si="70"/>
        <v>0</v>
      </c>
      <c r="R719" s="2" t="e">
        <f t="shared" si="71"/>
        <v>#DIV/0!</v>
      </c>
      <c r="S719" s="2" t="e">
        <f t="shared" si="72"/>
        <v>#DIV/0!</v>
      </c>
    </row>
    <row r="720" spans="2:19" x14ac:dyDescent="0.25">
      <c r="B720" s="1">
        <f t="shared" si="73"/>
        <v>714</v>
      </c>
      <c r="O720" s="2">
        <f t="shared" si="68"/>
        <v>0</v>
      </c>
      <c r="P720" s="2" t="e">
        <f t="shared" si="69"/>
        <v>#DIV/0!</v>
      </c>
      <c r="Q720" s="2">
        <f t="shared" si="70"/>
        <v>0</v>
      </c>
      <c r="R720" s="2" t="e">
        <f t="shared" si="71"/>
        <v>#DIV/0!</v>
      </c>
      <c r="S720" s="2" t="e">
        <f t="shared" si="72"/>
        <v>#DIV/0!</v>
      </c>
    </row>
    <row r="721" spans="2:19" x14ac:dyDescent="0.25">
      <c r="B721" s="1">
        <f t="shared" si="73"/>
        <v>715</v>
      </c>
      <c r="O721" s="2">
        <f t="shared" si="68"/>
        <v>0</v>
      </c>
      <c r="P721" s="2" t="e">
        <f t="shared" si="69"/>
        <v>#DIV/0!</v>
      </c>
      <c r="Q721" s="2">
        <f t="shared" si="70"/>
        <v>0</v>
      </c>
      <c r="R721" s="2" t="e">
        <f t="shared" si="71"/>
        <v>#DIV/0!</v>
      </c>
      <c r="S721" s="2" t="e">
        <f t="shared" si="72"/>
        <v>#DIV/0!</v>
      </c>
    </row>
    <row r="722" spans="2:19" x14ac:dyDescent="0.25">
      <c r="B722" s="1">
        <f t="shared" si="73"/>
        <v>716</v>
      </c>
      <c r="O722" s="2">
        <f t="shared" si="68"/>
        <v>0</v>
      </c>
      <c r="P722" s="2" t="e">
        <f t="shared" si="69"/>
        <v>#DIV/0!</v>
      </c>
      <c r="Q722" s="2">
        <f t="shared" si="70"/>
        <v>0</v>
      </c>
      <c r="R722" s="2" t="e">
        <f t="shared" si="71"/>
        <v>#DIV/0!</v>
      </c>
      <c r="S722" s="2" t="e">
        <f t="shared" si="72"/>
        <v>#DIV/0!</v>
      </c>
    </row>
    <row r="723" spans="2:19" x14ac:dyDescent="0.25">
      <c r="B723" s="1">
        <f t="shared" si="73"/>
        <v>717</v>
      </c>
      <c r="O723" s="2">
        <f t="shared" si="68"/>
        <v>0</v>
      </c>
      <c r="P723" s="2" t="e">
        <f t="shared" si="69"/>
        <v>#DIV/0!</v>
      </c>
      <c r="Q723" s="2">
        <f t="shared" si="70"/>
        <v>0</v>
      </c>
      <c r="R723" s="2" t="e">
        <f t="shared" si="71"/>
        <v>#DIV/0!</v>
      </c>
      <c r="S723" s="2" t="e">
        <f t="shared" si="72"/>
        <v>#DIV/0!</v>
      </c>
    </row>
    <row r="724" spans="2:19" x14ac:dyDescent="0.25">
      <c r="B724" s="1">
        <f t="shared" si="73"/>
        <v>718</v>
      </c>
      <c r="O724" s="2">
        <f t="shared" si="68"/>
        <v>0</v>
      </c>
      <c r="P724" s="2" t="e">
        <f t="shared" si="69"/>
        <v>#DIV/0!</v>
      </c>
      <c r="Q724" s="2">
        <f t="shared" si="70"/>
        <v>0</v>
      </c>
      <c r="R724" s="2" t="e">
        <f t="shared" si="71"/>
        <v>#DIV/0!</v>
      </c>
      <c r="S724" s="2" t="e">
        <f t="shared" si="72"/>
        <v>#DIV/0!</v>
      </c>
    </row>
    <row r="725" spans="2:19" x14ac:dyDescent="0.25">
      <c r="B725" s="1">
        <f t="shared" si="73"/>
        <v>719</v>
      </c>
      <c r="O725" s="2">
        <f t="shared" si="68"/>
        <v>0</v>
      </c>
      <c r="P725" s="2" t="e">
        <f t="shared" si="69"/>
        <v>#DIV/0!</v>
      </c>
      <c r="Q725" s="2">
        <f t="shared" si="70"/>
        <v>0</v>
      </c>
      <c r="R725" s="2" t="e">
        <f t="shared" si="71"/>
        <v>#DIV/0!</v>
      </c>
      <c r="S725" s="2" t="e">
        <f t="shared" si="72"/>
        <v>#DIV/0!</v>
      </c>
    </row>
    <row r="726" spans="2:19" x14ac:dyDescent="0.25">
      <c r="B726" s="1">
        <f t="shared" si="73"/>
        <v>720</v>
      </c>
      <c r="O726" s="2">
        <f t="shared" si="68"/>
        <v>0</v>
      </c>
      <c r="P726" s="2" t="e">
        <f t="shared" si="69"/>
        <v>#DIV/0!</v>
      </c>
      <c r="Q726" s="2">
        <f t="shared" si="70"/>
        <v>0</v>
      </c>
      <c r="R726" s="2" t="e">
        <f t="shared" si="71"/>
        <v>#DIV/0!</v>
      </c>
      <c r="S726" s="2" t="e">
        <f t="shared" si="72"/>
        <v>#DIV/0!</v>
      </c>
    </row>
    <row r="727" spans="2:19" x14ac:dyDescent="0.25">
      <c r="B727" s="1">
        <f t="shared" si="73"/>
        <v>721</v>
      </c>
      <c r="O727" s="2">
        <f t="shared" si="68"/>
        <v>0</v>
      </c>
      <c r="P727" s="2" t="e">
        <f t="shared" si="69"/>
        <v>#DIV/0!</v>
      </c>
      <c r="Q727" s="2">
        <f t="shared" si="70"/>
        <v>0</v>
      </c>
      <c r="R727" s="2" t="e">
        <f t="shared" si="71"/>
        <v>#DIV/0!</v>
      </c>
      <c r="S727" s="2" t="e">
        <f t="shared" si="72"/>
        <v>#DIV/0!</v>
      </c>
    </row>
    <row r="728" spans="2:19" x14ac:dyDescent="0.25">
      <c r="B728" s="1">
        <f t="shared" si="73"/>
        <v>722</v>
      </c>
      <c r="O728" s="2">
        <f t="shared" si="68"/>
        <v>0</v>
      </c>
      <c r="P728" s="2" t="e">
        <f t="shared" si="69"/>
        <v>#DIV/0!</v>
      </c>
      <c r="Q728" s="2">
        <f t="shared" si="70"/>
        <v>0</v>
      </c>
      <c r="R728" s="2" t="e">
        <f t="shared" si="71"/>
        <v>#DIV/0!</v>
      </c>
      <c r="S728" s="2" t="e">
        <f t="shared" si="72"/>
        <v>#DIV/0!</v>
      </c>
    </row>
    <row r="729" spans="2:19" x14ac:dyDescent="0.25">
      <c r="B729" s="1">
        <f t="shared" si="73"/>
        <v>723</v>
      </c>
      <c r="O729" s="2">
        <f t="shared" si="68"/>
        <v>0</v>
      </c>
      <c r="P729" s="2" t="e">
        <f t="shared" si="69"/>
        <v>#DIV/0!</v>
      </c>
      <c r="Q729" s="2">
        <f t="shared" si="70"/>
        <v>0</v>
      </c>
      <c r="R729" s="2" t="e">
        <f t="shared" si="71"/>
        <v>#DIV/0!</v>
      </c>
      <c r="S729" s="2" t="e">
        <f t="shared" si="72"/>
        <v>#DIV/0!</v>
      </c>
    </row>
    <row r="730" spans="2:19" x14ac:dyDescent="0.25">
      <c r="B730" s="1">
        <f t="shared" si="73"/>
        <v>724</v>
      </c>
      <c r="O730" s="2">
        <f t="shared" si="68"/>
        <v>0</v>
      </c>
      <c r="P730" s="2" t="e">
        <f t="shared" si="69"/>
        <v>#DIV/0!</v>
      </c>
      <c r="Q730" s="2">
        <f t="shared" si="70"/>
        <v>0</v>
      </c>
      <c r="R730" s="2" t="e">
        <f t="shared" si="71"/>
        <v>#DIV/0!</v>
      </c>
      <c r="S730" s="2" t="e">
        <f t="shared" si="72"/>
        <v>#DIV/0!</v>
      </c>
    </row>
    <row r="731" spans="2:19" x14ac:dyDescent="0.25">
      <c r="B731" s="1">
        <f t="shared" si="73"/>
        <v>725</v>
      </c>
      <c r="O731" s="2">
        <f t="shared" si="68"/>
        <v>0</v>
      </c>
      <c r="P731" s="2" t="e">
        <f t="shared" si="69"/>
        <v>#DIV/0!</v>
      </c>
      <c r="Q731" s="2">
        <f t="shared" si="70"/>
        <v>0</v>
      </c>
      <c r="R731" s="2" t="e">
        <f t="shared" si="71"/>
        <v>#DIV/0!</v>
      </c>
      <c r="S731" s="2" t="e">
        <f t="shared" si="72"/>
        <v>#DIV/0!</v>
      </c>
    </row>
    <row r="732" spans="2:19" x14ac:dyDescent="0.25">
      <c r="B732" s="1">
        <f t="shared" si="73"/>
        <v>726</v>
      </c>
      <c r="O732" s="2">
        <f t="shared" si="68"/>
        <v>0</v>
      </c>
      <c r="P732" s="2" t="e">
        <f t="shared" si="69"/>
        <v>#DIV/0!</v>
      </c>
      <c r="Q732" s="2">
        <f t="shared" si="70"/>
        <v>0</v>
      </c>
      <c r="R732" s="2" t="e">
        <f t="shared" si="71"/>
        <v>#DIV/0!</v>
      </c>
      <c r="S732" s="2" t="e">
        <f t="shared" si="72"/>
        <v>#DIV/0!</v>
      </c>
    </row>
    <row r="733" spans="2:19" x14ac:dyDescent="0.25">
      <c r="B733" s="1">
        <f t="shared" si="73"/>
        <v>727</v>
      </c>
      <c r="O733" s="2">
        <f t="shared" si="68"/>
        <v>0</v>
      </c>
      <c r="P733" s="2" t="e">
        <f t="shared" si="69"/>
        <v>#DIV/0!</v>
      </c>
      <c r="Q733" s="2">
        <f t="shared" si="70"/>
        <v>0</v>
      </c>
      <c r="R733" s="2" t="e">
        <f t="shared" si="71"/>
        <v>#DIV/0!</v>
      </c>
      <c r="S733" s="2" t="e">
        <f t="shared" si="72"/>
        <v>#DIV/0!</v>
      </c>
    </row>
    <row r="734" spans="2:19" x14ac:dyDescent="0.25">
      <c r="B734" s="1">
        <f t="shared" si="73"/>
        <v>728</v>
      </c>
      <c r="O734" s="2">
        <f t="shared" si="68"/>
        <v>0</v>
      </c>
      <c r="P734" s="2" t="e">
        <f t="shared" si="69"/>
        <v>#DIV/0!</v>
      </c>
      <c r="Q734" s="2">
        <f t="shared" si="70"/>
        <v>0</v>
      </c>
      <c r="R734" s="2" t="e">
        <f t="shared" si="71"/>
        <v>#DIV/0!</v>
      </c>
      <c r="S734" s="2" t="e">
        <f t="shared" si="72"/>
        <v>#DIV/0!</v>
      </c>
    </row>
    <row r="735" spans="2:19" x14ac:dyDescent="0.25">
      <c r="B735" s="1">
        <f t="shared" si="73"/>
        <v>729</v>
      </c>
      <c r="O735" s="2">
        <f t="shared" si="68"/>
        <v>0</v>
      </c>
      <c r="P735" s="2" t="e">
        <f t="shared" si="69"/>
        <v>#DIV/0!</v>
      </c>
      <c r="Q735" s="2">
        <f t="shared" si="70"/>
        <v>0</v>
      </c>
      <c r="R735" s="2" t="e">
        <f t="shared" si="71"/>
        <v>#DIV/0!</v>
      </c>
      <c r="S735" s="2" t="e">
        <f t="shared" si="72"/>
        <v>#DIV/0!</v>
      </c>
    </row>
    <row r="736" spans="2:19" x14ac:dyDescent="0.25">
      <c r="B736" s="1">
        <f t="shared" si="73"/>
        <v>730</v>
      </c>
      <c r="O736" s="2">
        <f t="shared" si="68"/>
        <v>0</v>
      </c>
      <c r="P736" s="2" t="e">
        <f t="shared" si="69"/>
        <v>#DIV/0!</v>
      </c>
      <c r="Q736" s="2">
        <f t="shared" si="70"/>
        <v>0</v>
      </c>
      <c r="R736" s="2" t="e">
        <f t="shared" si="71"/>
        <v>#DIV/0!</v>
      </c>
      <c r="S736" s="2" t="e">
        <f t="shared" si="72"/>
        <v>#DIV/0!</v>
      </c>
    </row>
    <row r="737" spans="2:19" x14ac:dyDescent="0.25">
      <c r="B737" s="1">
        <f t="shared" si="73"/>
        <v>731</v>
      </c>
      <c r="O737" s="2">
        <f t="shared" si="68"/>
        <v>0</v>
      </c>
      <c r="P737" s="2" t="e">
        <f t="shared" si="69"/>
        <v>#DIV/0!</v>
      </c>
      <c r="Q737" s="2">
        <f t="shared" si="70"/>
        <v>0</v>
      </c>
      <c r="R737" s="2" t="e">
        <f t="shared" si="71"/>
        <v>#DIV/0!</v>
      </c>
      <c r="S737" s="2" t="e">
        <f t="shared" si="72"/>
        <v>#DIV/0!</v>
      </c>
    </row>
    <row r="738" spans="2:19" x14ac:dyDescent="0.25">
      <c r="B738" s="1">
        <f t="shared" si="73"/>
        <v>732</v>
      </c>
      <c r="O738" s="2">
        <f t="shared" si="68"/>
        <v>0</v>
      </c>
      <c r="P738" s="2" t="e">
        <f t="shared" si="69"/>
        <v>#DIV/0!</v>
      </c>
      <c r="Q738" s="2">
        <f t="shared" si="70"/>
        <v>0</v>
      </c>
      <c r="R738" s="2" t="e">
        <f t="shared" si="71"/>
        <v>#DIV/0!</v>
      </c>
      <c r="S738" s="2" t="e">
        <f t="shared" si="72"/>
        <v>#DIV/0!</v>
      </c>
    </row>
    <row r="739" spans="2:19" x14ac:dyDescent="0.25">
      <c r="B739" s="1">
        <f t="shared" si="73"/>
        <v>733</v>
      </c>
      <c r="O739" s="2">
        <f t="shared" si="68"/>
        <v>0</v>
      </c>
      <c r="P739" s="2" t="e">
        <f t="shared" si="69"/>
        <v>#DIV/0!</v>
      </c>
      <c r="Q739" s="2">
        <f t="shared" si="70"/>
        <v>0</v>
      </c>
      <c r="R739" s="2" t="e">
        <f t="shared" si="71"/>
        <v>#DIV/0!</v>
      </c>
      <c r="S739" s="2" t="e">
        <f t="shared" si="72"/>
        <v>#DIV/0!</v>
      </c>
    </row>
    <row r="740" spans="2:19" x14ac:dyDescent="0.25">
      <c r="B740" s="1">
        <f t="shared" si="73"/>
        <v>734</v>
      </c>
      <c r="O740" s="2">
        <f t="shared" si="68"/>
        <v>0</v>
      </c>
      <c r="P740" s="2" t="e">
        <f t="shared" si="69"/>
        <v>#DIV/0!</v>
      </c>
      <c r="Q740" s="2">
        <f t="shared" si="70"/>
        <v>0</v>
      </c>
      <c r="R740" s="2" t="e">
        <f t="shared" si="71"/>
        <v>#DIV/0!</v>
      </c>
      <c r="S740" s="2" t="e">
        <f t="shared" si="72"/>
        <v>#DIV/0!</v>
      </c>
    </row>
    <row r="741" spans="2:19" x14ac:dyDescent="0.25">
      <c r="B741" s="1">
        <f t="shared" si="73"/>
        <v>735</v>
      </c>
      <c r="O741" s="2">
        <f t="shared" si="68"/>
        <v>0</v>
      </c>
      <c r="P741" s="2" t="e">
        <f t="shared" si="69"/>
        <v>#DIV/0!</v>
      </c>
      <c r="Q741" s="2">
        <f t="shared" si="70"/>
        <v>0</v>
      </c>
      <c r="R741" s="2" t="e">
        <f t="shared" si="71"/>
        <v>#DIV/0!</v>
      </c>
      <c r="S741" s="2" t="e">
        <f t="shared" si="72"/>
        <v>#DIV/0!</v>
      </c>
    </row>
    <row r="742" spans="2:19" x14ac:dyDescent="0.25">
      <c r="B742" s="1">
        <f t="shared" si="73"/>
        <v>736</v>
      </c>
      <c r="O742" s="2">
        <f t="shared" si="68"/>
        <v>0</v>
      </c>
      <c r="P742" s="2" t="e">
        <f t="shared" si="69"/>
        <v>#DIV/0!</v>
      </c>
      <c r="Q742" s="2">
        <f t="shared" si="70"/>
        <v>0</v>
      </c>
      <c r="R742" s="2" t="e">
        <f t="shared" si="71"/>
        <v>#DIV/0!</v>
      </c>
      <c r="S742" s="2" t="e">
        <f t="shared" si="72"/>
        <v>#DIV/0!</v>
      </c>
    </row>
    <row r="743" spans="2:19" x14ac:dyDescent="0.25">
      <c r="B743" s="1">
        <f t="shared" si="73"/>
        <v>737</v>
      </c>
      <c r="O743" s="2">
        <f t="shared" si="68"/>
        <v>0</v>
      </c>
      <c r="P743" s="2" t="e">
        <f t="shared" si="69"/>
        <v>#DIV/0!</v>
      </c>
      <c r="Q743" s="2">
        <f t="shared" si="70"/>
        <v>0</v>
      </c>
      <c r="R743" s="2" t="e">
        <f t="shared" si="71"/>
        <v>#DIV/0!</v>
      </c>
      <c r="S743" s="2" t="e">
        <f t="shared" si="72"/>
        <v>#DIV/0!</v>
      </c>
    </row>
    <row r="744" spans="2:19" x14ac:dyDescent="0.25">
      <c r="B744" s="1">
        <f t="shared" si="73"/>
        <v>738</v>
      </c>
      <c r="O744" s="2">
        <f t="shared" si="68"/>
        <v>0</v>
      </c>
      <c r="P744" s="2" t="e">
        <f t="shared" si="69"/>
        <v>#DIV/0!</v>
      </c>
      <c r="Q744" s="2">
        <f t="shared" si="70"/>
        <v>0</v>
      </c>
      <c r="R744" s="2" t="e">
        <f t="shared" si="71"/>
        <v>#DIV/0!</v>
      </c>
      <c r="S744" s="2" t="e">
        <f t="shared" si="72"/>
        <v>#DIV/0!</v>
      </c>
    </row>
    <row r="745" spans="2:19" x14ac:dyDescent="0.25">
      <c r="B745" s="1">
        <f t="shared" si="73"/>
        <v>739</v>
      </c>
      <c r="O745" s="2">
        <f t="shared" si="68"/>
        <v>0</v>
      </c>
      <c r="P745" s="2" t="e">
        <f t="shared" si="69"/>
        <v>#DIV/0!</v>
      </c>
      <c r="Q745" s="2">
        <f t="shared" si="70"/>
        <v>0</v>
      </c>
      <c r="R745" s="2" t="e">
        <f t="shared" si="71"/>
        <v>#DIV/0!</v>
      </c>
      <c r="S745" s="2" t="e">
        <f t="shared" si="72"/>
        <v>#DIV/0!</v>
      </c>
    </row>
    <row r="746" spans="2:19" x14ac:dyDescent="0.25">
      <c r="B746" s="1">
        <f t="shared" si="73"/>
        <v>740</v>
      </c>
      <c r="O746" s="2">
        <f t="shared" si="68"/>
        <v>0</v>
      </c>
      <c r="P746" s="2" t="e">
        <f t="shared" si="69"/>
        <v>#DIV/0!</v>
      </c>
      <c r="Q746" s="2">
        <f t="shared" si="70"/>
        <v>0</v>
      </c>
      <c r="R746" s="2" t="e">
        <f t="shared" si="71"/>
        <v>#DIV/0!</v>
      </c>
      <c r="S746" s="2" t="e">
        <f t="shared" si="72"/>
        <v>#DIV/0!</v>
      </c>
    </row>
    <row r="747" spans="2:19" x14ac:dyDescent="0.25">
      <c r="B747" s="1">
        <f t="shared" si="73"/>
        <v>741</v>
      </c>
      <c r="O747" s="2">
        <f t="shared" si="68"/>
        <v>0</v>
      </c>
      <c r="P747" s="2" t="e">
        <f t="shared" si="69"/>
        <v>#DIV/0!</v>
      </c>
      <c r="Q747" s="2">
        <f t="shared" si="70"/>
        <v>0</v>
      </c>
      <c r="R747" s="2" t="e">
        <f t="shared" si="71"/>
        <v>#DIV/0!</v>
      </c>
      <c r="S747" s="2" t="e">
        <f t="shared" si="72"/>
        <v>#DIV/0!</v>
      </c>
    </row>
    <row r="748" spans="2:19" x14ac:dyDescent="0.25">
      <c r="B748" s="1">
        <f t="shared" si="73"/>
        <v>742</v>
      </c>
      <c r="O748" s="2">
        <f t="shared" si="68"/>
        <v>0</v>
      </c>
      <c r="P748" s="2" t="e">
        <f t="shared" si="69"/>
        <v>#DIV/0!</v>
      </c>
      <c r="Q748" s="2">
        <f t="shared" si="70"/>
        <v>0</v>
      </c>
      <c r="R748" s="2" t="e">
        <f t="shared" si="71"/>
        <v>#DIV/0!</v>
      </c>
      <c r="S748" s="2" t="e">
        <f t="shared" si="72"/>
        <v>#DIV/0!</v>
      </c>
    </row>
    <row r="749" spans="2:19" x14ac:dyDescent="0.25">
      <c r="B749" s="1">
        <f t="shared" si="73"/>
        <v>743</v>
      </c>
      <c r="O749" s="2">
        <f t="shared" si="68"/>
        <v>0</v>
      </c>
      <c r="P749" s="2" t="e">
        <f t="shared" si="69"/>
        <v>#DIV/0!</v>
      </c>
      <c r="Q749" s="2">
        <f t="shared" si="70"/>
        <v>0</v>
      </c>
      <c r="R749" s="2" t="e">
        <f t="shared" si="71"/>
        <v>#DIV/0!</v>
      </c>
      <c r="S749" s="2" t="e">
        <f t="shared" si="72"/>
        <v>#DIV/0!</v>
      </c>
    </row>
    <row r="750" spans="2:19" x14ac:dyDescent="0.25">
      <c r="B750" s="1">
        <f t="shared" si="73"/>
        <v>744</v>
      </c>
      <c r="O750" s="2">
        <f t="shared" si="68"/>
        <v>0</v>
      </c>
      <c r="P750" s="2" t="e">
        <f t="shared" si="69"/>
        <v>#DIV/0!</v>
      </c>
      <c r="Q750" s="2">
        <f t="shared" si="70"/>
        <v>0</v>
      </c>
      <c r="R750" s="2" t="e">
        <f t="shared" si="71"/>
        <v>#DIV/0!</v>
      </c>
      <c r="S750" s="2" t="e">
        <f t="shared" si="72"/>
        <v>#DIV/0!</v>
      </c>
    </row>
    <row r="751" spans="2:19" x14ac:dyDescent="0.25">
      <c r="B751" s="1">
        <f t="shared" si="73"/>
        <v>745</v>
      </c>
      <c r="O751" s="2">
        <f t="shared" si="68"/>
        <v>0</v>
      </c>
      <c r="P751" s="2" t="e">
        <f t="shared" si="69"/>
        <v>#DIV/0!</v>
      </c>
      <c r="Q751" s="2">
        <f t="shared" si="70"/>
        <v>0</v>
      </c>
      <c r="R751" s="2" t="e">
        <f t="shared" si="71"/>
        <v>#DIV/0!</v>
      </c>
      <c r="S751" s="2" t="e">
        <f t="shared" si="72"/>
        <v>#DIV/0!</v>
      </c>
    </row>
    <row r="752" spans="2:19" x14ac:dyDescent="0.25">
      <c r="B752" s="1">
        <f t="shared" si="73"/>
        <v>746</v>
      </c>
      <c r="O752" s="2">
        <f t="shared" si="68"/>
        <v>0</v>
      </c>
      <c r="P752" s="2" t="e">
        <f t="shared" si="69"/>
        <v>#DIV/0!</v>
      </c>
      <c r="Q752" s="2">
        <f t="shared" si="70"/>
        <v>0</v>
      </c>
      <c r="R752" s="2" t="e">
        <f t="shared" si="71"/>
        <v>#DIV/0!</v>
      </c>
      <c r="S752" s="2" t="e">
        <f t="shared" si="72"/>
        <v>#DIV/0!</v>
      </c>
    </row>
    <row r="753" spans="2:19" x14ac:dyDescent="0.25">
      <c r="B753" s="1">
        <f t="shared" si="73"/>
        <v>747</v>
      </c>
      <c r="O753" s="2">
        <f t="shared" si="68"/>
        <v>0</v>
      </c>
      <c r="P753" s="2" t="e">
        <f t="shared" si="69"/>
        <v>#DIV/0!</v>
      </c>
      <c r="Q753" s="2">
        <f t="shared" si="70"/>
        <v>0</v>
      </c>
      <c r="R753" s="2" t="e">
        <f t="shared" si="71"/>
        <v>#DIV/0!</v>
      </c>
      <c r="S753" s="2" t="e">
        <f t="shared" si="72"/>
        <v>#DIV/0!</v>
      </c>
    </row>
    <row r="754" spans="2:19" x14ac:dyDescent="0.25">
      <c r="B754" s="1">
        <f t="shared" si="73"/>
        <v>748</v>
      </c>
      <c r="O754" s="2">
        <f t="shared" si="68"/>
        <v>0</v>
      </c>
      <c r="P754" s="2" t="e">
        <f t="shared" si="69"/>
        <v>#DIV/0!</v>
      </c>
      <c r="Q754" s="2">
        <f t="shared" si="70"/>
        <v>0</v>
      </c>
      <c r="R754" s="2" t="e">
        <f t="shared" si="71"/>
        <v>#DIV/0!</v>
      </c>
      <c r="S754" s="2" t="e">
        <f t="shared" si="72"/>
        <v>#DIV/0!</v>
      </c>
    </row>
    <row r="755" spans="2:19" x14ac:dyDescent="0.25">
      <c r="B755" s="1">
        <f t="shared" si="73"/>
        <v>749</v>
      </c>
      <c r="O755" s="2">
        <f t="shared" si="68"/>
        <v>0</v>
      </c>
      <c r="P755" s="2" t="e">
        <f t="shared" si="69"/>
        <v>#DIV/0!</v>
      </c>
      <c r="Q755" s="2">
        <f t="shared" si="70"/>
        <v>0</v>
      </c>
      <c r="R755" s="2" t="e">
        <f t="shared" si="71"/>
        <v>#DIV/0!</v>
      </c>
      <c r="S755" s="2" t="e">
        <f t="shared" si="72"/>
        <v>#DIV/0!</v>
      </c>
    </row>
    <row r="756" spans="2:19" x14ac:dyDescent="0.25">
      <c r="B756" s="1">
        <f t="shared" si="73"/>
        <v>750</v>
      </c>
      <c r="O756" s="2">
        <f t="shared" si="68"/>
        <v>0</v>
      </c>
      <c r="P756" s="2" t="e">
        <f t="shared" si="69"/>
        <v>#DIV/0!</v>
      </c>
      <c r="Q756" s="2">
        <f t="shared" si="70"/>
        <v>0</v>
      </c>
      <c r="R756" s="2" t="e">
        <f t="shared" si="71"/>
        <v>#DIV/0!</v>
      </c>
      <c r="S756" s="2" t="e">
        <f t="shared" si="72"/>
        <v>#DIV/0!</v>
      </c>
    </row>
    <row r="757" spans="2:19" x14ac:dyDescent="0.25">
      <c r="B757" s="1">
        <f t="shared" si="73"/>
        <v>751</v>
      </c>
      <c r="O757" s="2">
        <f t="shared" si="68"/>
        <v>0</v>
      </c>
      <c r="P757" s="2" t="e">
        <f t="shared" si="69"/>
        <v>#DIV/0!</v>
      </c>
      <c r="Q757" s="2">
        <f t="shared" si="70"/>
        <v>0</v>
      </c>
      <c r="R757" s="2" t="e">
        <f t="shared" si="71"/>
        <v>#DIV/0!</v>
      </c>
      <c r="S757" s="2" t="e">
        <f t="shared" si="72"/>
        <v>#DIV/0!</v>
      </c>
    </row>
    <row r="758" spans="2:19" x14ac:dyDescent="0.25">
      <c r="B758" s="1">
        <f t="shared" si="73"/>
        <v>752</v>
      </c>
      <c r="O758" s="2">
        <f t="shared" si="68"/>
        <v>0</v>
      </c>
      <c r="P758" s="2" t="e">
        <f t="shared" si="69"/>
        <v>#DIV/0!</v>
      </c>
      <c r="Q758" s="2">
        <f t="shared" si="70"/>
        <v>0</v>
      </c>
      <c r="R758" s="2" t="e">
        <f t="shared" si="71"/>
        <v>#DIV/0!</v>
      </c>
      <c r="S758" s="2" t="e">
        <f t="shared" si="72"/>
        <v>#DIV/0!</v>
      </c>
    </row>
    <row r="759" spans="2:19" x14ac:dyDescent="0.25">
      <c r="B759" s="1">
        <f t="shared" si="73"/>
        <v>753</v>
      </c>
      <c r="O759" s="2">
        <f t="shared" si="68"/>
        <v>0</v>
      </c>
      <c r="P759" s="2" t="e">
        <f t="shared" si="69"/>
        <v>#DIV/0!</v>
      </c>
      <c r="Q759" s="2">
        <f t="shared" si="70"/>
        <v>0</v>
      </c>
      <c r="R759" s="2" t="e">
        <f t="shared" si="71"/>
        <v>#DIV/0!</v>
      </c>
      <c r="S759" s="2" t="e">
        <f t="shared" si="72"/>
        <v>#DIV/0!</v>
      </c>
    </row>
    <row r="760" spans="2:19" x14ac:dyDescent="0.25">
      <c r="B760" s="1">
        <f t="shared" si="73"/>
        <v>754</v>
      </c>
      <c r="O760" s="2">
        <f t="shared" si="68"/>
        <v>0</v>
      </c>
      <c r="P760" s="2" t="e">
        <f t="shared" si="69"/>
        <v>#DIV/0!</v>
      </c>
      <c r="Q760" s="2">
        <f t="shared" si="70"/>
        <v>0</v>
      </c>
      <c r="R760" s="2" t="e">
        <f t="shared" si="71"/>
        <v>#DIV/0!</v>
      </c>
      <c r="S760" s="2" t="e">
        <f t="shared" si="72"/>
        <v>#DIV/0!</v>
      </c>
    </row>
    <row r="761" spans="2:19" x14ac:dyDescent="0.25">
      <c r="B761" s="1">
        <f t="shared" si="73"/>
        <v>755</v>
      </c>
      <c r="O761" s="2">
        <f t="shared" si="68"/>
        <v>0</v>
      </c>
      <c r="P761" s="2" t="e">
        <f t="shared" si="69"/>
        <v>#DIV/0!</v>
      </c>
      <c r="Q761" s="2">
        <f t="shared" si="70"/>
        <v>0</v>
      </c>
      <c r="R761" s="2" t="e">
        <f t="shared" si="71"/>
        <v>#DIV/0!</v>
      </c>
      <c r="S761" s="2" t="e">
        <f t="shared" si="72"/>
        <v>#DIV/0!</v>
      </c>
    </row>
    <row r="762" spans="2:19" x14ac:dyDescent="0.25">
      <c r="B762" s="1">
        <f t="shared" si="73"/>
        <v>756</v>
      </c>
      <c r="O762" s="2">
        <f t="shared" si="68"/>
        <v>0</v>
      </c>
      <c r="P762" s="2" t="e">
        <f t="shared" si="69"/>
        <v>#DIV/0!</v>
      </c>
      <c r="Q762" s="2">
        <f t="shared" si="70"/>
        <v>0</v>
      </c>
      <c r="R762" s="2" t="e">
        <f t="shared" si="71"/>
        <v>#DIV/0!</v>
      </c>
      <c r="S762" s="2" t="e">
        <f t="shared" si="72"/>
        <v>#DIV/0!</v>
      </c>
    </row>
    <row r="763" spans="2:19" x14ac:dyDescent="0.25">
      <c r="B763" s="1">
        <f t="shared" si="73"/>
        <v>757</v>
      </c>
      <c r="O763" s="2">
        <f t="shared" si="68"/>
        <v>0</v>
      </c>
      <c r="P763" s="2" t="e">
        <f t="shared" si="69"/>
        <v>#DIV/0!</v>
      </c>
      <c r="Q763" s="2">
        <f t="shared" si="70"/>
        <v>0</v>
      </c>
      <c r="R763" s="2" t="e">
        <f t="shared" si="71"/>
        <v>#DIV/0!</v>
      </c>
      <c r="S763" s="2" t="e">
        <f t="shared" si="72"/>
        <v>#DIV/0!</v>
      </c>
    </row>
    <row r="764" spans="2:19" x14ac:dyDescent="0.25">
      <c r="B764" s="1">
        <f t="shared" si="73"/>
        <v>758</v>
      </c>
      <c r="O764" s="2">
        <f t="shared" si="68"/>
        <v>0</v>
      </c>
      <c r="P764" s="2" t="e">
        <f t="shared" si="69"/>
        <v>#DIV/0!</v>
      </c>
      <c r="Q764" s="2">
        <f t="shared" si="70"/>
        <v>0</v>
      </c>
      <c r="R764" s="2" t="e">
        <f t="shared" si="71"/>
        <v>#DIV/0!</v>
      </c>
      <c r="S764" s="2" t="e">
        <f t="shared" si="72"/>
        <v>#DIV/0!</v>
      </c>
    </row>
    <row r="765" spans="2:19" x14ac:dyDescent="0.25">
      <c r="B765" s="1">
        <f t="shared" si="73"/>
        <v>759</v>
      </c>
      <c r="O765" s="2">
        <f t="shared" si="68"/>
        <v>0</v>
      </c>
      <c r="P765" s="2" t="e">
        <f t="shared" si="69"/>
        <v>#DIV/0!</v>
      </c>
      <c r="Q765" s="2">
        <f t="shared" si="70"/>
        <v>0</v>
      </c>
      <c r="R765" s="2" t="e">
        <f t="shared" si="71"/>
        <v>#DIV/0!</v>
      </c>
      <c r="S765" s="2" t="e">
        <f t="shared" si="72"/>
        <v>#DIV/0!</v>
      </c>
    </row>
    <row r="766" spans="2:19" x14ac:dyDescent="0.25">
      <c r="B766" s="1">
        <f t="shared" si="73"/>
        <v>760</v>
      </c>
      <c r="O766" s="2">
        <f t="shared" si="68"/>
        <v>0</v>
      </c>
      <c r="P766" s="2" t="e">
        <f t="shared" si="69"/>
        <v>#DIV/0!</v>
      </c>
      <c r="Q766" s="2">
        <f t="shared" si="70"/>
        <v>0</v>
      </c>
      <c r="R766" s="2" t="e">
        <f t="shared" si="71"/>
        <v>#DIV/0!</v>
      </c>
      <c r="S766" s="2" t="e">
        <f t="shared" si="72"/>
        <v>#DIV/0!</v>
      </c>
    </row>
    <row r="767" spans="2:19" x14ac:dyDescent="0.25">
      <c r="B767" s="1">
        <f t="shared" si="73"/>
        <v>761</v>
      </c>
      <c r="O767" s="2">
        <f t="shared" si="68"/>
        <v>0</v>
      </c>
      <c r="P767" s="2" t="e">
        <f t="shared" si="69"/>
        <v>#DIV/0!</v>
      </c>
      <c r="Q767" s="2">
        <f t="shared" si="70"/>
        <v>0</v>
      </c>
      <c r="R767" s="2" t="e">
        <f t="shared" si="71"/>
        <v>#DIV/0!</v>
      </c>
      <c r="S767" s="2" t="e">
        <f t="shared" si="72"/>
        <v>#DIV/0!</v>
      </c>
    </row>
    <row r="768" spans="2:19" x14ac:dyDescent="0.25">
      <c r="B768" s="1">
        <f t="shared" si="73"/>
        <v>762</v>
      </c>
      <c r="O768" s="2">
        <f t="shared" si="68"/>
        <v>0</v>
      </c>
      <c r="P768" s="2" t="e">
        <f t="shared" si="69"/>
        <v>#DIV/0!</v>
      </c>
      <c r="Q768" s="2">
        <f t="shared" si="70"/>
        <v>0</v>
      </c>
      <c r="R768" s="2" t="e">
        <f t="shared" si="71"/>
        <v>#DIV/0!</v>
      </c>
      <c r="S768" s="2" t="e">
        <f t="shared" si="72"/>
        <v>#DIV/0!</v>
      </c>
    </row>
    <row r="769" spans="2:19" x14ac:dyDescent="0.25">
      <c r="B769" s="1">
        <f t="shared" si="73"/>
        <v>763</v>
      </c>
      <c r="O769" s="2">
        <f t="shared" si="68"/>
        <v>0</v>
      </c>
      <c r="P769" s="2" t="e">
        <f t="shared" si="69"/>
        <v>#DIV/0!</v>
      </c>
      <c r="Q769" s="2">
        <f t="shared" si="70"/>
        <v>0</v>
      </c>
      <c r="R769" s="2" t="e">
        <f t="shared" si="71"/>
        <v>#DIV/0!</v>
      </c>
      <c r="S769" s="2" t="e">
        <f t="shared" si="72"/>
        <v>#DIV/0!</v>
      </c>
    </row>
    <row r="770" spans="2:19" x14ac:dyDescent="0.25">
      <c r="B770" s="1">
        <f t="shared" si="73"/>
        <v>764</v>
      </c>
      <c r="O770" s="2">
        <f t="shared" si="68"/>
        <v>0</v>
      </c>
      <c r="P770" s="2" t="e">
        <f t="shared" si="69"/>
        <v>#DIV/0!</v>
      </c>
      <c r="Q770" s="2">
        <f t="shared" si="70"/>
        <v>0</v>
      </c>
      <c r="R770" s="2" t="e">
        <f t="shared" si="71"/>
        <v>#DIV/0!</v>
      </c>
      <c r="S770" s="2" t="e">
        <f t="shared" si="72"/>
        <v>#DIV/0!</v>
      </c>
    </row>
    <row r="771" spans="2:19" x14ac:dyDescent="0.25">
      <c r="B771" s="1">
        <f t="shared" si="73"/>
        <v>765</v>
      </c>
      <c r="O771" s="2">
        <f t="shared" si="68"/>
        <v>0</v>
      </c>
      <c r="P771" s="2" t="e">
        <f t="shared" si="69"/>
        <v>#DIV/0!</v>
      </c>
      <c r="Q771" s="2">
        <f t="shared" si="70"/>
        <v>0</v>
      </c>
      <c r="R771" s="2" t="e">
        <f t="shared" si="71"/>
        <v>#DIV/0!</v>
      </c>
      <c r="S771" s="2" t="e">
        <f t="shared" si="72"/>
        <v>#DIV/0!</v>
      </c>
    </row>
    <row r="772" spans="2:19" x14ac:dyDescent="0.25">
      <c r="B772" s="1">
        <f t="shared" si="73"/>
        <v>766</v>
      </c>
      <c r="O772" s="2">
        <f t="shared" si="68"/>
        <v>0</v>
      </c>
      <c r="P772" s="2" t="e">
        <f t="shared" si="69"/>
        <v>#DIV/0!</v>
      </c>
      <c r="Q772" s="2">
        <f t="shared" si="70"/>
        <v>0</v>
      </c>
      <c r="R772" s="2" t="e">
        <f t="shared" si="71"/>
        <v>#DIV/0!</v>
      </c>
      <c r="S772" s="2" t="e">
        <f t="shared" si="72"/>
        <v>#DIV/0!</v>
      </c>
    </row>
    <row r="773" spans="2:19" x14ac:dyDescent="0.25">
      <c r="B773" s="1">
        <f t="shared" si="73"/>
        <v>767</v>
      </c>
      <c r="O773" s="2">
        <f t="shared" si="68"/>
        <v>0</v>
      </c>
      <c r="P773" s="2" t="e">
        <f t="shared" si="69"/>
        <v>#DIV/0!</v>
      </c>
      <c r="Q773" s="2">
        <f t="shared" si="70"/>
        <v>0</v>
      </c>
      <c r="R773" s="2" t="e">
        <f t="shared" si="71"/>
        <v>#DIV/0!</v>
      </c>
      <c r="S773" s="2" t="e">
        <f t="shared" si="72"/>
        <v>#DIV/0!</v>
      </c>
    </row>
    <row r="774" spans="2:19" x14ac:dyDescent="0.25">
      <c r="B774" s="1">
        <f t="shared" si="73"/>
        <v>768</v>
      </c>
      <c r="O774" s="2">
        <f t="shared" si="68"/>
        <v>0</v>
      </c>
      <c r="P774" s="2" t="e">
        <f t="shared" si="69"/>
        <v>#DIV/0!</v>
      </c>
      <c r="Q774" s="2">
        <f t="shared" si="70"/>
        <v>0</v>
      </c>
      <c r="R774" s="2" t="e">
        <f t="shared" si="71"/>
        <v>#DIV/0!</v>
      </c>
      <c r="S774" s="2" t="e">
        <f t="shared" si="72"/>
        <v>#DIV/0!</v>
      </c>
    </row>
    <row r="775" spans="2:19" x14ac:dyDescent="0.25">
      <c r="B775" s="1">
        <f t="shared" si="73"/>
        <v>769</v>
      </c>
      <c r="O775" s="2">
        <f t="shared" si="68"/>
        <v>0</v>
      </c>
      <c r="P775" s="2" t="e">
        <f t="shared" si="69"/>
        <v>#DIV/0!</v>
      </c>
      <c r="Q775" s="2">
        <f t="shared" si="70"/>
        <v>0</v>
      </c>
      <c r="R775" s="2" t="e">
        <f t="shared" si="71"/>
        <v>#DIV/0!</v>
      </c>
      <c r="S775" s="2" t="e">
        <f t="shared" si="72"/>
        <v>#DIV/0!</v>
      </c>
    </row>
    <row r="776" spans="2:19" x14ac:dyDescent="0.25">
      <c r="B776" s="1">
        <f t="shared" si="73"/>
        <v>770</v>
      </c>
      <c r="O776" s="2">
        <f t="shared" ref="O776:O794" si="74">M776-$X$23</f>
        <v>0</v>
      </c>
      <c r="P776" s="2" t="e">
        <f t="shared" ref="P776:P794" si="75">O776*$AC$21+$Y$23</f>
        <v>#DIV/0!</v>
      </c>
      <c r="Q776" s="2">
        <f t="shared" ref="Q776:Q793" si="76">((D776+D777)/2)*(M777-M776)</f>
        <v>0</v>
      </c>
      <c r="R776" s="2" t="e">
        <f t="shared" ref="R776:R793" si="77">((P776+P777)/2)*(O777-O776)</f>
        <v>#DIV/0!</v>
      </c>
      <c r="S776" s="2" t="e">
        <f t="shared" ref="S776:S793" si="78">Q776-R776</f>
        <v>#DIV/0!</v>
      </c>
    </row>
    <row r="777" spans="2:19" x14ac:dyDescent="0.25">
      <c r="B777" s="1">
        <f t="shared" ref="B777:B794" si="79">B776+1</f>
        <v>771</v>
      </c>
      <c r="O777" s="2">
        <f t="shared" si="74"/>
        <v>0</v>
      </c>
      <c r="P777" s="2" t="e">
        <f t="shared" si="75"/>
        <v>#DIV/0!</v>
      </c>
      <c r="Q777" s="2">
        <f t="shared" si="76"/>
        <v>0</v>
      </c>
      <c r="R777" s="2" t="e">
        <f t="shared" si="77"/>
        <v>#DIV/0!</v>
      </c>
      <c r="S777" s="2" t="e">
        <f t="shared" si="78"/>
        <v>#DIV/0!</v>
      </c>
    </row>
    <row r="778" spans="2:19" x14ac:dyDescent="0.25">
      <c r="B778" s="1">
        <f t="shared" si="79"/>
        <v>772</v>
      </c>
      <c r="O778" s="2">
        <f t="shared" si="74"/>
        <v>0</v>
      </c>
      <c r="P778" s="2" t="e">
        <f t="shared" si="75"/>
        <v>#DIV/0!</v>
      </c>
      <c r="Q778" s="2">
        <f t="shared" si="76"/>
        <v>0</v>
      </c>
      <c r="R778" s="2" t="e">
        <f t="shared" si="77"/>
        <v>#DIV/0!</v>
      </c>
      <c r="S778" s="2" t="e">
        <f t="shared" si="78"/>
        <v>#DIV/0!</v>
      </c>
    </row>
    <row r="779" spans="2:19" x14ac:dyDescent="0.25">
      <c r="B779" s="1">
        <f t="shared" si="79"/>
        <v>773</v>
      </c>
      <c r="O779" s="2">
        <f t="shared" si="74"/>
        <v>0</v>
      </c>
      <c r="P779" s="2" t="e">
        <f t="shared" si="75"/>
        <v>#DIV/0!</v>
      </c>
      <c r="Q779" s="2">
        <f t="shared" si="76"/>
        <v>0</v>
      </c>
      <c r="R779" s="2" t="e">
        <f t="shared" si="77"/>
        <v>#DIV/0!</v>
      </c>
      <c r="S779" s="2" t="e">
        <f t="shared" si="78"/>
        <v>#DIV/0!</v>
      </c>
    </row>
    <row r="780" spans="2:19" x14ac:dyDescent="0.25">
      <c r="B780" s="1">
        <f t="shared" si="79"/>
        <v>774</v>
      </c>
      <c r="O780" s="2">
        <f t="shared" si="74"/>
        <v>0</v>
      </c>
      <c r="P780" s="2" t="e">
        <f t="shared" si="75"/>
        <v>#DIV/0!</v>
      </c>
      <c r="Q780" s="2">
        <f t="shared" si="76"/>
        <v>0</v>
      </c>
      <c r="R780" s="2" t="e">
        <f t="shared" si="77"/>
        <v>#DIV/0!</v>
      </c>
      <c r="S780" s="2" t="e">
        <f t="shared" si="78"/>
        <v>#DIV/0!</v>
      </c>
    </row>
    <row r="781" spans="2:19" x14ac:dyDescent="0.25">
      <c r="B781" s="1">
        <f t="shared" si="79"/>
        <v>775</v>
      </c>
      <c r="O781" s="2">
        <f t="shared" si="74"/>
        <v>0</v>
      </c>
      <c r="P781" s="2" t="e">
        <f t="shared" si="75"/>
        <v>#DIV/0!</v>
      </c>
      <c r="Q781" s="2">
        <f t="shared" si="76"/>
        <v>0</v>
      </c>
      <c r="R781" s="2" t="e">
        <f t="shared" si="77"/>
        <v>#DIV/0!</v>
      </c>
      <c r="S781" s="2" t="e">
        <f t="shared" si="78"/>
        <v>#DIV/0!</v>
      </c>
    </row>
    <row r="782" spans="2:19" x14ac:dyDescent="0.25">
      <c r="B782" s="1">
        <f t="shared" si="79"/>
        <v>776</v>
      </c>
      <c r="O782" s="2">
        <f t="shared" si="74"/>
        <v>0</v>
      </c>
      <c r="P782" s="2" t="e">
        <f t="shared" si="75"/>
        <v>#DIV/0!</v>
      </c>
      <c r="Q782" s="2">
        <f t="shared" si="76"/>
        <v>0</v>
      </c>
      <c r="R782" s="2" t="e">
        <f t="shared" si="77"/>
        <v>#DIV/0!</v>
      </c>
      <c r="S782" s="2" t="e">
        <f t="shared" si="78"/>
        <v>#DIV/0!</v>
      </c>
    </row>
    <row r="783" spans="2:19" x14ac:dyDescent="0.25">
      <c r="B783" s="1">
        <f t="shared" si="79"/>
        <v>777</v>
      </c>
      <c r="O783" s="2">
        <f t="shared" si="74"/>
        <v>0</v>
      </c>
      <c r="P783" s="2" t="e">
        <f t="shared" si="75"/>
        <v>#DIV/0!</v>
      </c>
      <c r="Q783" s="2">
        <f t="shared" si="76"/>
        <v>0</v>
      </c>
      <c r="R783" s="2" t="e">
        <f t="shared" si="77"/>
        <v>#DIV/0!</v>
      </c>
      <c r="S783" s="2" t="e">
        <f t="shared" si="78"/>
        <v>#DIV/0!</v>
      </c>
    </row>
    <row r="784" spans="2:19" x14ac:dyDescent="0.25">
      <c r="B784" s="1">
        <f t="shared" si="79"/>
        <v>778</v>
      </c>
      <c r="O784" s="2">
        <f t="shared" si="74"/>
        <v>0</v>
      </c>
      <c r="P784" s="2" t="e">
        <f t="shared" si="75"/>
        <v>#DIV/0!</v>
      </c>
      <c r="Q784" s="2">
        <f t="shared" si="76"/>
        <v>0</v>
      </c>
      <c r="R784" s="2" t="e">
        <f t="shared" si="77"/>
        <v>#DIV/0!</v>
      </c>
      <c r="S784" s="2" t="e">
        <f t="shared" si="78"/>
        <v>#DIV/0!</v>
      </c>
    </row>
    <row r="785" spans="2:20" x14ac:dyDescent="0.25">
      <c r="B785" s="1">
        <f t="shared" si="79"/>
        <v>779</v>
      </c>
      <c r="O785" s="2">
        <f t="shared" si="74"/>
        <v>0</v>
      </c>
      <c r="P785" s="2" t="e">
        <f t="shared" si="75"/>
        <v>#DIV/0!</v>
      </c>
      <c r="Q785" s="2">
        <f t="shared" si="76"/>
        <v>0</v>
      </c>
      <c r="R785" s="2" t="e">
        <f t="shared" si="77"/>
        <v>#DIV/0!</v>
      </c>
      <c r="S785" s="2" t="e">
        <f t="shared" si="78"/>
        <v>#DIV/0!</v>
      </c>
    </row>
    <row r="786" spans="2:20" x14ac:dyDescent="0.25">
      <c r="B786" s="1">
        <f t="shared" si="79"/>
        <v>780</v>
      </c>
      <c r="O786" s="2">
        <f t="shared" si="74"/>
        <v>0</v>
      </c>
      <c r="P786" s="2" t="e">
        <f t="shared" si="75"/>
        <v>#DIV/0!</v>
      </c>
      <c r="Q786" s="2">
        <f t="shared" si="76"/>
        <v>0</v>
      </c>
      <c r="R786" s="2" t="e">
        <f t="shared" si="77"/>
        <v>#DIV/0!</v>
      </c>
      <c r="S786" s="2" t="e">
        <f t="shared" si="78"/>
        <v>#DIV/0!</v>
      </c>
    </row>
    <row r="787" spans="2:20" x14ac:dyDescent="0.25">
      <c r="B787" s="1">
        <f t="shared" si="79"/>
        <v>781</v>
      </c>
      <c r="O787" s="2">
        <f t="shared" si="74"/>
        <v>0</v>
      </c>
      <c r="P787" s="2" t="e">
        <f t="shared" si="75"/>
        <v>#DIV/0!</v>
      </c>
      <c r="Q787" s="2">
        <f t="shared" si="76"/>
        <v>0</v>
      </c>
      <c r="R787" s="2" t="e">
        <f t="shared" si="77"/>
        <v>#DIV/0!</v>
      </c>
      <c r="S787" s="2" t="e">
        <f t="shared" si="78"/>
        <v>#DIV/0!</v>
      </c>
    </row>
    <row r="788" spans="2:20" x14ac:dyDescent="0.25">
      <c r="B788" s="1">
        <f t="shared" si="79"/>
        <v>782</v>
      </c>
      <c r="O788" s="2">
        <f t="shared" si="74"/>
        <v>0</v>
      </c>
      <c r="P788" s="2" t="e">
        <f t="shared" si="75"/>
        <v>#DIV/0!</v>
      </c>
      <c r="Q788" s="2">
        <f t="shared" si="76"/>
        <v>0</v>
      </c>
      <c r="R788" s="2" t="e">
        <f t="shared" si="77"/>
        <v>#DIV/0!</v>
      </c>
      <c r="S788" s="2" t="e">
        <f t="shared" si="78"/>
        <v>#DIV/0!</v>
      </c>
    </row>
    <row r="789" spans="2:20" x14ac:dyDescent="0.25">
      <c r="B789" s="1">
        <f t="shared" si="79"/>
        <v>783</v>
      </c>
      <c r="O789" s="2">
        <f t="shared" si="74"/>
        <v>0</v>
      </c>
      <c r="P789" s="2" t="e">
        <f t="shared" si="75"/>
        <v>#DIV/0!</v>
      </c>
      <c r="Q789" s="2">
        <f t="shared" si="76"/>
        <v>0</v>
      </c>
      <c r="R789" s="2" t="e">
        <f t="shared" si="77"/>
        <v>#DIV/0!</v>
      </c>
      <c r="S789" s="2" t="e">
        <f t="shared" si="78"/>
        <v>#DIV/0!</v>
      </c>
    </row>
    <row r="790" spans="2:20" x14ac:dyDescent="0.25">
      <c r="B790" s="1">
        <f t="shared" si="79"/>
        <v>784</v>
      </c>
      <c r="O790" s="2">
        <f t="shared" si="74"/>
        <v>0</v>
      </c>
      <c r="P790" s="2" t="e">
        <f t="shared" si="75"/>
        <v>#DIV/0!</v>
      </c>
      <c r="Q790" s="2">
        <f t="shared" si="76"/>
        <v>0</v>
      </c>
      <c r="R790" s="2" t="e">
        <f t="shared" si="77"/>
        <v>#DIV/0!</v>
      </c>
      <c r="S790" s="2" t="e">
        <f t="shared" si="78"/>
        <v>#DIV/0!</v>
      </c>
    </row>
    <row r="791" spans="2:20" x14ac:dyDescent="0.25">
      <c r="B791" s="1">
        <f t="shared" si="79"/>
        <v>785</v>
      </c>
      <c r="O791" s="2">
        <f t="shared" si="74"/>
        <v>0</v>
      </c>
      <c r="P791" s="2" t="e">
        <f t="shared" si="75"/>
        <v>#DIV/0!</v>
      </c>
      <c r="Q791" s="2">
        <f t="shared" si="76"/>
        <v>0</v>
      </c>
      <c r="R791" s="2" t="e">
        <f t="shared" si="77"/>
        <v>#DIV/0!</v>
      </c>
      <c r="S791" s="2" t="e">
        <f t="shared" si="78"/>
        <v>#DIV/0!</v>
      </c>
    </row>
    <row r="792" spans="2:20" x14ac:dyDescent="0.25">
      <c r="B792" s="1">
        <f t="shared" si="79"/>
        <v>786</v>
      </c>
      <c r="O792" s="2">
        <f t="shared" si="74"/>
        <v>0</v>
      </c>
      <c r="P792" s="2" t="e">
        <f t="shared" si="75"/>
        <v>#DIV/0!</v>
      </c>
      <c r="Q792" s="2">
        <f t="shared" si="76"/>
        <v>0</v>
      </c>
      <c r="R792" s="2" t="e">
        <f t="shared" si="77"/>
        <v>#DIV/0!</v>
      </c>
      <c r="S792" s="2" t="e">
        <f t="shared" si="78"/>
        <v>#DIV/0!</v>
      </c>
    </row>
    <row r="793" spans="2:20" x14ac:dyDescent="0.25">
      <c r="B793" s="1">
        <f t="shared" si="79"/>
        <v>787</v>
      </c>
      <c r="O793" s="2">
        <f t="shared" si="74"/>
        <v>0</v>
      </c>
      <c r="P793" s="2" t="e">
        <f t="shared" si="75"/>
        <v>#DIV/0!</v>
      </c>
      <c r="Q793" s="2">
        <f t="shared" si="76"/>
        <v>0</v>
      </c>
      <c r="R793" s="2" t="e">
        <f t="shared" si="77"/>
        <v>#DIV/0!</v>
      </c>
      <c r="S793" s="2" t="e">
        <f t="shared" si="78"/>
        <v>#DIV/0!</v>
      </c>
    </row>
    <row r="794" spans="2:20" x14ac:dyDescent="0.25">
      <c r="B794" s="1">
        <f t="shared" si="79"/>
        <v>788</v>
      </c>
      <c r="O794" s="2">
        <f t="shared" si="74"/>
        <v>0</v>
      </c>
      <c r="P794" s="2" t="e">
        <f t="shared" si="75"/>
        <v>#DIV/0!</v>
      </c>
    </row>
    <row r="795" spans="2:20" x14ac:dyDescent="0.25"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25"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25"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25"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25"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25"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3:20" x14ac:dyDescent="0.25"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3:20" x14ac:dyDescent="0.25"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3:20" x14ac:dyDescent="0.25"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3:20" x14ac:dyDescent="0.25"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3:20" x14ac:dyDescent="0.25"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3:20" x14ac:dyDescent="0.25"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3:20" x14ac:dyDescent="0.25"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3:20" x14ac:dyDescent="0.25"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3:20" x14ac:dyDescent="0.25"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3:20" x14ac:dyDescent="0.25"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3:20" x14ac:dyDescent="0.25"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3:20" x14ac:dyDescent="0.25"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3:20" x14ac:dyDescent="0.25"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3:20" x14ac:dyDescent="0.25"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3:20" x14ac:dyDescent="0.25"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3:20" x14ac:dyDescent="0.25"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3:20" x14ac:dyDescent="0.25"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3:20" x14ac:dyDescent="0.25"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3:20" x14ac:dyDescent="0.25"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3:20" x14ac:dyDescent="0.25"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3:20" x14ac:dyDescent="0.25"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3:20" x14ac:dyDescent="0.25"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3:20" x14ac:dyDescent="0.25"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3:20" x14ac:dyDescent="0.25"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3:20" x14ac:dyDescent="0.25"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3:20" x14ac:dyDescent="0.25"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3:20" x14ac:dyDescent="0.25"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3:20" x14ac:dyDescent="0.25"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3:20" x14ac:dyDescent="0.25"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3:20" x14ac:dyDescent="0.25"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3:20" x14ac:dyDescent="0.25"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3:20" x14ac:dyDescent="0.25"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3:20" x14ac:dyDescent="0.25"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3:20" x14ac:dyDescent="0.25"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3:20" x14ac:dyDescent="0.25"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3:20" x14ac:dyDescent="0.25"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3:20" x14ac:dyDescent="0.25"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3:20" x14ac:dyDescent="0.25"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3:20" x14ac:dyDescent="0.25"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3:20" x14ac:dyDescent="0.25"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3:20" x14ac:dyDescent="0.25"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3:20" x14ac:dyDescent="0.25"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3:20" x14ac:dyDescent="0.25"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3:20" x14ac:dyDescent="0.25"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3:20" x14ac:dyDescent="0.25"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3:20" x14ac:dyDescent="0.25"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3:20" x14ac:dyDescent="0.25"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3:20" x14ac:dyDescent="0.25"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3:20" x14ac:dyDescent="0.25"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3:20" x14ac:dyDescent="0.25"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3:20" x14ac:dyDescent="0.25"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3:20" x14ac:dyDescent="0.25"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3:20" x14ac:dyDescent="0.25"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3:20" x14ac:dyDescent="0.25"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3:20" x14ac:dyDescent="0.25"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3:20" x14ac:dyDescent="0.25"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3:20" x14ac:dyDescent="0.25"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3:20" x14ac:dyDescent="0.25"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3:20" x14ac:dyDescent="0.25"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3:20" x14ac:dyDescent="0.25"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3:20" x14ac:dyDescent="0.25"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3:20" x14ac:dyDescent="0.25"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3:20" x14ac:dyDescent="0.25"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3:20" x14ac:dyDescent="0.25"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3:20" x14ac:dyDescent="0.25"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3:20" x14ac:dyDescent="0.25"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3:20" x14ac:dyDescent="0.25"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3:20" x14ac:dyDescent="0.25"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3:20" x14ac:dyDescent="0.25"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3:20" x14ac:dyDescent="0.25"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3:20" x14ac:dyDescent="0.25"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3:20" x14ac:dyDescent="0.25"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3:20" x14ac:dyDescent="0.25"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3:20" x14ac:dyDescent="0.25"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3:20" x14ac:dyDescent="0.25"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3:20" x14ac:dyDescent="0.25"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3:20" x14ac:dyDescent="0.25"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3:20" x14ac:dyDescent="0.25"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3:20" x14ac:dyDescent="0.25"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3:20" x14ac:dyDescent="0.25"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3:20" x14ac:dyDescent="0.25"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3:20" x14ac:dyDescent="0.25"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3:20" x14ac:dyDescent="0.25"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3:20" x14ac:dyDescent="0.25"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3:20" x14ac:dyDescent="0.25"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3:20" x14ac:dyDescent="0.25"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3:20" x14ac:dyDescent="0.25"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3:20" x14ac:dyDescent="0.25"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3:20" x14ac:dyDescent="0.25"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3:20" x14ac:dyDescent="0.25"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3:20" x14ac:dyDescent="0.25"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3:20" x14ac:dyDescent="0.25"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3:20" x14ac:dyDescent="0.25"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3:20" x14ac:dyDescent="0.25"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3:20" x14ac:dyDescent="0.25"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3:20" x14ac:dyDescent="0.25"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3:20" x14ac:dyDescent="0.25"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3:20" x14ac:dyDescent="0.25"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3:20" x14ac:dyDescent="0.25"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3:20" x14ac:dyDescent="0.25"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3:20" x14ac:dyDescent="0.25"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3:20" x14ac:dyDescent="0.25"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3:20" x14ac:dyDescent="0.25"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3:20" x14ac:dyDescent="0.25"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3:20" x14ac:dyDescent="0.25"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3:20" x14ac:dyDescent="0.25"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3:20" x14ac:dyDescent="0.25"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3:20" x14ac:dyDescent="0.25"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3:20" x14ac:dyDescent="0.25"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3:20" x14ac:dyDescent="0.25"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3:20" x14ac:dyDescent="0.25"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3:20" x14ac:dyDescent="0.25"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3:20" x14ac:dyDescent="0.25"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3:20" x14ac:dyDescent="0.25"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3:20" x14ac:dyDescent="0.25"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3:20" x14ac:dyDescent="0.25"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3:20" x14ac:dyDescent="0.25"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3:20" x14ac:dyDescent="0.25"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3:20" x14ac:dyDescent="0.25"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3:20" x14ac:dyDescent="0.25"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3:20" x14ac:dyDescent="0.25"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3:20" x14ac:dyDescent="0.25"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3:20" x14ac:dyDescent="0.25"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3:20" x14ac:dyDescent="0.25"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3:20" x14ac:dyDescent="0.25"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3:20" x14ac:dyDescent="0.25"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3:20" x14ac:dyDescent="0.25"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3:20" x14ac:dyDescent="0.25"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3:20" x14ac:dyDescent="0.25"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3:20" x14ac:dyDescent="0.25"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3:20" x14ac:dyDescent="0.25"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3:20" x14ac:dyDescent="0.25"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3:20" x14ac:dyDescent="0.25"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3:20" x14ac:dyDescent="0.25"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3:20" x14ac:dyDescent="0.25"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3:20" x14ac:dyDescent="0.25"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3:20" x14ac:dyDescent="0.25"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3:20" x14ac:dyDescent="0.25"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3:20" x14ac:dyDescent="0.25"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3:20" x14ac:dyDescent="0.25"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3:20" x14ac:dyDescent="0.25"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3:20" x14ac:dyDescent="0.25"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3:20" x14ac:dyDescent="0.25"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3:20" x14ac:dyDescent="0.25"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3:20" x14ac:dyDescent="0.25"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3:20" x14ac:dyDescent="0.25"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3:20" x14ac:dyDescent="0.25"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3:20" x14ac:dyDescent="0.25"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3:20" x14ac:dyDescent="0.25"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3:20" x14ac:dyDescent="0.25"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3:20" x14ac:dyDescent="0.25"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3:20" x14ac:dyDescent="0.25"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3:20" x14ac:dyDescent="0.25"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3:20" x14ac:dyDescent="0.25"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3:20" x14ac:dyDescent="0.25"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3:20" x14ac:dyDescent="0.25"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3:20" x14ac:dyDescent="0.25"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3:20" x14ac:dyDescent="0.25"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3:20" x14ac:dyDescent="0.25"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3:20" x14ac:dyDescent="0.25"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3:20" x14ac:dyDescent="0.25"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3:20" x14ac:dyDescent="0.25"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3:20" x14ac:dyDescent="0.25"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3:20" x14ac:dyDescent="0.25"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3:20" x14ac:dyDescent="0.25"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3:20" x14ac:dyDescent="0.25"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3:20" x14ac:dyDescent="0.25"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3:20" x14ac:dyDescent="0.25"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3:20" x14ac:dyDescent="0.25"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3:20" x14ac:dyDescent="0.25"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3:20" x14ac:dyDescent="0.25"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3:20" x14ac:dyDescent="0.25"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3:20" x14ac:dyDescent="0.25"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3:20" x14ac:dyDescent="0.25"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3:20" x14ac:dyDescent="0.25"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3:20" x14ac:dyDescent="0.25"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3:20" x14ac:dyDescent="0.25"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3:20" x14ac:dyDescent="0.25"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3:20" x14ac:dyDescent="0.25"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3:20" x14ac:dyDescent="0.25"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3:20" x14ac:dyDescent="0.25"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3:20" x14ac:dyDescent="0.25"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3:20" x14ac:dyDescent="0.25"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3:20" x14ac:dyDescent="0.25"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3:20" x14ac:dyDescent="0.25"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3:20" x14ac:dyDescent="0.25"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3:20" x14ac:dyDescent="0.25"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3:20" x14ac:dyDescent="0.25"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3:20" x14ac:dyDescent="0.25"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3:20" x14ac:dyDescent="0.25"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3:20" x14ac:dyDescent="0.25"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3:20" x14ac:dyDescent="0.25"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3:20" x14ac:dyDescent="0.25"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3:20" x14ac:dyDescent="0.25"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3:20" x14ac:dyDescent="0.25"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3:20" x14ac:dyDescent="0.25"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3:20" x14ac:dyDescent="0.25"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3:20" x14ac:dyDescent="0.25"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3:20" x14ac:dyDescent="0.25"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3:20" x14ac:dyDescent="0.25"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3:20" x14ac:dyDescent="0.25"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3:20" x14ac:dyDescent="0.25"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3:20" x14ac:dyDescent="0.25"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3:20" x14ac:dyDescent="0.25"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3:20" x14ac:dyDescent="0.25"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3:20" x14ac:dyDescent="0.25"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3:20" x14ac:dyDescent="0.25"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3:20" x14ac:dyDescent="0.25"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3:20" x14ac:dyDescent="0.25"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3:20" x14ac:dyDescent="0.25"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3:20" x14ac:dyDescent="0.25"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3:20" x14ac:dyDescent="0.25"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3:20" x14ac:dyDescent="0.25"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3:20" x14ac:dyDescent="0.25"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3:20" x14ac:dyDescent="0.25"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3:20" x14ac:dyDescent="0.25"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3:20" x14ac:dyDescent="0.25"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3:20" x14ac:dyDescent="0.25"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3:20" x14ac:dyDescent="0.25"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3:20" x14ac:dyDescent="0.25"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3:20" x14ac:dyDescent="0.25"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3:20" x14ac:dyDescent="0.25"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3:20" x14ac:dyDescent="0.25"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3:20" x14ac:dyDescent="0.25"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3:20" x14ac:dyDescent="0.25"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3:20" x14ac:dyDescent="0.25"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3:20" x14ac:dyDescent="0.25"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3:20" x14ac:dyDescent="0.25"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3:20" x14ac:dyDescent="0.25"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3:20" x14ac:dyDescent="0.25"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3:20" x14ac:dyDescent="0.25"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3:20" x14ac:dyDescent="0.25"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3:20" x14ac:dyDescent="0.25"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3:20" x14ac:dyDescent="0.25"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3:20" x14ac:dyDescent="0.25"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3:20" x14ac:dyDescent="0.25"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3:20" x14ac:dyDescent="0.25"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3:20" x14ac:dyDescent="0.25"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3:20" x14ac:dyDescent="0.25"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3:20" x14ac:dyDescent="0.25"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3:20" x14ac:dyDescent="0.25"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3:20" x14ac:dyDescent="0.25"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3:20" x14ac:dyDescent="0.25"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3:20" x14ac:dyDescent="0.25"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3:20" x14ac:dyDescent="0.25"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3:20" x14ac:dyDescent="0.25"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3:20" x14ac:dyDescent="0.25"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3:20" x14ac:dyDescent="0.25"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3:20" x14ac:dyDescent="0.25"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3:20" x14ac:dyDescent="0.25"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3:20" x14ac:dyDescent="0.25"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3:20" x14ac:dyDescent="0.25"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3:20" x14ac:dyDescent="0.25"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3:20" x14ac:dyDescent="0.25"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3:20" x14ac:dyDescent="0.25"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3:20" x14ac:dyDescent="0.25"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3:20" x14ac:dyDescent="0.25"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3:20" x14ac:dyDescent="0.25"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3:20" x14ac:dyDescent="0.25"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3:20" x14ac:dyDescent="0.25"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3:20" x14ac:dyDescent="0.25"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3:20" x14ac:dyDescent="0.25"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3:20" x14ac:dyDescent="0.25"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3:20" x14ac:dyDescent="0.25"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3:20" x14ac:dyDescent="0.25"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3:20" x14ac:dyDescent="0.25"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3:20" x14ac:dyDescent="0.25"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3:20" x14ac:dyDescent="0.25"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3:20" x14ac:dyDescent="0.25"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3:20" x14ac:dyDescent="0.25"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3:20" x14ac:dyDescent="0.25"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3:20" x14ac:dyDescent="0.25"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3:20" x14ac:dyDescent="0.25"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3:20" x14ac:dyDescent="0.25"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3:20" x14ac:dyDescent="0.25"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3:20" x14ac:dyDescent="0.25"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3:20" x14ac:dyDescent="0.25"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3:20" x14ac:dyDescent="0.25"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3:20" x14ac:dyDescent="0.25"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3:20" x14ac:dyDescent="0.25"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3:20" x14ac:dyDescent="0.25"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3:20" x14ac:dyDescent="0.25"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3:20" x14ac:dyDescent="0.25"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3:20" x14ac:dyDescent="0.25"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3:20" x14ac:dyDescent="0.25"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3:20" x14ac:dyDescent="0.25"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3:20" x14ac:dyDescent="0.25"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3:20" x14ac:dyDescent="0.25"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3:20" x14ac:dyDescent="0.25"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3:20" x14ac:dyDescent="0.25"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3:20" x14ac:dyDescent="0.25"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3:20" x14ac:dyDescent="0.25"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3:20" x14ac:dyDescent="0.25"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3:20" x14ac:dyDescent="0.25"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3:20" x14ac:dyDescent="0.25"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3:20" x14ac:dyDescent="0.25"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3:20" x14ac:dyDescent="0.25"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3:20" x14ac:dyDescent="0.25"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3:20" x14ac:dyDescent="0.25"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3:20" x14ac:dyDescent="0.25"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3:20" x14ac:dyDescent="0.25"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3:20" x14ac:dyDescent="0.25"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3:20" x14ac:dyDescent="0.25"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3:20" x14ac:dyDescent="0.25"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3:20" x14ac:dyDescent="0.25"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3:20" x14ac:dyDescent="0.25"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3:20" x14ac:dyDescent="0.25"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3:20" x14ac:dyDescent="0.25"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3:20" x14ac:dyDescent="0.25"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3:20" x14ac:dyDescent="0.25"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</sheetData>
  <mergeCells count="6">
    <mergeCell ref="BF21:BJ21"/>
    <mergeCell ref="D2:K2"/>
    <mergeCell ref="D3:K3"/>
    <mergeCell ref="AI21:AM21"/>
    <mergeCell ref="AN21:AV21"/>
    <mergeCell ref="AW21:BE21"/>
  </mergeCells>
  <conditionalFormatting sqref="C1:M4 C5:S5 C6:M1048576">
    <cfRule type="expression" dxfId="24" priority="74">
      <formula>$M1=$X$59</formula>
    </cfRule>
    <cfRule type="expression" dxfId="23" priority="75">
      <formula>$M1=$X$23</formula>
    </cfRule>
    <cfRule type="expression" dxfId="22" priority="76">
      <formula>$M1=$X$28</formula>
    </cfRule>
    <cfRule type="expression" dxfId="21" priority="77">
      <formula>$M1=$X$29</formula>
    </cfRule>
  </conditionalFormatting>
  <conditionalFormatting sqref="C6:M1048576 C1:M4 C5:S5">
    <cfRule type="expression" dxfId="20" priority="71">
      <formula>$M1=$X$44</formula>
    </cfRule>
  </conditionalFormatting>
  <conditionalFormatting sqref="M7:P7 R7:T7 S8:T21 M8:N280 O8:P794 R8:R794 T22:T280 S22:S793">
    <cfRule type="cellIs" dxfId="19" priority="9" operator="lessThan">
      <formula>0</formula>
    </cfRule>
  </conditionalFormatting>
  <conditionalFormatting sqref="X32">
    <cfRule type="cellIs" dxfId="18" priority="1" operator="between">
      <formula>$X$28</formula>
      <formula>$X$29</formula>
    </cfRule>
  </conditionalFormatting>
  <conditionalFormatting sqref="X47">
    <cfRule type="cellIs" dxfId="17" priority="2" operator="between">
      <formula>$X$43</formula>
      <formula>$X$44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6707-BEA7-488C-9C9F-D20DD89EE822}">
  <dimension ref="B1:BJ1110"/>
  <sheetViews>
    <sheetView topLeftCell="P1" zoomScale="80" zoomScaleNormal="80" workbookViewId="0">
      <selection activeCell="AT24" sqref="AT24"/>
    </sheetView>
  </sheetViews>
  <sheetFormatPr defaultRowHeight="15" x14ac:dyDescent="0.25"/>
  <cols>
    <col min="2" max="3" width="9.140625" style="1"/>
    <col min="4" max="4" width="9.140625" style="13"/>
    <col min="5" max="5" width="9.140625" style="1"/>
    <col min="6" max="6" width="13.28515625" style="2" bestFit="1" customWidth="1"/>
    <col min="7" max="9" width="9.140625" style="1"/>
    <col min="10" max="10" width="10.42578125" style="14" bestFit="1" customWidth="1"/>
    <col min="11" max="11" width="9.7109375" style="15" bestFit="1" customWidth="1"/>
    <col min="12" max="12" width="9.140625" style="1"/>
    <col min="13" max="20" width="9.140625" style="2"/>
    <col min="22" max="22" width="14" bestFit="1" customWidth="1"/>
    <col min="23" max="23" width="9.140625" style="1"/>
    <col min="24" max="24" width="9.140625" style="2"/>
    <col min="26" max="27" width="9.140625" style="1"/>
    <col min="28" max="28" width="20" bestFit="1" customWidth="1"/>
    <col min="29" max="29" width="9.140625" style="2" customWidth="1"/>
    <col min="30" max="30" width="9.140625" style="1"/>
    <col min="32" max="32" width="19.140625" bestFit="1" customWidth="1"/>
    <col min="33" max="33" width="9.140625" style="1"/>
    <col min="35" max="35" width="10.5703125" bestFit="1" customWidth="1"/>
  </cols>
  <sheetData>
    <row r="1" spans="2:25" x14ac:dyDescent="0.25">
      <c r="D1" s="1"/>
      <c r="F1" s="1"/>
      <c r="J1" s="1"/>
      <c r="K1" s="1"/>
      <c r="S1" s="17"/>
      <c r="V1" s="3"/>
      <c r="Y1" s="1"/>
    </row>
    <row r="2" spans="2:25" x14ac:dyDescent="0.25">
      <c r="C2" s="4" t="s">
        <v>0</v>
      </c>
      <c r="D2" s="32" t="s">
        <v>54</v>
      </c>
      <c r="E2" s="32"/>
      <c r="F2" s="32"/>
      <c r="G2" s="32"/>
      <c r="H2" s="32"/>
      <c r="I2" s="32"/>
      <c r="J2" s="32"/>
      <c r="K2" s="33"/>
      <c r="L2" s="3"/>
      <c r="M2" s="5"/>
      <c r="N2" s="5"/>
      <c r="O2" s="5"/>
      <c r="P2" s="5"/>
      <c r="Q2" s="5"/>
      <c r="R2" s="5"/>
      <c r="S2" s="17" t="s">
        <v>27</v>
      </c>
      <c r="T2" s="5"/>
      <c r="V2" s="3"/>
      <c r="Y2" s="1"/>
    </row>
    <row r="3" spans="2:25" x14ac:dyDescent="0.25">
      <c r="C3" s="6" t="s">
        <v>1</v>
      </c>
      <c r="D3" s="34"/>
      <c r="E3" s="34"/>
      <c r="F3" s="34"/>
      <c r="G3" s="34"/>
      <c r="H3" s="34"/>
      <c r="I3" s="34"/>
      <c r="J3" s="34"/>
      <c r="K3" s="35"/>
      <c r="L3" s="3"/>
      <c r="M3" s="5"/>
      <c r="N3" s="5"/>
      <c r="O3" s="5"/>
      <c r="P3" s="5"/>
      <c r="Q3" s="5"/>
      <c r="R3" s="5"/>
      <c r="S3" s="17" t="s">
        <v>28</v>
      </c>
      <c r="T3" s="5"/>
      <c r="V3" s="3"/>
      <c r="Y3" s="1"/>
    </row>
    <row r="4" spans="2:25" x14ac:dyDescent="0.25">
      <c r="C4" s="10"/>
      <c r="D4" s="3"/>
      <c r="E4" s="3"/>
      <c r="F4" s="3"/>
      <c r="G4" s="3"/>
      <c r="H4" s="3"/>
      <c r="I4" s="3"/>
      <c r="J4" s="3"/>
      <c r="K4" s="3"/>
      <c r="L4" s="3"/>
      <c r="M4" s="5"/>
      <c r="N4" s="5"/>
      <c r="O4" s="5"/>
      <c r="P4" s="5"/>
      <c r="Q4" s="5"/>
      <c r="R4" s="5"/>
      <c r="S4" s="20" t="s">
        <v>29</v>
      </c>
      <c r="T4" s="5"/>
      <c r="V4" s="3"/>
      <c r="Y4" s="1"/>
    </row>
    <row r="5" spans="2:25" x14ac:dyDescent="0.25">
      <c r="C5" s="1">
        <v>1</v>
      </c>
      <c r="D5" s="1">
        <v>2</v>
      </c>
      <c r="E5" s="1">
        <v>3</v>
      </c>
      <c r="F5" s="1">
        <f>E5+1</f>
        <v>4</v>
      </c>
      <c r="G5" s="1">
        <f t="shared" ref="G5:S5" si="0">F5+1</f>
        <v>5</v>
      </c>
      <c r="H5" s="1">
        <f t="shared" si="0"/>
        <v>6</v>
      </c>
      <c r="I5" s="1">
        <f t="shared" si="0"/>
        <v>7</v>
      </c>
      <c r="J5" s="1">
        <f t="shared" si="0"/>
        <v>8</v>
      </c>
      <c r="K5" s="1">
        <f t="shared" si="0"/>
        <v>9</v>
      </c>
      <c r="L5" s="1">
        <f t="shared" si="0"/>
        <v>10</v>
      </c>
      <c r="M5" s="1">
        <f t="shared" si="0"/>
        <v>11</v>
      </c>
      <c r="N5" s="1">
        <f t="shared" si="0"/>
        <v>12</v>
      </c>
      <c r="O5" s="1">
        <f t="shared" si="0"/>
        <v>13</v>
      </c>
      <c r="P5" s="1">
        <f t="shared" si="0"/>
        <v>14</v>
      </c>
      <c r="Q5" s="1">
        <f t="shared" si="0"/>
        <v>15</v>
      </c>
      <c r="R5" s="1">
        <f t="shared" si="0"/>
        <v>16</v>
      </c>
      <c r="S5" s="1">
        <f t="shared" si="0"/>
        <v>17</v>
      </c>
      <c r="V5" s="3"/>
      <c r="Y5" s="1"/>
    </row>
    <row r="6" spans="2:25" x14ac:dyDescent="0.25">
      <c r="C6" s="7" t="s">
        <v>2</v>
      </c>
      <c r="D6" s="8" t="s">
        <v>3</v>
      </c>
      <c r="E6" s="8" t="s">
        <v>4</v>
      </c>
      <c r="F6" s="8" t="s">
        <v>5</v>
      </c>
      <c r="G6" s="8" t="s">
        <v>4</v>
      </c>
      <c r="H6" s="8" t="s">
        <v>6</v>
      </c>
      <c r="I6" s="8" t="s">
        <v>7</v>
      </c>
      <c r="J6" s="8" t="s">
        <v>8</v>
      </c>
      <c r="K6" s="9" t="s">
        <v>9</v>
      </c>
      <c r="L6" s="10"/>
      <c r="M6" s="11" t="s">
        <v>10</v>
      </c>
      <c r="N6" s="12"/>
      <c r="O6" s="12"/>
      <c r="P6" s="12"/>
      <c r="Q6" s="12" t="s">
        <v>24</v>
      </c>
      <c r="R6" s="12" t="s">
        <v>25</v>
      </c>
      <c r="S6" s="12" t="s">
        <v>26</v>
      </c>
      <c r="T6" s="12"/>
      <c r="V6" s="16"/>
      <c r="W6" s="10"/>
      <c r="X6" s="12"/>
      <c r="Y6" s="16"/>
    </row>
    <row r="7" spans="2:25" x14ac:dyDescent="0.25">
      <c r="B7" s="1">
        <v>1</v>
      </c>
      <c r="C7" s="1">
        <v>26</v>
      </c>
      <c r="D7" s="13">
        <v>0</v>
      </c>
      <c r="E7" s="1" t="s">
        <v>11</v>
      </c>
      <c r="F7" s="2">
        <v>0.02</v>
      </c>
      <c r="G7" s="1" t="s">
        <v>12</v>
      </c>
      <c r="H7" s="1" t="s">
        <v>13</v>
      </c>
      <c r="I7" s="1" t="s">
        <v>14</v>
      </c>
      <c r="J7" s="14">
        <v>0.6416087962962963</v>
      </c>
      <c r="K7" s="15">
        <v>44751</v>
      </c>
      <c r="L7" s="15"/>
      <c r="M7" s="2">
        <v>0</v>
      </c>
      <c r="O7" s="2">
        <f>M7-$X$23</f>
        <v>-7.0000000000000007E-2</v>
      </c>
      <c r="P7" s="2">
        <f>O7*$AC$21+$Y$23</f>
        <v>42.76</v>
      </c>
      <c r="Q7" s="2">
        <f>((D7+D8)/2)*(M8-M7)</f>
        <v>5.000000000000001E-3</v>
      </c>
      <c r="R7" s="2">
        <f>((P7+P8)/2)*(O8-O7)</f>
        <v>0.21391428571428589</v>
      </c>
      <c r="S7" s="2">
        <f>Q7-R7</f>
        <v>-0.20891428571428589</v>
      </c>
      <c r="V7" s="16"/>
      <c r="W7" s="10"/>
      <c r="X7" s="12"/>
      <c r="Y7" s="16"/>
    </row>
    <row r="8" spans="2:25" x14ac:dyDescent="0.25">
      <c r="B8" s="1">
        <f>B7+1</f>
        <v>2</v>
      </c>
      <c r="C8" s="1">
        <v>27</v>
      </c>
      <c r="D8" s="13">
        <v>2</v>
      </c>
      <c r="E8" s="1" t="s">
        <v>11</v>
      </c>
      <c r="F8" s="2">
        <v>2.5000000000000001E-2</v>
      </c>
      <c r="G8" s="1" t="s">
        <v>12</v>
      </c>
      <c r="H8" s="1" t="s">
        <v>13</v>
      </c>
      <c r="I8" s="1" t="s">
        <v>14</v>
      </c>
      <c r="J8" s="14">
        <v>0.6416087962962963</v>
      </c>
      <c r="K8" s="15">
        <v>44751</v>
      </c>
      <c r="L8" s="15"/>
      <c r="M8" s="2">
        <v>5.000000000000001E-3</v>
      </c>
      <c r="O8" s="2">
        <f t="shared" ref="O8:O71" si="1">M8-$X$23</f>
        <v>-6.5000000000000002E-2</v>
      </c>
      <c r="P8" s="2">
        <f t="shared" ref="P8:P71" si="2">O8*$AC$21+$Y$23</f>
        <v>42.805714285714281</v>
      </c>
      <c r="Q8" s="2">
        <f t="shared" ref="Q8:Q71" si="3">((D8+D9)/2)*(M9-M8)</f>
        <v>1.8749999999999989E-2</v>
      </c>
      <c r="R8" s="2">
        <f t="shared" ref="R8:R71" si="4">((P8+P9)/2)*(O9-O8)</f>
        <v>0.21414285714285672</v>
      </c>
      <c r="S8" s="2">
        <f t="shared" ref="S8:S71" si="5">Q8-R8</f>
        <v>-0.19539285714285673</v>
      </c>
      <c r="V8" s="16"/>
      <c r="W8" s="10"/>
      <c r="X8" s="12"/>
      <c r="Y8" s="16"/>
    </row>
    <row r="9" spans="2:25" x14ac:dyDescent="0.25">
      <c r="B9" s="1">
        <f t="shared" ref="B9:B72" si="6">B8+1</f>
        <v>3</v>
      </c>
      <c r="C9" s="1">
        <v>29</v>
      </c>
      <c r="D9" s="13">
        <v>5.5</v>
      </c>
      <c r="E9" s="1" t="s">
        <v>11</v>
      </c>
      <c r="F9" s="2">
        <v>0.03</v>
      </c>
      <c r="G9" s="1" t="s">
        <v>12</v>
      </c>
      <c r="H9" s="1" t="s">
        <v>13</v>
      </c>
      <c r="I9" s="1" t="s">
        <v>14</v>
      </c>
      <c r="J9" s="14">
        <v>0.64162037037037034</v>
      </c>
      <c r="K9" s="15">
        <v>44751</v>
      </c>
      <c r="L9" s="15"/>
      <c r="M9" s="2">
        <v>9.9999999999999985E-3</v>
      </c>
      <c r="O9" s="2">
        <f t="shared" si="1"/>
        <v>-6.0000000000000012E-2</v>
      </c>
      <c r="P9" s="2">
        <f t="shared" si="2"/>
        <v>42.851428571428571</v>
      </c>
      <c r="Q9" s="2">
        <f t="shared" si="3"/>
        <v>4.1250000000000037E-2</v>
      </c>
      <c r="R9" s="2">
        <f t="shared" si="4"/>
        <v>0.21437142857142874</v>
      </c>
      <c r="S9" s="2">
        <f t="shared" si="5"/>
        <v>-0.1731214285714287</v>
      </c>
      <c r="V9" s="16"/>
      <c r="W9" s="10"/>
      <c r="X9" s="12"/>
      <c r="Y9" s="16"/>
    </row>
    <row r="10" spans="2:25" x14ac:dyDescent="0.25">
      <c r="B10" s="1">
        <f t="shared" si="6"/>
        <v>4</v>
      </c>
      <c r="C10" s="1">
        <v>33</v>
      </c>
      <c r="D10" s="13">
        <v>11</v>
      </c>
      <c r="E10" s="1" t="s">
        <v>11</v>
      </c>
      <c r="F10" s="2">
        <v>3.5000000000000003E-2</v>
      </c>
      <c r="G10" s="1" t="s">
        <v>12</v>
      </c>
      <c r="H10" s="1" t="s">
        <v>13</v>
      </c>
      <c r="I10" s="1" t="s">
        <v>14</v>
      </c>
      <c r="J10" s="14">
        <v>0.64162037037037034</v>
      </c>
      <c r="K10" s="15">
        <v>44751</v>
      </c>
      <c r="L10" s="15"/>
      <c r="M10" s="2">
        <v>1.5000000000000003E-2</v>
      </c>
      <c r="O10" s="2">
        <f t="shared" si="1"/>
        <v>-5.5000000000000007E-2</v>
      </c>
      <c r="P10" s="2">
        <f t="shared" si="2"/>
        <v>42.897142857142853</v>
      </c>
      <c r="Q10" s="2">
        <f t="shared" si="3"/>
        <v>6.5499999999999961E-2</v>
      </c>
      <c r="R10" s="2">
        <f t="shared" si="4"/>
        <v>0.21460000000000021</v>
      </c>
      <c r="S10" s="2">
        <f t="shared" si="5"/>
        <v>-0.14910000000000023</v>
      </c>
      <c r="V10" s="16"/>
      <c r="W10" s="10"/>
      <c r="X10" s="12"/>
      <c r="Y10" s="16"/>
    </row>
    <row r="11" spans="2:25" x14ac:dyDescent="0.25">
      <c r="B11" s="1">
        <f t="shared" si="6"/>
        <v>5</v>
      </c>
      <c r="C11" s="1">
        <v>36</v>
      </c>
      <c r="D11" s="13">
        <v>15.2</v>
      </c>
      <c r="E11" s="1" t="s">
        <v>11</v>
      </c>
      <c r="F11" s="2">
        <v>0.04</v>
      </c>
      <c r="G11" s="1" t="s">
        <v>12</v>
      </c>
      <c r="H11" s="1" t="s">
        <v>13</v>
      </c>
      <c r="I11" s="1" t="s">
        <v>14</v>
      </c>
      <c r="J11" s="14">
        <v>0.64162037037037034</v>
      </c>
      <c r="K11" s="15">
        <v>44751</v>
      </c>
      <c r="L11" s="15"/>
      <c r="M11" s="2">
        <v>0.02</v>
      </c>
      <c r="O11" s="2">
        <f t="shared" si="1"/>
        <v>-0.05</v>
      </c>
      <c r="P11" s="2">
        <f t="shared" si="2"/>
        <v>42.942857142857143</v>
      </c>
      <c r="Q11" s="2">
        <f t="shared" si="3"/>
        <v>8.6499999999999938E-2</v>
      </c>
      <c r="R11" s="2">
        <f t="shared" si="4"/>
        <v>0.21482857142857101</v>
      </c>
      <c r="S11" s="2">
        <f t="shared" si="5"/>
        <v>-0.12832857142857107</v>
      </c>
      <c r="V11" s="16"/>
      <c r="W11" s="10"/>
      <c r="X11" s="12"/>
      <c r="Y11" s="16"/>
    </row>
    <row r="12" spans="2:25" x14ac:dyDescent="0.25">
      <c r="B12" s="1">
        <f t="shared" si="6"/>
        <v>6</v>
      </c>
      <c r="C12" s="1">
        <v>40</v>
      </c>
      <c r="D12" s="13">
        <v>19.399999999999999</v>
      </c>
      <c r="E12" s="1" t="s">
        <v>11</v>
      </c>
      <c r="F12" s="2">
        <v>4.4999999999999998E-2</v>
      </c>
      <c r="G12" s="1" t="s">
        <v>12</v>
      </c>
      <c r="H12" s="1" t="s">
        <v>13</v>
      </c>
      <c r="I12" s="1" t="s">
        <v>14</v>
      </c>
      <c r="J12" s="14">
        <v>0.64163194444444438</v>
      </c>
      <c r="K12" s="15">
        <v>44751</v>
      </c>
      <c r="L12" s="15"/>
      <c r="M12" s="2">
        <v>2.4999999999999998E-2</v>
      </c>
      <c r="O12" s="2">
        <f t="shared" si="1"/>
        <v>-4.5000000000000012E-2</v>
      </c>
      <c r="P12" s="2">
        <f t="shared" si="2"/>
        <v>42.988571428571426</v>
      </c>
      <c r="Q12" s="2">
        <f t="shared" si="3"/>
        <v>0.10575000000000008</v>
      </c>
      <c r="R12" s="2">
        <f t="shared" si="4"/>
        <v>0.21505714285714303</v>
      </c>
      <c r="S12" s="2">
        <f t="shared" si="5"/>
        <v>-0.10930714285714295</v>
      </c>
      <c r="V12" s="16"/>
      <c r="W12" s="10"/>
      <c r="X12" s="12"/>
      <c r="Y12" s="16"/>
    </row>
    <row r="13" spans="2:25" x14ac:dyDescent="0.25">
      <c r="B13" s="1">
        <f t="shared" si="6"/>
        <v>7</v>
      </c>
      <c r="C13" s="1">
        <v>43</v>
      </c>
      <c r="D13" s="13">
        <v>22.9</v>
      </c>
      <c r="E13" s="1" t="s">
        <v>11</v>
      </c>
      <c r="F13" s="2">
        <v>0.05</v>
      </c>
      <c r="G13" s="1" t="s">
        <v>12</v>
      </c>
      <c r="H13" s="1" t="s">
        <v>13</v>
      </c>
      <c r="I13" s="1" t="s">
        <v>14</v>
      </c>
      <c r="J13" s="14">
        <v>0.64163194444444438</v>
      </c>
      <c r="K13" s="15">
        <v>44751</v>
      </c>
      <c r="L13" s="15"/>
      <c r="M13" s="2">
        <v>3.0000000000000002E-2</v>
      </c>
      <c r="O13" s="2">
        <f t="shared" si="1"/>
        <v>-4.0000000000000008E-2</v>
      </c>
      <c r="P13" s="2">
        <f t="shared" si="2"/>
        <v>43.034285714285716</v>
      </c>
      <c r="Q13" s="2">
        <f t="shared" si="3"/>
        <v>0.12525</v>
      </c>
      <c r="R13" s="2">
        <f t="shared" si="4"/>
        <v>0.21528571428571447</v>
      </c>
      <c r="S13" s="2">
        <f t="shared" si="5"/>
        <v>-9.0035714285714469E-2</v>
      </c>
      <c r="V13" s="16"/>
      <c r="W13" s="10"/>
      <c r="X13" s="12"/>
      <c r="Y13" s="16"/>
    </row>
    <row r="14" spans="2:25" x14ac:dyDescent="0.25">
      <c r="B14" s="1">
        <f t="shared" si="6"/>
        <v>8</v>
      </c>
      <c r="C14" s="1">
        <v>46</v>
      </c>
      <c r="D14" s="13">
        <v>27.2</v>
      </c>
      <c r="E14" s="1" t="s">
        <v>11</v>
      </c>
      <c r="F14" s="2">
        <v>5.5E-2</v>
      </c>
      <c r="G14" s="1" t="s">
        <v>12</v>
      </c>
      <c r="H14" s="1" t="s">
        <v>13</v>
      </c>
      <c r="I14" s="1" t="s">
        <v>14</v>
      </c>
      <c r="J14" s="14">
        <v>0.64163194444444438</v>
      </c>
      <c r="K14" s="15">
        <v>44751</v>
      </c>
      <c r="L14" s="15"/>
      <c r="M14" s="2">
        <v>3.5000000000000003E-2</v>
      </c>
      <c r="O14" s="2">
        <f t="shared" si="1"/>
        <v>-3.5000000000000003E-2</v>
      </c>
      <c r="P14" s="2">
        <f t="shared" si="2"/>
        <v>43.08</v>
      </c>
      <c r="Q14" s="2">
        <f t="shared" si="3"/>
        <v>0.14599999999999971</v>
      </c>
      <c r="R14" s="2">
        <f t="shared" si="4"/>
        <v>0.2155142857142853</v>
      </c>
      <c r="S14" s="2">
        <f t="shared" si="5"/>
        <v>-6.9514285714285584E-2</v>
      </c>
      <c r="V14" s="16"/>
      <c r="W14" s="10"/>
      <c r="X14" s="12"/>
      <c r="Y14" s="16"/>
    </row>
    <row r="15" spans="2:25" x14ac:dyDescent="0.25">
      <c r="B15" s="1">
        <f t="shared" si="6"/>
        <v>9</v>
      </c>
      <c r="C15" s="1">
        <v>50</v>
      </c>
      <c r="D15" s="13">
        <v>31.2</v>
      </c>
      <c r="E15" s="1" t="s">
        <v>11</v>
      </c>
      <c r="F15" s="2">
        <v>0.06</v>
      </c>
      <c r="G15" s="1" t="s">
        <v>12</v>
      </c>
      <c r="H15" s="1" t="s">
        <v>13</v>
      </c>
      <c r="I15" s="1" t="s">
        <v>14</v>
      </c>
      <c r="J15" s="14">
        <v>0.64164351851851853</v>
      </c>
      <c r="K15" s="15">
        <v>44751</v>
      </c>
      <c r="L15" s="15"/>
      <c r="M15" s="2">
        <v>3.9999999999999994E-2</v>
      </c>
      <c r="O15" s="2">
        <f t="shared" si="1"/>
        <v>-3.0000000000000013E-2</v>
      </c>
      <c r="P15" s="2">
        <f t="shared" si="2"/>
        <v>43.125714285714281</v>
      </c>
      <c r="Q15" s="2">
        <f t="shared" si="3"/>
        <v>0.16475000000000017</v>
      </c>
      <c r="R15" s="2">
        <f t="shared" si="4"/>
        <v>0.21574285714285735</v>
      </c>
      <c r="S15" s="2">
        <f t="shared" si="5"/>
        <v>-5.0992857142857173E-2</v>
      </c>
      <c r="V15" s="16"/>
      <c r="W15" s="10"/>
      <c r="X15" s="12"/>
      <c r="Y15" s="16"/>
    </row>
    <row r="16" spans="2:25" x14ac:dyDescent="0.25">
      <c r="B16" s="1">
        <f t="shared" si="6"/>
        <v>10</v>
      </c>
      <c r="C16" s="1">
        <v>52</v>
      </c>
      <c r="D16" s="13">
        <v>34.700000000000003</v>
      </c>
      <c r="E16" s="1" t="s">
        <v>11</v>
      </c>
      <c r="F16" s="2">
        <v>6.5000000000000002E-2</v>
      </c>
      <c r="G16" s="1" t="s">
        <v>12</v>
      </c>
      <c r="H16" s="1" t="s">
        <v>13</v>
      </c>
      <c r="I16" s="1" t="s">
        <v>14</v>
      </c>
      <c r="J16" s="14">
        <v>0.64164351851851853</v>
      </c>
      <c r="K16" s="15">
        <v>44751</v>
      </c>
      <c r="L16" s="15"/>
      <c r="M16" s="2">
        <v>4.4999999999999998E-2</v>
      </c>
      <c r="O16" s="2">
        <f t="shared" si="1"/>
        <v>-2.5000000000000008E-2</v>
      </c>
      <c r="P16" s="2">
        <f t="shared" si="2"/>
        <v>43.171428571428571</v>
      </c>
      <c r="Q16" s="2">
        <f t="shared" si="3"/>
        <v>0.18175000000000016</v>
      </c>
      <c r="R16" s="2">
        <f t="shared" si="4"/>
        <v>0.21597142857142876</v>
      </c>
      <c r="S16" s="2">
        <f t="shared" si="5"/>
        <v>-3.4221428571428597E-2</v>
      </c>
      <c r="V16" s="16"/>
      <c r="W16" s="10"/>
      <c r="X16" s="12"/>
      <c r="Y16" s="16"/>
    </row>
    <row r="17" spans="2:62" x14ac:dyDescent="0.25">
      <c r="B17" s="1">
        <f t="shared" si="6"/>
        <v>11</v>
      </c>
      <c r="C17" s="1">
        <v>54</v>
      </c>
      <c r="D17" s="13">
        <v>38</v>
      </c>
      <c r="E17" s="1" t="s">
        <v>11</v>
      </c>
      <c r="F17" s="2">
        <v>7.0000000000000007E-2</v>
      </c>
      <c r="G17" s="1" t="s">
        <v>12</v>
      </c>
      <c r="H17" s="1" t="s">
        <v>13</v>
      </c>
      <c r="I17" s="1" t="s">
        <v>14</v>
      </c>
      <c r="J17" s="14">
        <v>0.64164351851851853</v>
      </c>
      <c r="K17" s="15">
        <v>44751</v>
      </c>
      <c r="L17" s="15"/>
      <c r="M17" s="2">
        <v>0.05</v>
      </c>
      <c r="O17" s="2">
        <f t="shared" si="1"/>
        <v>-2.0000000000000004E-2</v>
      </c>
      <c r="P17" s="2">
        <f t="shared" si="2"/>
        <v>43.217142857142854</v>
      </c>
      <c r="Q17" s="2">
        <f t="shared" si="3"/>
        <v>0.19174999999999964</v>
      </c>
      <c r="R17" s="2">
        <f t="shared" si="4"/>
        <v>0.21619999999999956</v>
      </c>
      <c r="S17" s="2">
        <f t="shared" si="5"/>
        <v>-2.4449999999999916E-2</v>
      </c>
      <c r="V17" s="3"/>
      <c r="Y17" s="1"/>
    </row>
    <row r="18" spans="2:62" x14ac:dyDescent="0.25">
      <c r="B18" s="1">
        <f t="shared" si="6"/>
        <v>12</v>
      </c>
      <c r="C18" s="1">
        <v>55</v>
      </c>
      <c r="D18" s="13">
        <v>38.700000000000003</v>
      </c>
      <c r="E18" s="1" t="s">
        <v>11</v>
      </c>
      <c r="F18" s="2">
        <v>7.4999999999999997E-2</v>
      </c>
      <c r="G18" s="1" t="s">
        <v>12</v>
      </c>
      <c r="H18" s="1" t="s">
        <v>13</v>
      </c>
      <c r="I18" s="1" t="s">
        <v>14</v>
      </c>
      <c r="J18" s="14">
        <v>0.64164351851851853</v>
      </c>
      <c r="K18" s="15">
        <v>44751</v>
      </c>
      <c r="L18" s="15"/>
      <c r="M18" s="2">
        <v>5.4999999999999993E-2</v>
      </c>
      <c r="O18" s="2">
        <f t="shared" si="1"/>
        <v>-1.5000000000000013E-2</v>
      </c>
      <c r="P18" s="2">
        <f t="shared" si="2"/>
        <v>43.262857142857143</v>
      </c>
      <c r="Q18" s="2">
        <f t="shared" si="3"/>
        <v>0.1985000000000002</v>
      </c>
      <c r="R18" s="2">
        <f t="shared" si="4"/>
        <v>0.21642857142857161</v>
      </c>
      <c r="S18" s="2">
        <f t="shared" si="5"/>
        <v>-1.7928571428571405E-2</v>
      </c>
      <c r="V18" s="3"/>
      <c r="Y18" s="1"/>
    </row>
    <row r="19" spans="2:62" x14ac:dyDescent="0.25">
      <c r="B19" s="1">
        <f t="shared" si="6"/>
        <v>13</v>
      </c>
      <c r="C19" s="1">
        <v>57</v>
      </c>
      <c r="D19" s="13">
        <v>40.700000000000003</v>
      </c>
      <c r="E19" s="1" t="s">
        <v>11</v>
      </c>
      <c r="F19" s="2">
        <v>0.08</v>
      </c>
      <c r="G19" s="1" t="s">
        <v>12</v>
      </c>
      <c r="H19" s="1" t="s">
        <v>13</v>
      </c>
      <c r="I19" s="1" t="s">
        <v>14</v>
      </c>
      <c r="J19" s="14">
        <v>0.64164351851851853</v>
      </c>
      <c r="K19" s="15">
        <v>44751</v>
      </c>
      <c r="L19" s="15"/>
      <c r="M19" s="2">
        <v>0.06</v>
      </c>
      <c r="O19" s="2">
        <f t="shared" si="1"/>
        <v>-1.0000000000000009E-2</v>
      </c>
      <c r="P19" s="2">
        <f t="shared" si="2"/>
        <v>43.308571428571426</v>
      </c>
      <c r="Q19" s="2">
        <f t="shared" si="3"/>
        <v>0.20850000000000021</v>
      </c>
      <c r="R19" s="2">
        <f t="shared" si="4"/>
        <v>0.21665714285714308</v>
      </c>
      <c r="S19" s="2">
        <f t="shared" si="5"/>
        <v>-8.1571428571428628E-3</v>
      </c>
      <c r="V19" s="3"/>
      <c r="Y19" s="1"/>
    </row>
    <row r="20" spans="2:62" x14ac:dyDescent="0.25">
      <c r="B20" s="1">
        <f t="shared" si="6"/>
        <v>14</v>
      </c>
      <c r="C20" s="1">
        <v>60</v>
      </c>
      <c r="D20" s="13">
        <v>42.7</v>
      </c>
      <c r="E20" s="1" t="s">
        <v>11</v>
      </c>
      <c r="F20" s="2">
        <v>8.5000000000000006E-2</v>
      </c>
      <c r="G20" s="1" t="s">
        <v>12</v>
      </c>
      <c r="H20" s="1" t="s">
        <v>13</v>
      </c>
      <c r="I20" s="1" t="s">
        <v>14</v>
      </c>
      <c r="J20" s="14">
        <v>0.64165509259259257</v>
      </c>
      <c r="K20" s="15">
        <v>44751</v>
      </c>
      <c r="L20" s="15"/>
      <c r="M20" s="2">
        <v>6.5000000000000002E-2</v>
      </c>
      <c r="O20" s="2">
        <f t="shared" si="1"/>
        <v>-5.0000000000000044E-3</v>
      </c>
      <c r="P20" s="2">
        <f t="shared" si="2"/>
        <v>43.354285714285716</v>
      </c>
      <c r="Q20" s="2">
        <f t="shared" si="3"/>
        <v>0.21525000000000016</v>
      </c>
      <c r="R20" s="2">
        <f t="shared" si="4"/>
        <v>0.21688571428571449</v>
      </c>
      <c r="S20" s="2">
        <f t="shared" si="5"/>
        <v>-1.6357142857143236E-3</v>
      </c>
      <c r="V20" s="3"/>
      <c r="Y20" s="1"/>
    </row>
    <row r="21" spans="2:62" x14ac:dyDescent="0.25">
      <c r="B21" s="1">
        <f t="shared" si="6"/>
        <v>15</v>
      </c>
      <c r="C21" s="1">
        <v>62</v>
      </c>
      <c r="D21" s="13">
        <v>43.4</v>
      </c>
      <c r="E21" s="1" t="s">
        <v>11</v>
      </c>
      <c r="F21" s="2">
        <v>0.09</v>
      </c>
      <c r="G21" s="1" t="s">
        <v>12</v>
      </c>
      <c r="H21" s="1" t="s">
        <v>13</v>
      </c>
      <c r="I21" s="1" t="s">
        <v>14</v>
      </c>
      <c r="J21" s="14">
        <v>0.64165509259259257</v>
      </c>
      <c r="K21" s="15">
        <v>44751</v>
      </c>
      <c r="L21" s="15"/>
      <c r="M21" s="2">
        <v>7.0000000000000007E-2</v>
      </c>
      <c r="O21" s="2">
        <f t="shared" si="1"/>
        <v>0</v>
      </c>
      <c r="P21" s="2">
        <f t="shared" si="2"/>
        <v>43.4</v>
      </c>
      <c r="Q21" s="2">
        <f t="shared" si="3"/>
        <v>0.22074999999999959</v>
      </c>
      <c r="R21" s="2">
        <f t="shared" si="4"/>
        <v>0.21711428571428529</v>
      </c>
      <c r="S21" s="2">
        <f t="shared" si="5"/>
        <v>3.6357142857142977E-3</v>
      </c>
      <c r="V21" s="3"/>
      <c r="Y21" s="1"/>
      <c r="AB21" t="s">
        <v>55</v>
      </c>
      <c r="AC21" s="2">
        <f>($Y$59-$Y$23)/($X$59-$X$23)</f>
        <v>9.1428571428571459</v>
      </c>
      <c r="AF21" t="s">
        <v>23</v>
      </c>
      <c r="AG21" s="3" t="s">
        <v>119</v>
      </c>
      <c r="AI21" s="29" t="s">
        <v>97</v>
      </c>
      <c r="AJ21" s="30"/>
      <c r="AK21" s="30"/>
      <c r="AL21" s="30"/>
      <c r="AM21" s="31"/>
      <c r="AN21" s="29" t="s">
        <v>98</v>
      </c>
      <c r="AO21" s="30"/>
      <c r="AP21" s="30"/>
      <c r="AQ21" s="30"/>
      <c r="AR21" s="30"/>
      <c r="AS21" s="30"/>
      <c r="AT21" s="30"/>
      <c r="AU21" s="30"/>
      <c r="AV21" s="31"/>
      <c r="AW21" s="29" t="s">
        <v>99</v>
      </c>
      <c r="AX21" s="30"/>
      <c r="AY21" s="30"/>
      <c r="AZ21" s="30"/>
      <c r="BA21" s="30"/>
      <c r="BB21" s="30"/>
      <c r="BC21" s="30"/>
      <c r="BD21" s="30"/>
      <c r="BE21" s="31"/>
      <c r="BF21" s="29" t="s">
        <v>100</v>
      </c>
      <c r="BG21" s="30"/>
      <c r="BH21" s="30"/>
      <c r="BI21" s="30"/>
      <c r="BJ21" s="31"/>
    </row>
    <row r="22" spans="2:62" x14ac:dyDescent="0.25">
      <c r="B22" s="1">
        <f t="shared" si="6"/>
        <v>16</v>
      </c>
      <c r="C22" s="1">
        <v>65</v>
      </c>
      <c r="D22" s="13">
        <v>44.9</v>
      </c>
      <c r="E22" s="1" t="s">
        <v>11</v>
      </c>
      <c r="F22" s="2">
        <v>9.5000000000000001E-2</v>
      </c>
      <c r="G22" s="1" t="s">
        <v>12</v>
      </c>
      <c r="H22" s="1" t="s">
        <v>13</v>
      </c>
      <c r="I22" s="1" t="s">
        <v>14</v>
      </c>
      <c r="J22" s="14">
        <v>0.64165509259259257</v>
      </c>
      <c r="K22" s="15">
        <v>44751</v>
      </c>
      <c r="L22" s="15"/>
      <c r="M22" s="2">
        <v>7.4999999999999997E-2</v>
      </c>
      <c r="O22" s="2">
        <f t="shared" si="1"/>
        <v>4.9999999999999906E-3</v>
      </c>
      <c r="P22" s="2">
        <f t="shared" si="2"/>
        <v>43.445714285714281</v>
      </c>
      <c r="Q22" s="2">
        <f t="shared" si="3"/>
        <v>0.2232500000000002</v>
      </c>
      <c r="R22" s="2">
        <f t="shared" si="4"/>
        <v>0.21734285714285731</v>
      </c>
      <c r="S22" s="2">
        <f t="shared" si="5"/>
        <v>5.9071428571428886E-3</v>
      </c>
      <c r="V22" s="3"/>
      <c r="Y22" s="1"/>
      <c r="Z22" s="1" t="s">
        <v>38</v>
      </c>
      <c r="AA22" s="1" t="s">
        <v>39</v>
      </c>
      <c r="AI22" s="27" t="s">
        <v>101</v>
      </c>
      <c r="AJ22" s="27" t="s">
        <v>102</v>
      </c>
      <c r="AK22" s="27" t="s">
        <v>103</v>
      </c>
      <c r="AL22" s="27" t="s">
        <v>104</v>
      </c>
      <c r="AM22" s="26" t="s">
        <v>105</v>
      </c>
      <c r="AN22" s="27" t="s">
        <v>101</v>
      </c>
      <c r="AO22" s="27" t="s">
        <v>102</v>
      </c>
      <c r="AP22" s="27" t="s">
        <v>106</v>
      </c>
      <c r="AQ22" s="27" t="s">
        <v>106</v>
      </c>
      <c r="AR22" s="26" t="s">
        <v>103</v>
      </c>
      <c r="AS22" s="27" t="s">
        <v>101</v>
      </c>
      <c r="AT22" s="26" t="s">
        <v>103</v>
      </c>
      <c r="AU22" s="27" t="s">
        <v>101</v>
      </c>
      <c r="AV22" s="26" t="s">
        <v>103</v>
      </c>
      <c r="AW22" s="28" t="s">
        <v>101</v>
      </c>
      <c r="AX22" s="27" t="s">
        <v>102</v>
      </c>
      <c r="AY22" s="27" t="s">
        <v>106</v>
      </c>
      <c r="AZ22" s="27" t="s">
        <v>106</v>
      </c>
      <c r="BA22" s="26" t="s">
        <v>103</v>
      </c>
      <c r="BB22" s="27" t="s">
        <v>101</v>
      </c>
      <c r="BC22" s="26" t="s">
        <v>103</v>
      </c>
      <c r="BD22" s="27" t="s">
        <v>101</v>
      </c>
      <c r="BE22" s="26" t="s">
        <v>103</v>
      </c>
      <c r="BF22" s="27" t="s">
        <v>101</v>
      </c>
      <c r="BG22" s="27" t="s">
        <v>102</v>
      </c>
      <c r="BH22" s="26" t="s">
        <v>103</v>
      </c>
      <c r="BI22" s="27" t="s">
        <v>104</v>
      </c>
      <c r="BJ22" s="26" t="s">
        <v>105</v>
      </c>
    </row>
    <row r="23" spans="2:62" x14ac:dyDescent="0.25">
      <c r="B23" s="1">
        <f t="shared" si="6"/>
        <v>17</v>
      </c>
      <c r="C23" s="1">
        <v>66</v>
      </c>
      <c r="D23" s="13">
        <v>44.4</v>
      </c>
      <c r="E23" s="1" t="s">
        <v>11</v>
      </c>
      <c r="F23" s="2">
        <v>0.1</v>
      </c>
      <c r="G23" s="1" t="s">
        <v>12</v>
      </c>
      <c r="H23" s="1" t="s">
        <v>13</v>
      </c>
      <c r="I23" s="1" t="s">
        <v>14</v>
      </c>
      <c r="J23" s="14">
        <v>0.64165509259259257</v>
      </c>
      <c r="K23" s="15">
        <v>44751</v>
      </c>
      <c r="L23" s="15"/>
      <c r="M23" s="2">
        <v>0.08</v>
      </c>
      <c r="O23" s="2">
        <f t="shared" si="1"/>
        <v>9.999999999999995E-3</v>
      </c>
      <c r="P23" s="2">
        <f t="shared" si="2"/>
        <v>43.491428571428571</v>
      </c>
      <c r="Q23" s="2">
        <f t="shared" si="3"/>
        <v>0.22199999999999959</v>
      </c>
      <c r="R23" s="2">
        <f t="shared" si="4"/>
        <v>0.21757142857142814</v>
      </c>
      <c r="S23" s="2">
        <f t="shared" si="5"/>
        <v>4.4285714285714484E-3</v>
      </c>
      <c r="V23" s="3"/>
      <c r="W23" s="1" t="s">
        <v>15</v>
      </c>
      <c r="X23" s="22">
        <v>7.0000000000000007E-2</v>
      </c>
      <c r="Y23" s="25">
        <f>_xlfn.XLOOKUP(X23,M$7:M$2001,D$7:D$2001,0,-1)</f>
        <v>43.4</v>
      </c>
      <c r="Z23" s="1" cm="1">
        <f t="array" aca="1" ref="Z23" ca="1">CELL("row",_xlfn.XLOOKUP(X23,M$7:M$2001,D$7:D$2001,0,-1))</f>
        <v>21</v>
      </c>
      <c r="AA23" s="1">
        <f ca="1">Z23-6</f>
        <v>15</v>
      </c>
      <c r="AB23" t="s">
        <v>66</v>
      </c>
      <c r="AC23" s="2">
        <f ca="1">SUM(INDEX(C7:S1000,AA23,17):(INDEX(C7:S1000,AA24,17)))</f>
        <v>-0.12100714285714262</v>
      </c>
      <c r="AD23" s="1">
        <v>17</v>
      </c>
      <c r="AE23" t="s">
        <v>40</v>
      </c>
      <c r="AF23" t="s">
        <v>32</v>
      </c>
      <c r="AG23" s="1" t="s">
        <v>12</v>
      </c>
      <c r="AI23" s="28" t="s">
        <v>107</v>
      </c>
      <c r="AJ23" s="28" t="s">
        <v>108</v>
      </c>
      <c r="AK23" s="28" t="s">
        <v>109</v>
      </c>
      <c r="AL23" s="28" t="s">
        <v>110</v>
      </c>
      <c r="AM23" s="28" t="s">
        <v>111</v>
      </c>
      <c r="AN23" s="28" t="s">
        <v>107</v>
      </c>
      <c r="AO23" s="28" t="s">
        <v>108</v>
      </c>
      <c r="AP23" s="28" t="s">
        <v>112</v>
      </c>
      <c r="AQ23" s="28" t="s">
        <v>113</v>
      </c>
      <c r="AR23" s="28" t="s">
        <v>109</v>
      </c>
      <c r="AS23" s="28" t="s">
        <v>114</v>
      </c>
      <c r="AT23" s="28" t="s">
        <v>115</v>
      </c>
      <c r="AU23" s="28" t="s">
        <v>116</v>
      </c>
      <c r="AV23" s="28" t="s">
        <v>117</v>
      </c>
      <c r="AW23" s="28" t="s">
        <v>107</v>
      </c>
      <c r="AX23" s="28" t="s">
        <v>108</v>
      </c>
      <c r="AY23" s="28" t="s">
        <v>112</v>
      </c>
      <c r="AZ23" s="28" t="s">
        <v>113</v>
      </c>
      <c r="BA23" s="28" t="s">
        <v>118</v>
      </c>
      <c r="BB23" s="28" t="s">
        <v>114</v>
      </c>
      <c r="BC23" s="28" t="s">
        <v>115</v>
      </c>
      <c r="BD23" s="28" t="s">
        <v>116</v>
      </c>
      <c r="BE23" s="28" t="s">
        <v>117</v>
      </c>
      <c r="BF23" s="28" t="s">
        <v>107</v>
      </c>
      <c r="BG23" s="28" t="s">
        <v>108</v>
      </c>
      <c r="BH23" s="28" t="s">
        <v>109</v>
      </c>
      <c r="BI23" s="28" t="s">
        <v>110</v>
      </c>
      <c r="BJ23" s="28" t="s">
        <v>111</v>
      </c>
    </row>
    <row r="24" spans="2:62" x14ac:dyDescent="0.25">
      <c r="B24" s="1">
        <f t="shared" si="6"/>
        <v>18</v>
      </c>
      <c r="C24" s="1">
        <v>68</v>
      </c>
      <c r="D24" s="13">
        <v>44.4</v>
      </c>
      <c r="E24" s="1" t="s">
        <v>11</v>
      </c>
      <c r="F24" s="2">
        <v>0.105</v>
      </c>
      <c r="G24" s="1" t="s">
        <v>12</v>
      </c>
      <c r="H24" s="1" t="s">
        <v>13</v>
      </c>
      <c r="I24" s="1" t="s">
        <v>14</v>
      </c>
      <c r="J24" s="14">
        <v>0.64165509259259257</v>
      </c>
      <c r="K24" s="15">
        <v>44751</v>
      </c>
      <c r="L24" s="15"/>
      <c r="M24" s="2">
        <v>8.4999999999999992E-2</v>
      </c>
      <c r="O24" s="2">
        <f t="shared" si="1"/>
        <v>1.4999999999999986E-2</v>
      </c>
      <c r="P24" s="2">
        <f t="shared" si="2"/>
        <v>43.537142857142854</v>
      </c>
      <c r="Q24" s="2">
        <f t="shared" si="3"/>
        <v>0.22225000000000023</v>
      </c>
      <c r="R24" s="2">
        <f t="shared" si="4"/>
        <v>0.21780000000000022</v>
      </c>
      <c r="S24" s="2">
        <f t="shared" si="5"/>
        <v>4.4500000000000095E-3</v>
      </c>
      <c r="W24" s="1" t="s">
        <v>16</v>
      </c>
      <c r="X24" s="2">
        <f>X28</f>
        <v>0.32</v>
      </c>
      <c r="Y24" s="1">
        <f>_xlfn.XLOOKUP(X24,M$7:M$2001,D$7:D$2001,0,-1)</f>
        <v>45.1</v>
      </c>
      <c r="Z24" s="1" cm="1">
        <f t="array" aca="1" ref="Z24" ca="1">CELL("row",_xlfn.XLOOKUP(X24,M$7:M$2001,D$7:D$2001,0,-1))</f>
        <v>67</v>
      </c>
      <c r="AA24" s="1">
        <f t="shared" ref="AA24" ca="1" si="7">Z24-6</f>
        <v>61</v>
      </c>
      <c r="AB24" t="s">
        <v>85</v>
      </c>
      <c r="AC24" s="2">
        <f>X24-X23</f>
        <v>0.25</v>
      </c>
      <c r="AF24" t="s">
        <v>48</v>
      </c>
      <c r="AG24" s="2">
        <f ca="1">X32</f>
        <v>0.91</v>
      </c>
      <c r="AI24" s="2">
        <f>AC24</f>
        <v>0.25</v>
      </c>
      <c r="AJ24" s="2">
        <f>AC25</f>
        <v>6.2111801242236018</v>
      </c>
      <c r="AK24" s="2">
        <f ca="1">AC23</f>
        <v>-0.12100714285714262</v>
      </c>
      <c r="AL24" s="2"/>
      <c r="AM24" s="2"/>
      <c r="AN24" s="2">
        <f>AC32</f>
        <v>1.54</v>
      </c>
      <c r="AO24" s="2">
        <f>AC33</f>
        <v>38.260869565217384</v>
      </c>
      <c r="AP24" s="2">
        <f ca="1">AC30</f>
        <v>29.72</v>
      </c>
      <c r="AQ24" s="2">
        <f ca="1">AC31</f>
        <v>35.699999999999996</v>
      </c>
      <c r="AR24" s="2">
        <f ca="1">AC28</f>
        <v>29.02595714285717</v>
      </c>
      <c r="AS24" s="2">
        <f ca="1">AC34</f>
        <v>0.59000000000000008</v>
      </c>
      <c r="AT24" s="2">
        <f ca="1">AC35</f>
        <v>13.40510000000001</v>
      </c>
      <c r="AU24" s="2">
        <f ca="1">AC38</f>
        <v>0.95000000000000007</v>
      </c>
      <c r="AV24" s="2">
        <f ca="1">AC39</f>
        <v>15.62085714285716</v>
      </c>
      <c r="AW24" s="2">
        <f>AC47</f>
        <v>1.2049999999999998</v>
      </c>
      <c r="AX24" s="2">
        <f>AC48</f>
        <v>29.937888198757754</v>
      </c>
      <c r="AY24" s="2">
        <f ca="1">AC45</f>
        <v>11.414285714285725</v>
      </c>
      <c r="AZ24" s="2">
        <f ca="1">AC46</f>
        <v>4</v>
      </c>
      <c r="BA24" s="2">
        <f ca="1">AC43</f>
        <v>-10.54629285714288</v>
      </c>
      <c r="BB24" s="2">
        <f ca="1">AC49</f>
        <v>0.58499999999999974</v>
      </c>
      <c r="BC24" s="2">
        <f ca="1">AC50</f>
        <v>-4.4563357142857321</v>
      </c>
      <c r="BD24" s="2">
        <f ca="1">AC53</f>
        <v>0.62000000000000011</v>
      </c>
      <c r="BE24" s="2">
        <f ca="1">AC54</f>
        <v>-6.0899571428571484</v>
      </c>
      <c r="BF24" s="2">
        <f>AC59</f>
        <v>1.0299999999999998</v>
      </c>
      <c r="BG24" s="2">
        <f>AC60</f>
        <v>25.590062111801242</v>
      </c>
      <c r="BH24" s="2">
        <f ca="1">AC58</f>
        <v>0.31057857142859663</v>
      </c>
      <c r="BI24" s="2"/>
      <c r="BJ24" s="2"/>
    </row>
    <row r="25" spans="2:62" x14ac:dyDescent="0.25">
      <c r="B25" s="1">
        <f t="shared" si="6"/>
        <v>19</v>
      </c>
      <c r="C25" s="1">
        <v>70</v>
      </c>
      <c r="D25" s="13">
        <v>44.5</v>
      </c>
      <c r="E25" s="1" t="s">
        <v>11</v>
      </c>
      <c r="F25" s="2">
        <v>0.11</v>
      </c>
      <c r="G25" s="1" t="s">
        <v>12</v>
      </c>
      <c r="H25" s="1" t="s">
        <v>13</v>
      </c>
      <c r="I25" s="1" t="s">
        <v>14</v>
      </c>
      <c r="J25" s="14">
        <v>0.64166666666666672</v>
      </c>
      <c r="K25" s="15">
        <v>44751</v>
      </c>
      <c r="L25" s="15"/>
      <c r="M25" s="2">
        <v>0.09</v>
      </c>
      <c r="O25" s="2">
        <f t="shared" si="1"/>
        <v>1.999999999999999E-2</v>
      </c>
      <c r="P25" s="2">
        <f t="shared" si="2"/>
        <v>43.582857142857144</v>
      </c>
      <c r="Q25" s="2">
        <f t="shared" si="3"/>
        <v>0.22225000000000023</v>
      </c>
      <c r="R25" s="2">
        <f t="shared" si="4"/>
        <v>0.21802857142857163</v>
      </c>
      <c r="S25" s="2">
        <f t="shared" si="5"/>
        <v>4.2214285714285982E-3</v>
      </c>
      <c r="Y25" s="1"/>
      <c r="AB25" t="s">
        <v>56</v>
      </c>
      <c r="AC25" s="2">
        <f>(AC24)/(AC24+AC32+AC47+AC59) *100</f>
        <v>6.2111801242236018</v>
      </c>
      <c r="AF25" t="s">
        <v>50</v>
      </c>
    </row>
    <row r="26" spans="2:62" x14ac:dyDescent="0.25">
      <c r="B26" s="1">
        <f t="shared" si="6"/>
        <v>20</v>
      </c>
      <c r="C26" s="1">
        <v>72</v>
      </c>
      <c r="D26" s="13">
        <v>44.4</v>
      </c>
      <c r="E26" s="1" t="s">
        <v>11</v>
      </c>
      <c r="F26" s="2">
        <v>0.115</v>
      </c>
      <c r="G26" s="1" t="s">
        <v>12</v>
      </c>
      <c r="H26" s="1" t="s">
        <v>13</v>
      </c>
      <c r="I26" s="1" t="s">
        <v>14</v>
      </c>
      <c r="J26" s="14">
        <v>0.64166666666666672</v>
      </c>
      <c r="K26" s="15">
        <v>44751</v>
      </c>
      <c r="L26" s="15"/>
      <c r="M26" s="2">
        <v>9.5000000000000001E-2</v>
      </c>
      <c r="O26" s="2">
        <f t="shared" si="1"/>
        <v>2.4999999999999994E-2</v>
      </c>
      <c r="P26" s="2">
        <f t="shared" si="2"/>
        <v>43.628571428571426</v>
      </c>
      <c r="Q26" s="2">
        <f t="shared" si="3"/>
        <v>0.22174999999999956</v>
      </c>
      <c r="R26" s="2">
        <f t="shared" si="4"/>
        <v>0.21825714285714243</v>
      </c>
      <c r="S26" s="2">
        <f t="shared" si="5"/>
        <v>3.4928571428571309E-3</v>
      </c>
      <c r="Y26" s="1"/>
    </row>
    <row r="27" spans="2:62" x14ac:dyDescent="0.25">
      <c r="B27" s="1">
        <f t="shared" si="6"/>
        <v>21</v>
      </c>
      <c r="C27" s="1">
        <v>75</v>
      </c>
      <c r="D27" s="13">
        <v>44.3</v>
      </c>
      <c r="E27" s="1" t="s">
        <v>11</v>
      </c>
      <c r="F27" s="2">
        <v>0.12</v>
      </c>
      <c r="G27" s="1" t="s">
        <v>12</v>
      </c>
      <c r="H27" s="1" t="s">
        <v>13</v>
      </c>
      <c r="I27" s="1" t="s">
        <v>14</v>
      </c>
      <c r="J27" s="14">
        <v>0.64166666666666672</v>
      </c>
      <c r="K27" s="15">
        <v>44751</v>
      </c>
      <c r="L27" s="15"/>
      <c r="M27" s="2">
        <v>9.9999999999999992E-2</v>
      </c>
      <c r="O27" s="2">
        <f t="shared" si="1"/>
        <v>2.9999999999999985E-2</v>
      </c>
      <c r="P27" s="2">
        <f t="shared" si="2"/>
        <v>43.674285714285716</v>
      </c>
      <c r="Q27" s="2">
        <f t="shared" si="3"/>
        <v>0.22150000000000017</v>
      </c>
      <c r="R27" s="2">
        <f t="shared" si="4"/>
        <v>0.21848571428571448</v>
      </c>
      <c r="S27" s="2">
        <f t="shared" si="5"/>
        <v>3.0142857142856916E-3</v>
      </c>
      <c r="Y27" s="1"/>
    </row>
    <row r="28" spans="2:62" x14ac:dyDescent="0.25">
      <c r="B28" s="1">
        <f t="shared" si="6"/>
        <v>22</v>
      </c>
      <c r="C28" s="1">
        <v>77</v>
      </c>
      <c r="D28" s="13">
        <v>44.3</v>
      </c>
      <c r="E28" s="1" t="s">
        <v>11</v>
      </c>
      <c r="F28" s="2">
        <v>0.125</v>
      </c>
      <c r="G28" s="1" t="s">
        <v>12</v>
      </c>
      <c r="H28" s="1" t="s">
        <v>13</v>
      </c>
      <c r="I28" s="1" t="s">
        <v>14</v>
      </c>
      <c r="J28" s="14">
        <v>0.64166666666666672</v>
      </c>
      <c r="K28" s="15">
        <v>44751</v>
      </c>
      <c r="L28" s="15"/>
      <c r="M28" s="2">
        <v>0.105</v>
      </c>
      <c r="O28" s="2">
        <f t="shared" si="1"/>
        <v>3.4999999999999989E-2</v>
      </c>
      <c r="P28" s="2">
        <f t="shared" si="2"/>
        <v>43.72</v>
      </c>
      <c r="Q28" s="2">
        <f t="shared" si="3"/>
        <v>0.2220000000000002</v>
      </c>
      <c r="R28" s="2">
        <f t="shared" si="4"/>
        <v>0.21871428571428589</v>
      </c>
      <c r="S28" s="2">
        <f t="shared" si="5"/>
        <v>3.2857142857143085E-3</v>
      </c>
      <c r="W28" s="1" t="s">
        <v>17</v>
      </c>
      <c r="X28" s="22">
        <v>0.32</v>
      </c>
      <c r="Y28" s="18">
        <f>_xlfn.XLOOKUP(X28,M$7:M$2001,D$7:D$2001,0,-1)</f>
        <v>45.1</v>
      </c>
      <c r="Z28" s="1" cm="1">
        <f t="array" aca="1" ref="Z28" ca="1">CELL("row",_xlfn.XLOOKUP(X28,M$7:M$2001,D$7:D$2001,0,-1))</f>
        <v>67</v>
      </c>
      <c r="AA28" s="1">
        <f t="shared" ref="AA28:AA29" ca="1" si="8">Z28-6</f>
        <v>61</v>
      </c>
      <c r="AB28" t="s">
        <v>57</v>
      </c>
      <c r="AC28" s="2">
        <f ca="1">SUM(INDEX(C7:S1000,AA28,17):(INDEX(C7:S1000,AA29,17)))</f>
        <v>29.02595714285717</v>
      </c>
      <c r="AD28" s="1">
        <v>16</v>
      </c>
      <c r="AE28" t="s">
        <v>35</v>
      </c>
      <c r="AF28" t="s">
        <v>30</v>
      </c>
    </row>
    <row r="29" spans="2:62" x14ac:dyDescent="0.25">
      <c r="B29" s="1">
        <f t="shared" si="6"/>
        <v>23</v>
      </c>
      <c r="C29" s="1">
        <v>80</v>
      </c>
      <c r="D29" s="13">
        <v>44.5</v>
      </c>
      <c r="E29" s="1" t="s">
        <v>11</v>
      </c>
      <c r="F29" s="2">
        <v>0.13</v>
      </c>
      <c r="G29" s="1" t="s">
        <v>12</v>
      </c>
      <c r="H29" s="1" t="s">
        <v>13</v>
      </c>
      <c r="I29" s="1" t="s">
        <v>14</v>
      </c>
      <c r="J29" s="14">
        <v>0.64167824074074076</v>
      </c>
      <c r="K29" s="15">
        <v>44751</v>
      </c>
      <c r="L29" s="15"/>
      <c r="M29" s="2">
        <v>0.11</v>
      </c>
      <c r="O29" s="2">
        <f t="shared" si="1"/>
        <v>3.9999999999999994E-2</v>
      </c>
      <c r="P29" s="2">
        <f t="shared" si="2"/>
        <v>43.765714285714282</v>
      </c>
      <c r="Q29" s="2">
        <f t="shared" si="3"/>
        <v>0.22275000000000017</v>
      </c>
      <c r="R29" s="2">
        <f t="shared" si="4"/>
        <v>0.21894285714285736</v>
      </c>
      <c r="S29" s="2">
        <f t="shared" si="5"/>
        <v>3.8071428571428145E-3</v>
      </c>
      <c r="W29" s="1" t="s">
        <v>18</v>
      </c>
      <c r="X29" s="2">
        <f>X43</f>
        <v>1.86</v>
      </c>
      <c r="Y29" s="21">
        <f>_xlfn.XLOOKUP(X29,M$7:M$2001,D$7:D$2001,0,-1)</f>
        <v>57.7</v>
      </c>
      <c r="Z29" s="1" cm="1">
        <f t="array" aca="1" ref="Z29" ca="1">CELL("row",_xlfn.XLOOKUP(X29,M$7:M$2001,D$7:D$2001,0,-1))</f>
        <v>358</v>
      </c>
      <c r="AA29" s="1">
        <f t="shared" ca="1" si="8"/>
        <v>352</v>
      </c>
      <c r="AB29" t="s">
        <v>58</v>
      </c>
      <c r="AC29" s="2">
        <f ca="1">MAX(INDEX(C7:S1000,AA28,2):(INDEX(C7:S1000,AA29,2)))</f>
        <v>80.8</v>
      </c>
      <c r="AD29" s="1">
        <v>2</v>
      </c>
      <c r="AE29" t="s">
        <v>43</v>
      </c>
      <c r="AF29" t="s">
        <v>34</v>
      </c>
    </row>
    <row r="30" spans="2:62" x14ac:dyDescent="0.25">
      <c r="B30" s="1">
        <f t="shared" si="6"/>
        <v>24</v>
      </c>
      <c r="C30" s="1">
        <v>81</v>
      </c>
      <c r="D30" s="13">
        <v>44.6</v>
      </c>
      <c r="E30" s="1" t="s">
        <v>11</v>
      </c>
      <c r="F30" s="2">
        <v>0.13500000000000001</v>
      </c>
      <c r="G30" s="1" t="s">
        <v>12</v>
      </c>
      <c r="H30" s="1" t="s">
        <v>13</v>
      </c>
      <c r="I30" s="1" t="s">
        <v>14</v>
      </c>
      <c r="J30" s="14">
        <v>0.64167824074074076</v>
      </c>
      <c r="K30" s="15">
        <v>44751</v>
      </c>
      <c r="L30" s="15"/>
      <c r="M30" s="2">
        <v>0.115</v>
      </c>
      <c r="O30" s="2">
        <f t="shared" si="1"/>
        <v>4.4999999999999998E-2</v>
      </c>
      <c r="P30" s="2">
        <f t="shared" si="2"/>
        <v>43.811428571428571</v>
      </c>
      <c r="Q30" s="2">
        <f t="shared" si="3"/>
        <v>0.2225000000000002</v>
      </c>
      <c r="R30" s="2">
        <f t="shared" si="4"/>
        <v>0.21917142857142877</v>
      </c>
      <c r="S30" s="2">
        <f t="shared" si="5"/>
        <v>3.3285714285714307E-3</v>
      </c>
      <c r="Y30" s="1"/>
      <c r="AB30" t="s">
        <v>59</v>
      </c>
      <c r="AC30" s="2">
        <f ca="1">AC29-_xlfn.XLOOKUP(AC29,D2:D1000,P2:P1000)</f>
        <v>29.72</v>
      </c>
      <c r="AD30" s="1" t="s">
        <v>42</v>
      </c>
      <c r="AE30" t="s">
        <v>41</v>
      </c>
      <c r="AF30" t="s">
        <v>44</v>
      </c>
    </row>
    <row r="31" spans="2:62" x14ac:dyDescent="0.25">
      <c r="B31" s="1">
        <f t="shared" si="6"/>
        <v>25</v>
      </c>
      <c r="C31" s="1">
        <v>83</v>
      </c>
      <c r="D31" s="13">
        <v>44.4</v>
      </c>
      <c r="E31" s="1" t="s">
        <v>11</v>
      </c>
      <c r="F31" s="2">
        <v>0.14000000000000001</v>
      </c>
      <c r="G31" s="1" t="s">
        <v>12</v>
      </c>
      <c r="H31" s="1" t="s">
        <v>13</v>
      </c>
      <c r="I31" s="1" t="s">
        <v>14</v>
      </c>
      <c r="J31" s="14">
        <v>0.64167824074074076</v>
      </c>
      <c r="K31" s="15">
        <v>44751</v>
      </c>
      <c r="L31" s="15"/>
      <c r="M31" s="2">
        <v>0.12000000000000001</v>
      </c>
      <c r="O31" s="2">
        <f t="shared" si="1"/>
        <v>0.05</v>
      </c>
      <c r="P31" s="2">
        <f t="shared" si="2"/>
        <v>43.857142857142854</v>
      </c>
      <c r="Q31" s="2">
        <f t="shared" si="3"/>
        <v>0.22199999999999895</v>
      </c>
      <c r="R31" s="2">
        <f t="shared" si="4"/>
        <v>0.21939999999999896</v>
      </c>
      <c r="S31" s="2">
        <f t="shared" si="5"/>
        <v>2.5999999999999912E-3</v>
      </c>
      <c r="Y31" s="1"/>
      <c r="AB31" t="s">
        <v>84</v>
      </c>
      <c r="AC31" s="2">
        <f ca="1">Y32-Y28</f>
        <v>35.699999999999996</v>
      </c>
    </row>
    <row r="32" spans="2:62" x14ac:dyDescent="0.25">
      <c r="B32" s="1">
        <f t="shared" si="6"/>
        <v>26</v>
      </c>
      <c r="C32" s="1">
        <v>84</v>
      </c>
      <c r="D32" s="13">
        <v>44.4</v>
      </c>
      <c r="E32" s="1" t="s">
        <v>11</v>
      </c>
      <c r="F32" s="2">
        <v>0.14499999999999999</v>
      </c>
      <c r="G32" s="1" t="s">
        <v>12</v>
      </c>
      <c r="H32" s="1" t="s">
        <v>13</v>
      </c>
      <c r="I32" s="1" t="s">
        <v>14</v>
      </c>
      <c r="J32" s="14">
        <v>0.64167824074074076</v>
      </c>
      <c r="K32" s="15">
        <v>44751</v>
      </c>
      <c r="L32" s="15"/>
      <c r="M32" s="2">
        <v>0.12499999999999999</v>
      </c>
      <c r="O32" s="2">
        <f t="shared" si="1"/>
        <v>5.4999999999999979E-2</v>
      </c>
      <c r="P32" s="2">
        <f t="shared" si="2"/>
        <v>43.902857142857144</v>
      </c>
      <c r="Q32" s="2">
        <f t="shared" si="3"/>
        <v>0.22125000000000081</v>
      </c>
      <c r="R32" s="2">
        <f t="shared" si="4"/>
        <v>0.21962857142857223</v>
      </c>
      <c r="S32" s="2">
        <f t="shared" si="5"/>
        <v>1.6214285714285792E-3</v>
      </c>
      <c r="X32" s="2">
        <f ca="1">_xlfn.XLOOKUP(Y32,D$7:D$2001,M$7:M$2001,0,-1)</f>
        <v>0.91</v>
      </c>
      <c r="Y32" s="2">
        <f ca="1">AC29</f>
        <v>80.8</v>
      </c>
      <c r="Z32" s="1" cm="1">
        <f t="array" aca="1" ref="Z32" ca="1">CELL("row",_xlfn.XLOOKUP(Y32,D$7:D$2001,M$7:M$2001,0,-1))</f>
        <v>179</v>
      </c>
      <c r="AA32" s="1">
        <f t="shared" ref="AA32" ca="1" si="9">Z32-6</f>
        <v>173</v>
      </c>
      <c r="AB32" t="s">
        <v>86</v>
      </c>
      <c r="AC32" s="2">
        <f>X29-X28</f>
        <v>1.54</v>
      </c>
      <c r="AF32" t="s">
        <v>46</v>
      </c>
    </row>
    <row r="33" spans="2:32" x14ac:dyDescent="0.25">
      <c r="B33" s="1">
        <f t="shared" si="6"/>
        <v>27</v>
      </c>
      <c r="C33" s="1">
        <v>85</v>
      </c>
      <c r="D33" s="13">
        <v>44.1</v>
      </c>
      <c r="E33" s="1" t="s">
        <v>11</v>
      </c>
      <c r="F33" s="2">
        <v>0.15</v>
      </c>
      <c r="G33" s="1" t="s">
        <v>12</v>
      </c>
      <c r="H33" s="1" t="s">
        <v>13</v>
      </c>
      <c r="I33" s="1" t="s">
        <v>14</v>
      </c>
      <c r="J33" s="14">
        <v>0.64167824074074076</v>
      </c>
      <c r="K33" s="15">
        <v>44751</v>
      </c>
      <c r="L33" s="15"/>
      <c r="M33" s="2">
        <v>0.13</v>
      </c>
      <c r="O33" s="2">
        <f t="shared" si="1"/>
        <v>0.06</v>
      </c>
      <c r="P33" s="2">
        <f t="shared" si="2"/>
        <v>43.948571428571427</v>
      </c>
      <c r="Q33" s="2">
        <f t="shared" si="3"/>
        <v>0.22025000000000017</v>
      </c>
      <c r="R33" s="2">
        <f t="shared" si="4"/>
        <v>0.21985714285714308</v>
      </c>
      <c r="S33" s="2">
        <f t="shared" si="5"/>
        <v>3.9285714285708373E-4</v>
      </c>
      <c r="Y33" s="1"/>
      <c r="AB33" s="23" t="s">
        <v>60</v>
      </c>
      <c r="AC33" s="24">
        <f>(AC32)/(AC24+AC32+AC47+AC59) * 100</f>
        <v>38.260869565217384</v>
      </c>
      <c r="AF33" t="s">
        <v>51</v>
      </c>
    </row>
    <row r="34" spans="2:32" x14ac:dyDescent="0.25">
      <c r="B34" s="1">
        <f t="shared" si="6"/>
        <v>28</v>
      </c>
      <c r="C34" s="1">
        <v>86</v>
      </c>
      <c r="D34" s="13">
        <v>44</v>
      </c>
      <c r="E34" s="1" t="s">
        <v>11</v>
      </c>
      <c r="F34" s="2">
        <v>0.155</v>
      </c>
      <c r="G34" s="1" t="s">
        <v>12</v>
      </c>
      <c r="H34" s="1" t="s">
        <v>13</v>
      </c>
      <c r="I34" s="1" t="s">
        <v>14</v>
      </c>
      <c r="J34" s="14">
        <v>0.64167824074074076</v>
      </c>
      <c r="K34" s="15">
        <v>44751</v>
      </c>
      <c r="L34" s="15"/>
      <c r="M34" s="2">
        <v>0.13500000000000001</v>
      </c>
      <c r="O34" s="2">
        <f t="shared" si="1"/>
        <v>6.5000000000000002E-2</v>
      </c>
      <c r="P34" s="2">
        <f t="shared" si="2"/>
        <v>43.994285714285716</v>
      </c>
      <c r="Q34" s="2">
        <f t="shared" si="3"/>
        <v>0.2200000000000002</v>
      </c>
      <c r="R34" s="2">
        <f t="shared" si="4"/>
        <v>0.2200857142857145</v>
      </c>
      <c r="S34" s="2">
        <f t="shared" si="5"/>
        <v>-8.5714285714300065E-5</v>
      </c>
      <c r="Y34" s="1"/>
      <c r="AB34" t="s">
        <v>87</v>
      </c>
      <c r="AC34" s="2">
        <f ca="1">X32-X28</f>
        <v>0.59000000000000008</v>
      </c>
    </row>
    <row r="35" spans="2:32" x14ac:dyDescent="0.25">
      <c r="B35" s="1">
        <f t="shared" si="6"/>
        <v>29</v>
      </c>
      <c r="C35" s="1">
        <v>87</v>
      </c>
      <c r="D35" s="13">
        <v>44</v>
      </c>
      <c r="E35" s="1" t="s">
        <v>11</v>
      </c>
      <c r="F35" s="2">
        <v>0.16</v>
      </c>
      <c r="G35" s="1" t="s">
        <v>12</v>
      </c>
      <c r="H35" s="1" t="s">
        <v>13</v>
      </c>
      <c r="I35" s="1" t="s">
        <v>14</v>
      </c>
      <c r="J35" s="14">
        <v>0.64167824074074076</v>
      </c>
      <c r="K35" s="15">
        <v>44751</v>
      </c>
      <c r="L35" s="15"/>
      <c r="M35" s="2">
        <v>0.14000000000000001</v>
      </c>
      <c r="O35" s="2">
        <f t="shared" si="1"/>
        <v>7.0000000000000007E-2</v>
      </c>
      <c r="P35" s="2">
        <f t="shared" si="2"/>
        <v>44.04</v>
      </c>
      <c r="Q35" s="2">
        <f t="shared" si="3"/>
        <v>0.21975000000000022</v>
      </c>
      <c r="R35" s="2">
        <f t="shared" si="4"/>
        <v>0.22031428571428591</v>
      </c>
      <c r="S35" s="2">
        <f t="shared" si="5"/>
        <v>-5.6428571428568386E-4</v>
      </c>
      <c r="Y35" s="1"/>
      <c r="AB35" t="s">
        <v>73</v>
      </c>
      <c r="AC35" s="2">
        <f ca="1">SUM(INDEX(C7:S1000,AA28,17):(INDEX(C7:S1000,AA32,17)))</f>
        <v>13.40510000000001</v>
      </c>
    </row>
    <row r="36" spans="2:32" x14ac:dyDescent="0.25">
      <c r="B36" s="1">
        <f t="shared" si="6"/>
        <v>30</v>
      </c>
      <c r="C36" s="1">
        <v>88</v>
      </c>
      <c r="D36" s="13">
        <v>43.9</v>
      </c>
      <c r="E36" s="1" t="s">
        <v>11</v>
      </c>
      <c r="F36" s="2">
        <v>0.16500000000000001</v>
      </c>
      <c r="G36" s="1" t="s">
        <v>12</v>
      </c>
      <c r="H36" s="1" t="s">
        <v>13</v>
      </c>
      <c r="I36" s="1" t="s">
        <v>14</v>
      </c>
      <c r="J36" s="14">
        <v>0.64167824074074076</v>
      </c>
      <c r="K36" s="15">
        <v>44751</v>
      </c>
      <c r="L36" s="15"/>
      <c r="M36" s="2">
        <v>0.14500000000000002</v>
      </c>
      <c r="O36" s="2">
        <f t="shared" si="1"/>
        <v>7.5000000000000011E-2</v>
      </c>
      <c r="P36" s="2">
        <f t="shared" si="2"/>
        <v>44.085714285714282</v>
      </c>
      <c r="Q36" s="2">
        <f t="shared" si="3"/>
        <v>0.43749999999999917</v>
      </c>
      <c r="R36" s="2">
        <f t="shared" si="4"/>
        <v>0.44131428571428488</v>
      </c>
      <c r="S36" s="2">
        <f t="shared" si="5"/>
        <v>-3.8142857142857145E-3</v>
      </c>
      <c r="Y36" s="1"/>
      <c r="AB36" t="s">
        <v>88</v>
      </c>
      <c r="AC36" s="2">
        <f ca="1">(AC34/AC32)*100</f>
        <v>38.311688311688314</v>
      </c>
    </row>
    <row r="37" spans="2:32" x14ac:dyDescent="0.25">
      <c r="B37" s="1">
        <f t="shared" si="6"/>
        <v>31</v>
      </c>
      <c r="C37" s="1">
        <v>89</v>
      </c>
      <c r="D37" s="13">
        <v>43.6</v>
      </c>
      <c r="E37" s="1" t="s">
        <v>11</v>
      </c>
      <c r="F37" s="2">
        <v>0.17499999999999999</v>
      </c>
      <c r="G37" s="1" t="s">
        <v>12</v>
      </c>
      <c r="H37" s="1" t="s">
        <v>13</v>
      </c>
      <c r="I37" s="1" t="s">
        <v>14</v>
      </c>
      <c r="J37" s="14">
        <v>0.6416898148148148</v>
      </c>
      <c r="K37" s="15">
        <v>44751</v>
      </c>
      <c r="L37" s="15"/>
      <c r="M37" s="2">
        <v>0.155</v>
      </c>
      <c r="O37" s="2">
        <f t="shared" si="1"/>
        <v>8.4999999999999992E-2</v>
      </c>
      <c r="P37" s="2">
        <f t="shared" si="2"/>
        <v>44.177142857142854</v>
      </c>
      <c r="Q37" s="2">
        <f t="shared" si="3"/>
        <v>0.21775000000000017</v>
      </c>
      <c r="R37" s="2">
        <f t="shared" si="4"/>
        <v>0.22100000000000022</v>
      </c>
      <c r="S37" s="2">
        <f t="shared" si="5"/>
        <v>-3.2500000000000584E-3</v>
      </c>
      <c r="Y37" s="1"/>
      <c r="AA37" s="1">
        <f ca="1">AC37/AC36</f>
        <v>1.2054583722644909</v>
      </c>
      <c r="AB37" s="23" t="s">
        <v>74</v>
      </c>
      <c r="AC37" s="24">
        <f ca="1">(AC35/AC28)*100</f>
        <v>46.183145430912319</v>
      </c>
    </row>
    <row r="38" spans="2:32" x14ac:dyDescent="0.25">
      <c r="B38" s="1">
        <f t="shared" si="6"/>
        <v>32</v>
      </c>
      <c r="C38" s="1">
        <v>90</v>
      </c>
      <c r="D38" s="13">
        <v>43.5</v>
      </c>
      <c r="E38" s="1" t="s">
        <v>11</v>
      </c>
      <c r="F38" s="2">
        <v>0.18</v>
      </c>
      <c r="G38" s="1" t="s">
        <v>12</v>
      </c>
      <c r="H38" s="1" t="s">
        <v>13</v>
      </c>
      <c r="I38" s="1" t="s">
        <v>14</v>
      </c>
      <c r="J38" s="14">
        <v>0.6416898148148148</v>
      </c>
      <c r="K38" s="15">
        <v>44751</v>
      </c>
      <c r="L38" s="15"/>
      <c r="M38" s="2">
        <v>0.16</v>
      </c>
      <c r="O38" s="2">
        <f t="shared" si="1"/>
        <v>0.09</v>
      </c>
      <c r="P38" s="2">
        <f t="shared" si="2"/>
        <v>44.222857142857144</v>
      </c>
      <c r="Q38" s="2">
        <f t="shared" si="3"/>
        <v>0.21700000000000019</v>
      </c>
      <c r="R38" s="2">
        <f t="shared" si="4"/>
        <v>0.22122857142857164</v>
      </c>
      <c r="S38" s="2">
        <f t="shared" si="5"/>
        <v>-4.2285714285714426E-3</v>
      </c>
      <c r="Y38" s="1"/>
      <c r="AB38" t="s">
        <v>89</v>
      </c>
      <c r="AC38" s="2">
        <f ca="1">X29-X32</f>
        <v>0.95000000000000007</v>
      </c>
    </row>
    <row r="39" spans="2:32" x14ac:dyDescent="0.25">
      <c r="B39" s="1">
        <f t="shared" si="6"/>
        <v>33</v>
      </c>
      <c r="C39" s="1">
        <v>92</v>
      </c>
      <c r="D39" s="13">
        <v>43.3</v>
      </c>
      <c r="E39" s="1" t="s">
        <v>11</v>
      </c>
      <c r="F39" s="2">
        <v>0.185</v>
      </c>
      <c r="G39" s="1" t="s">
        <v>12</v>
      </c>
      <c r="H39" s="1" t="s">
        <v>13</v>
      </c>
      <c r="I39" s="1" t="s">
        <v>14</v>
      </c>
      <c r="J39" s="14">
        <v>0.6416898148148148</v>
      </c>
      <c r="K39" s="15">
        <v>44751</v>
      </c>
      <c r="L39" s="15"/>
      <c r="M39" s="2">
        <v>0.16500000000000001</v>
      </c>
      <c r="O39" s="2">
        <f t="shared" si="1"/>
        <v>9.5000000000000001E-2</v>
      </c>
      <c r="P39" s="2">
        <f t="shared" si="2"/>
        <v>44.268571428571427</v>
      </c>
      <c r="Q39" s="2">
        <f t="shared" si="3"/>
        <v>0.21625000000000019</v>
      </c>
      <c r="R39" s="2">
        <f t="shared" si="4"/>
        <v>0.22145714285714305</v>
      </c>
      <c r="S39" s="2">
        <f t="shared" si="5"/>
        <v>-5.2071428571428546E-3</v>
      </c>
      <c r="Y39" s="1"/>
      <c r="AB39" t="s">
        <v>76</v>
      </c>
      <c r="AC39" s="2">
        <f ca="1">AC28-AC35</f>
        <v>15.62085714285716</v>
      </c>
    </row>
    <row r="40" spans="2:32" x14ac:dyDescent="0.25">
      <c r="B40" s="1">
        <f t="shared" si="6"/>
        <v>34</v>
      </c>
      <c r="C40" s="1">
        <v>93</v>
      </c>
      <c r="D40" s="13">
        <v>43.2</v>
      </c>
      <c r="E40" s="1" t="s">
        <v>11</v>
      </c>
      <c r="F40" s="2">
        <v>0.19</v>
      </c>
      <c r="G40" s="1" t="s">
        <v>12</v>
      </c>
      <c r="H40" s="1" t="s">
        <v>13</v>
      </c>
      <c r="I40" s="1" t="s">
        <v>14</v>
      </c>
      <c r="J40" s="14">
        <v>0.6416898148148148</v>
      </c>
      <c r="K40" s="15">
        <v>44751</v>
      </c>
      <c r="L40" s="15"/>
      <c r="M40" s="2">
        <v>0.17</v>
      </c>
      <c r="O40" s="2">
        <f t="shared" si="1"/>
        <v>0.1</v>
      </c>
      <c r="P40" s="2">
        <f t="shared" si="2"/>
        <v>44.314285714285717</v>
      </c>
      <c r="Q40" s="2">
        <f t="shared" si="3"/>
        <v>0.21650000000000016</v>
      </c>
      <c r="R40" s="2">
        <f t="shared" si="4"/>
        <v>0.22168571428571449</v>
      </c>
      <c r="S40" s="2">
        <f t="shared" si="5"/>
        <v>-5.1857142857143212E-3</v>
      </c>
      <c r="Y40" s="1"/>
      <c r="AB40" t="s">
        <v>90</v>
      </c>
      <c r="AC40" s="2">
        <f ca="1">100-AC36</f>
        <v>61.688311688311686</v>
      </c>
    </row>
    <row r="41" spans="2:32" x14ac:dyDescent="0.25">
      <c r="B41" s="1">
        <f t="shared" si="6"/>
        <v>35</v>
      </c>
      <c r="C41" s="1">
        <v>94</v>
      </c>
      <c r="D41" s="13">
        <v>43.4</v>
      </c>
      <c r="E41" s="1" t="s">
        <v>11</v>
      </c>
      <c r="F41" s="2">
        <v>0.19500000000000001</v>
      </c>
      <c r="G41" s="1" t="s">
        <v>12</v>
      </c>
      <c r="H41" s="1" t="s">
        <v>13</v>
      </c>
      <c r="I41" s="1" t="s">
        <v>14</v>
      </c>
      <c r="J41" s="14">
        <v>0.6416898148148148</v>
      </c>
      <c r="K41" s="15">
        <v>44751</v>
      </c>
      <c r="L41" s="15"/>
      <c r="M41" s="2">
        <v>0.17500000000000002</v>
      </c>
      <c r="O41" s="2">
        <f t="shared" si="1"/>
        <v>0.10500000000000001</v>
      </c>
      <c r="P41" s="2">
        <f t="shared" si="2"/>
        <v>44.36</v>
      </c>
      <c r="Q41" s="2">
        <f t="shared" si="3"/>
        <v>0.21725000000000022</v>
      </c>
      <c r="R41" s="2">
        <f t="shared" si="4"/>
        <v>0.2219142857142859</v>
      </c>
      <c r="S41" s="2">
        <f t="shared" si="5"/>
        <v>-4.6642857142856764E-3</v>
      </c>
      <c r="Y41" s="1"/>
      <c r="AA41" s="1">
        <f ca="1">AC41/AC40</f>
        <v>0.87239953722521091</v>
      </c>
      <c r="AB41" t="s">
        <v>77</v>
      </c>
      <c r="AC41" s="2">
        <f ca="1">100-AC37</f>
        <v>53.816854569087681</v>
      </c>
    </row>
    <row r="42" spans="2:32" x14ac:dyDescent="0.25">
      <c r="B42" s="1">
        <f t="shared" si="6"/>
        <v>36</v>
      </c>
      <c r="C42" s="1">
        <v>95</v>
      </c>
      <c r="D42" s="13">
        <v>43.5</v>
      </c>
      <c r="E42" s="1" t="s">
        <v>11</v>
      </c>
      <c r="F42" s="2">
        <v>0.2</v>
      </c>
      <c r="G42" s="1" t="s">
        <v>12</v>
      </c>
      <c r="H42" s="1" t="s">
        <v>13</v>
      </c>
      <c r="I42" s="1" t="s">
        <v>14</v>
      </c>
      <c r="J42" s="14">
        <v>0.6416898148148148</v>
      </c>
      <c r="K42" s="15">
        <v>44751</v>
      </c>
      <c r="L42" s="15"/>
      <c r="M42" s="2">
        <v>0.18000000000000002</v>
      </c>
      <c r="O42" s="2">
        <f t="shared" si="1"/>
        <v>0.11000000000000001</v>
      </c>
      <c r="P42" s="2">
        <f t="shared" si="2"/>
        <v>44.405714285714282</v>
      </c>
      <c r="Q42" s="2">
        <f t="shared" si="3"/>
        <v>0.21749999999999897</v>
      </c>
      <c r="R42" s="2">
        <f t="shared" si="4"/>
        <v>0.22214285714285611</v>
      </c>
      <c r="S42" s="2">
        <f t="shared" si="5"/>
        <v>-4.642857142857143E-3</v>
      </c>
      <c r="Y42" s="1"/>
    </row>
    <row r="43" spans="2:32" x14ac:dyDescent="0.25">
      <c r="B43" s="1">
        <f t="shared" si="6"/>
        <v>37</v>
      </c>
      <c r="C43" s="1">
        <v>97</v>
      </c>
      <c r="D43" s="13">
        <v>43.5</v>
      </c>
      <c r="E43" s="1" t="s">
        <v>11</v>
      </c>
      <c r="F43" s="2">
        <v>0.20499999999999999</v>
      </c>
      <c r="G43" s="1" t="s">
        <v>12</v>
      </c>
      <c r="H43" s="1" t="s">
        <v>13</v>
      </c>
      <c r="I43" s="1" t="s">
        <v>14</v>
      </c>
      <c r="J43" s="14">
        <v>0.6416898148148148</v>
      </c>
      <c r="K43" s="15">
        <v>44751</v>
      </c>
      <c r="L43" s="15"/>
      <c r="M43" s="2">
        <v>0.185</v>
      </c>
      <c r="O43" s="2">
        <f t="shared" si="1"/>
        <v>0.11499999999999999</v>
      </c>
      <c r="P43" s="2">
        <f t="shared" si="2"/>
        <v>44.451428571428572</v>
      </c>
      <c r="Q43" s="2">
        <f t="shared" si="3"/>
        <v>0.21725000000000022</v>
      </c>
      <c r="R43" s="2">
        <f t="shared" si="4"/>
        <v>0.22237142857142878</v>
      </c>
      <c r="S43" s="2">
        <f t="shared" si="5"/>
        <v>-5.1214285714285546E-3</v>
      </c>
      <c r="W43" s="1" t="s">
        <v>19</v>
      </c>
      <c r="X43" s="22">
        <v>1.86</v>
      </c>
      <c r="Y43" s="21">
        <f>_xlfn.XLOOKUP(X43,M$7:M$2001,D$7:D$2001,0,-1)</f>
        <v>57.7</v>
      </c>
      <c r="Z43" s="1" cm="1">
        <f t="array" aca="1" ref="Z43" ca="1">CELL("row",_xlfn.XLOOKUP(X43,M$7:M$2001,D$7:D$2001,0,-1))</f>
        <v>358</v>
      </c>
      <c r="AA43" s="1">
        <f t="shared" ref="AA43:AA44" ca="1" si="10">Z43-6</f>
        <v>352</v>
      </c>
      <c r="AB43" t="s">
        <v>61</v>
      </c>
      <c r="AC43" s="2">
        <f ca="1">SUM(INDEX(C7:S1000,AA43,17):(INDEX(C7:S1000,AA44,17)))</f>
        <v>-10.54629285714288</v>
      </c>
      <c r="AD43" s="1">
        <v>16</v>
      </c>
      <c r="AE43" t="s">
        <v>35</v>
      </c>
      <c r="AF43" t="s">
        <v>31</v>
      </c>
    </row>
    <row r="44" spans="2:32" x14ac:dyDescent="0.25">
      <c r="B44" s="1">
        <f t="shared" si="6"/>
        <v>38</v>
      </c>
      <c r="C44" s="1">
        <v>98</v>
      </c>
      <c r="D44" s="13">
        <v>43.4</v>
      </c>
      <c r="E44" s="1" t="s">
        <v>11</v>
      </c>
      <c r="F44" s="2">
        <v>0.21</v>
      </c>
      <c r="G44" s="1" t="s">
        <v>12</v>
      </c>
      <c r="H44" s="1" t="s">
        <v>13</v>
      </c>
      <c r="I44" s="1" t="s">
        <v>14</v>
      </c>
      <c r="J44" s="14">
        <v>0.6416898148148148</v>
      </c>
      <c r="K44" s="15">
        <v>44751</v>
      </c>
      <c r="L44" s="15"/>
      <c r="M44" s="2">
        <v>0.19</v>
      </c>
      <c r="O44" s="2">
        <f t="shared" si="1"/>
        <v>0.12</v>
      </c>
      <c r="P44" s="2">
        <f t="shared" si="2"/>
        <v>44.497142857142855</v>
      </c>
      <c r="Q44" s="2">
        <f t="shared" si="3"/>
        <v>0.21725000000000022</v>
      </c>
      <c r="R44" s="2">
        <f t="shared" si="4"/>
        <v>0.22260000000000019</v>
      </c>
      <c r="S44" s="2">
        <f t="shared" si="5"/>
        <v>-5.3499999999999659E-3</v>
      </c>
      <c r="W44" s="1" t="s">
        <v>20</v>
      </c>
      <c r="X44" s="2">
        <f>X58</f>
        <v>3.0649999999999999</v>
      </c>
      <c r="Y44" s="19">
        <f>_xlfn.XLOOKUP(X44,M$7:M$2001,D$7:D$2001,0,-1)</f>
        <v>70.099999999999994</v>
      </c>
      <c r="Z44" s="1" cm="1">
        <f t="array" aca="1" ref="Z44" ca="1">CELL("row",_xlfn.XLOOKUP(X44,M$7:M$2001,D$7:D$2001,0,-1))</f>
        <v>582</v>
      </c>
      <c r="AA44" s="1">
        <f t="shared" ca="1" si="10"/>
        <v>576</v>
      </c>
      <c r="AB44" t="s">
        <v>62</v>
      </c>
      <c r="AC44" s="2">
        <f ca="1">MIN(INDEX(C7:S1000,AA43,2):(INDEX(C7:S1000,AA44,2)))</f>
        <v>53.7</v>
      </c>
      <c r="AD44" s="1">
        <v>1</v>
      </c>
      <c r="AE44" t="s">
        <v>36</v>
      </c>
      <c r="AF44" t="s">
        <v>37</v>
      </c>
    </row>
    <row r="45" spans="2:32" x14ac:dyDescent="0.25">
      <c r="B45" s="1">
        <f t="shared" si="6"/>
        <v>39</v>
      </c>
      <c r="C45" s="1">
        <v>100</v>
      </c>
      <c r="D45" s="13">
        <v>43.5</v>
      </c>
      <c r="E45" s="1" t="s">
        <v>11</v>
      </c>
      <c r="F45" s="2">
        <v>0.215</v>
      </c>
      <c r="G45" s="1" t="s">
        <v>12</v>
      </c>
      <c r="H45" s="1" t="s">
        <v>13</v>
      </c>
      <c r="I45" s="1" t="s">
        <v>14</v>
      </c>
      <c r="J45" s="14">
        <v>0.64170138888888884</v>
      </c>
      <c r="K45" s="15">
        <v>44751</v>
      </c>
      <c r="L45" s="15"/>
      <c r="M45" s="2">
        <v>0.19500000000000001</v>
      </c>
      <c r="O45" s="2">
        <f t="shared" si="1"/>
        <v>0.125</v>
      </c>
      <c r="P45" s="2">
        <f t="shared" si="2"/>
        <v>44.542857142857144</v>
      </c>
      <c r="Q45" s="2">
        <f t="shared" si="3"/>
        <v>0.21700000000000019</v>
      </c>
      <c r="R45" s="2">
        <f t="shared" si="4"/>
        <v>0.22282857142857163</v>
      </c>
      <c r="S45" s="2">
        <f t="shared" si="5"/>
        <v>-5.828571428571433E-3</v>
      </c>
      <c r="Y45" s="1"/>
      <c r="AB45" t="s">
        <v>63</v>
      </c>
      <c r="AC45" s="2">
        <f ca="1">_xlfn.XLOOKUP(AC44,D2:D1000,P2:P1000)-AC44</f>
        <v>11.414285714285725</v>
      </c>
      <c r="AF45" t="s">
        <v>45</v>
      </c>
    </row>
    <row r="46" spans="2:32" x14ac:dyDescent="0.25">
      <c r="B46" s="1">
        <f t="shared" si="6"/>
        <v>40</v>
      </c>
      <c r="C46" s="1">
        <v>102</v>
      </c>
      <c r="D46" s="13">
        <v>43.3</v>
      </c>
      <c r="E46" s="1" t="s">
        <v>11</v>
      </c>
      <c r="F46" s="2">
        <v>0.22</v>
      </c>
      <c r="G46" s="1" t="s">
        <v>12</v>
      </c>
      <c r="H46" s="1" t="s">
        <v>13</v>
      </c>
      <c r="I46" s="1" t="s">
        <v>14</v>
      </c>
      <c r="J46" s="14">
        <v>0.64170138888888884</v>
      </c>
      <c r="K46" s="15">
        <v>44751</v>
      </c>
      <c r="L46" s="15"/>
      <c r="M46" s="2">
        <v>0.2</v>
      </c>
      <c r="O46" s="2">
        <f t="shared" si="1"/>
        <v>0.13</v>
      </c>
      <c r="P46" s="2">
        <f t="shared" si="2"/>
        <v>44.588571428571427</v>
      </c>
      <c r="Q46" s="2">
        <f t="shared" si="3"/>
        <v>0.21650000000000016</v>
      </c>
      <c r="R46" s="2">
        <f t="shared" si="4"/>
        <v>0.22305714285714304</v>
      </c>
      <c r="S46" s="2">
        <f t="shared" si="5"/>
        <v>-6.5571428571428725E-3</v>
      </c>
      <c r="Y46" s="1"/>
      <c r="AB46" t="s">
        <v>84</v>
      </c>
      <c r="AC46" s="2">
        <f ca="1">Y43-Y47</f>
        <v>4</v>
      </c>
    </row>
    <row r="47" spans="2:32" x14ac:dyDescent="0.25">
      <c r="B47" s="1">
        <f t="shared" si="6"/>
        <v>41</v>
      </c>
      <c r="C47" s="1">
        <v>103</v>
      </c>
      <c r="D47" s="13">
        <v>43.3</v>
      </c>
      <c r="E47" s="1" t="s">
        <v>11</v>
      </c>
      <c r="F47" s="2">
        <v>0.22500000000000001</v>
      </c>
      <c r="G47" s="1" t="s">
        <v>12</v>
      </c>
      <c r="H47" s="1" t="s">
        <v>13</v>
      </c>
      <c r="I47" s="1" t="s">
        <v>14</v>
      </c>
      <c r="J47" s="14">
        <v>0.64170138888888884</v>
      </c>
      <c r="K47" s="15">
        <v>44751</v>
      </c>
      <c r="L47" s="15"/>
      <c r="M47" s="2">
        <v>0.20500000000000002</v>
      </c>
      <c r="O47" s="2">
        <f t="shared" si="1"/>
        <v>0.13500000000000001</v>
      </c>
      <c r="P47" s="2">
        <f t="shared" si="2"/>
        <v>44.63428571428571</v>
      </c>
      <c r="Q47" s="2">
        <f t="shared" si="3"/>
        <v>0.21625000000000019</v>
      </c>
      <c r="R47" s="2">
        <f t="shared" si="4"/>
        <v>0.2232857142857145</v>
      </c>
      <c r="S47" s="2">
        <f t="shared" si="5"/>
        <v>-7.0357142857143118E-3</v>
      </c>
      <c r="X47" s="2">
        <f ca="1">_xlfn.XLOOKUP(Y47,D$7:D$2001,M$7:M$2001,0,-1)</f>
        <v>2.4449999999999998</v>
      </c>
      <c r="Y47" s="2">
        <f ca="1">AC44</f>
        <v>53.7</v>
      </c>
      <c r="Z47" s="1" cm="1">
        <f t="array" aca="1" ref="Z47" ca="1">CELL("row",_xlfn.XLOOKUP(Y47,D$7:D$2001,M$7:M$2001,0,-1))</f>
        <v>473</v>
      </c>
      <c r="AA47" s="1">
        <f t="shared" ref="AA47" ca="1" si="11">Z47-6</f>
        <v>467</v>
      </c>
      <c r="AB47" t="s">
        <v>91</v>
      </c>
      <c r="AC47" s="2">
        <f>X44-X43</f>
        <v>1.2049999999999998</v>
      </c>
      <c r="AF47" t="s">
        <v>47</v>
      </c>
    </row>
    <row r="48" spans="2:32" x14ac:dyDescent="0.25">
      <c r="B48" s="1">
        <f t="shared" si="6"/>
        <v>42</v>
      </c>
      <c r="C48" s="1">
        <v>105</v>
      </c>
      <c r="D48" s="13">
        <v>43.2</v>
      </c>
      <c r="E48" s="1" t="s">
        <v>11</v>
      </c>
      <c r="F48" s="2">
        <v>0.23</v>
      </c>
      <c r="G48" s="1" t="s">
        <v>12</v>
      </c>
      <c r="H48" s="1" t="s">
        <v>13</v>
      </c>
      <c r="I48" s="1" t="s">
        <v>14</v>
      </c>
      <c r="J48" s="14">
        <v>0.64170138888888884</v>
      </c>
      <c r="K48" s="15">
        <v>44751</v>
      </c>
      <c r="L48" s="15"/>
      <c r="M48" s="2">
        <v>0.21000000000000002</v>
      </c>
      <c r="O48" s="2">
        <f t="shared" si="1"/>
        <v>0.14000000000000001</v>
      </c>
      <c r="P48" s="2">
        <f t="shared" si="2"/>
        <v>44.68</v>
      </c>
      <c r="Q48" s="2">
        <f t="shared" si="3"/>
        <v>0.216249999999999</v>
      </c>
      <c r="R48" s="2">
        <f t="shared" si="4"/>
        <v>0.22351428571428467</v>
      </c>
      <c r="S48" s="2">
        <f t="shared" si="5"/>
        <v>-7.2642857142856676E-3</v>
      </c>
      <c r="Y48" s="1"/>
      <c r="AB48" s="23" t="s">
        <v>64</v>
      </c>
      <c r="AC48" s="24">
        <f>(AC47)/(AC24+AC32+AC47+AC59) * 100</f>
        <v>29.937888198757754</v>
      </c>
      <c r="AF48" t="s">
        <v>52</v>
      </c>
    </row>
    <row r="49" spans="2:32" x14ac:dyDescent="0.25">
      <c r="B49" s="1">
        <f t="shared" si="6"/>
        <v>43</v>
      </c>
      <c r="C49" s="1">
        <v>107</v>
      </c>
      <c r="D49" s="13">
        <v>43.3</v>
      </c>
      <c r="E49" s="1" t="s">
        <v>11</v>
      </c>
      <c r="F49" s="2">
        <v>0.23499999999999999</v>
      </c>
      <c r="G49" s="1" t="s">
        <v>12</v>
      </c>
      <c r="H49" s="1" t="s">
        <v>13</v>
      </c>
      <c r="I49" s="1" t="s">
        <v>14</v>
      </c>
      <c r="J49" s="14">
        <v>0.64170138888888884</v>
      </c>
      <c r="K49" s="15">
        <v>44751</v>
      </c>
      <c r="L49" s="15"/>
      <c r="M49" s="2">
        <v>0.215</v>
      </c>
      <c r="O49" s="2">
        <f t="shared" si="1"/>
        <v>0.14499999999999999</v>
      </c>
      <c r="P49" s="2">
        <f t="shared" si="2"/>
        <v>44.725714285714282</v>
      </c>
      <c r="Q49" s="2">
        <f t="shared" si="3"/>
        <v>0.21700000000000019</v>
      </c>
      <c r="R49" s="2">
        <f t="shared" si="4"/>
        <v>0.22374285714285733</v>
      </c>
      <c r="S49" s="2">
        <f t="shared" si="5"/>
        <v>-6.7428571428571338E-3</v>
      </c>
      <c r="Y49" s="1"/>
      <c r="AB49" t="s">
        <v>92</v>
      </c>
      <c r="AC49" s="2">
        <f ca="1">X47-X43</f>
        <v>0.58499999999999974</v>
      </c>
    </row>
    <row r="50" spans="2:32" x14ac:dyDescent="0.25">
      <c r="B50" s="1">
        <f t="shared" si="6"/>
        <v>44</v>
      </c>
      <c r="C50" s="1">
        <v>110</v>
      </c>
      <c r="D50" s="13">
        <v>43.5</v>
      </c>
      <c r="E50" s="1" t="s">
        <v>11</v>
      </c>
      <c r="F50" s="2">
        <v>0.24</v>
      </c>
      <c r="G50" s="1" t="s">
        <v>12</v>
      </c>
      <c r="H50" s="1" t="s">
        <v>13</v>
      </c>
      <c r="I50" s="1" t="s">
        <v>14</v>
      </c>
      <c r="J50" s="14">
        <v>0.64171296296296299</v>
      </c>
      <c r="K50" s="15">
        <v>44751</v>
      </c>
      <c r="L50" s="15"/>
      <c r="M50" s="2">
        <v>0.22</v>
      </c>
      <c r="O50" s="2">
        <f t="shared" si="1"/>
        <v>0.15</v>
      </c>
      <c r="P50" s="2">
        <f t="shared" si="2"/>
        <v>44.771428571428572</v>
      </c>
      <c r="Q50" s="2">
        <f t="shared" si="3"/>
        <v>0.21775000000000017</v>
      </c>
      <c r="R50" s="2">
        <f t="shared" si="4"/>
        <v>0.22397142857142877</v>
      </c>
      <c r="S50" s="2">
        <f t="shared" si="5"/>
        <v>-6.2214285714286E-3</v>
      </c>
      <c r="Y50" s="1"/>
      <c r="AB50" t="s">
        <v>79</v>
      </c>
      <c r="AC50" s="2">
        <f ca="1">SUM(INDEX(C7:S1000,AA43,17):(INDEX(C7:S1000,AA47,17)))</f>
        <v>-4.4563357142857321</v>
      </c>
    </row>
    <row r="51" spans="2:32" x14ac:dyDescent="0.25">
      <c r="B51" s="1">
        <f t="shared" si="6"/>
        <v>45</v>
      </c>
      <c r="C51" s="1">
        <v>112</v>
      </c>
      <c r="D51" s="13">
        <v>43.6</v>
      </c>
      <c r="E51" s="1" t="s">
        <v>11</v>
      </c>
      <c r="F51" s="2">
        <v>0.245</v>
      </c>
      <c r="G51" s="1" t="s">
        <v>12</v>
      </c>
      <c r="H51" s="1" t="s">
        <v>13</v>
      </c>
      <c r="I51" s="1" t="s">
        <v>14</v>
      </c>
      <c r="J51" s="14">
        <v>0.64171296296296299</v>
      </c>
      <c r="K51" s="15">
        <v>44751</v>
      </c>
      <c r="L51" s="15"/>
      <c r="M51" s="2">
        <v>0.22500000000000001</v>
      </c>
      <c r="O51" s="2">
        <f t="shared" si="1"/>
        <v>0.155</v>
      </c>
      <c r="P51" s="2">
        <f t="shared" si="2"/>
        <v>44.817142857142855</v>
      </c>
      <c r="Q51" s="2">
        <f t="shared" si="3"/>
        <v>0.21825000000000022</v>
      </c>
      <c r="R51" s="2">
        <f t="shared" si="4"/>
        <v>0.2242000000000002</v>
      </c>
      <c r="S51" s="2">
        <f t="shared" si="5"/>
        <v>-5.9499999999999831E-3</v>
      </c>
      <c r="Y51" s="1"/>
      <c r="AB51" t="s">
        <v>95</v>
      </c>
      <c r="AC51" s="2">
        <f ca="1">(AC49/AC47)*100</f>
        <v>48.547717842323635</v>
      </c>
    </row>
    <row r="52" spans="2:32" x14ac:dyDescent="0.25">
      <c r="B52" s="1">
        <f t="shared" si="6"/>
        <v>46</v>
      </c>
      <c r="C52" s="1">
        <v>113</v>
      </c>
      <c r="D52" s="13">
        <v>43.7</v>
      </c>
      <c r="E52" s="1" t="s">
        <v>11</v>
      </c>
      <c r="F52" s="2">
        <v>0.25</v>
      </c>
      <c r="G52" s="1" t="s">
        <v>12</v>
      </c>
      <c r="H52" s="1" t="s">
        <v>13</v>
      </c>
      <c r="I52" s="1" t="s">
        <v>14</v>
      </c>
      <c r="J52" s="14">
        <v>0.64171296296296299</v>
      </c>
      <c r="K52" s="15">
        <v>44751</v>
      </c>
      <c r="L52" s="15"/>
      <c r="M52" s="2">
        <v>0.23</v>
      </c>
      <c r="O52" s="2">
        <f t="shared" si="1"/>
        <v>0.16</v>
      </c>
      <c r="P52" s="2">
        <f t="shared" si="2"/>
        <v>44.862857142857145</v>
      </c>
      <c r="Q52" s="2">
        <f t="shared" si="3"/>
        <v>0.21875000000000019</v>
      </c>
      <c r="R52" s="2">
        <f t="shared" si="4"/>
        <v>0.22442857142857164</v>
      </c>
      <c r="S52" s="2">
        <f t="shared" si="5"/>
        <v>-5.6785714285714495E-3</v>
      </c>
      <c r="Y52" s="1"/>
      <c r="AA52" s="1">
        <f ca="1">AC52/AC51</f>
        <v>0.87038070428916825</v>
      </c>
      <c r="AB52" s="23" t="s">
        <v>80</v>
      </c>
      <c r="AC52" s="24">
        <f ca="1">(AC50/AC43)*100</f>
        <v>42.254996847233464</v>
      </c>
    </row>
    <row r="53" spans="2:32" x14ac:dyDescent="0.25">
      <c r="B53" s="1">
        <f t="shared" si="6"/>
        <v>47</v>
      </c>
      <c r="C53" s="1">
        <v>115</v>
      </c>
      <c r="D53" s="13">
        <v>43.8</v>
      </c>
      <c r="E53" s="1" t="s">
        <v>11</v>
      </c>
      <c r="F53" s="2">
        <v>0.255</v>
      </c>
      <c r="G53" s="1" t="s">
        <v>12</v>
      </c>
      <c r="H53" s="1" t="s">
        <v>13</v>
      </c>
      <c r="I53" s="1" t="s">
        <v>14</v>
      </c>
      <c r="J53" s="14">
        <v>0.64171296296296299</v>
      </c>
      <c r="K53" s="15">
        <v>44751</v>
      </c>
      <c r="L53" s="15"/>
      <c r="M53" s="2">
        <v>0.23500000000000001</v>
      </c>
      <c r="O53" s="2">
        <f t="shared" si="1"/>
        <v>0.16500000000000001</v>
      </c>
      <c r="P53" s="2">
        <f t="shared" si="2"/>
        <v>44.908571428571427</v>
      </c>
      <c r="Q53" s="2">
        <f t="shared" si="3"/>
        <v>0.21875000000000019</v>
      </c>
      <c r="R53" s="2">
        <f t="shared" si="4"/>
        <v>0.22465714285714306</v>
      </c>
      <c r="S53" s="2">
        <f t="shared" si="5"/>
        <v>-5.9071428571428608E-3</v>
      </c>
      <c r="Y53" s="1"/>
      <c r="AB53" t="s">
        <v>93</v>
      </c>
      <c r="AC53" s="2">
        <f ca="1">X44-X47</f>
        <v>0.62000000000000011</v>
      </c>
    </row>
    <row r="54" spans="2:32" x14ac:dyDescent="0.25">
      <c r="B54" s="1">
        <f t="shared" si="6"/>
        <v>48</v>
      </c>
      <c r="C54" s="1">
        <v>117</v>
      </c>
      <c r="D54" s="13">
        <v>43.7</v>
      </c>
      <c r="E54" s="1" t="s">
        <v>11</v>
      </c>
      <c r="F54" s="2">
        <v>0.26</v>
      </c>
      <c r="G54" s="1" t="s">
        <v>12</v>
      </c>
      <c r="H54" s="1" t="s">
        <v>13</v>
      </c>
      <c r="I54" s="1" t="s">
        <v>14</v>
      </c>
      <c r="J54" s="14">
        <v>0.64171296296296299</v>
      </c>
      <c r="K54" s="15">
        <v>44751</v>
      </c>
      <c r="L54" s="15"/>
      <c r="M54" s="2">
        <v>0.24000000000000002</v>
      </c>
      <c r="O54" s="2">
        <f t="shared" si="1"/>
        <v>0.17</v>
      </c>
      <c r="P54" s="2">
        <f t="shared" si="2"/>
        <v>44.95428571428571</v>
      </c>
      <c r="Q54" s="2">
        <f t="shared" si="3"/>
        <v>0.21850000000000022</v>
      </c>
      <c r="R54" s="2">
        <f t="shared" si="4"/>
        <v>0.22488571428571447</v>
      </c>
      <c r="S54" s="2">
        <f t="shared" si="5"/>
        <v>-6.3857142857142446E-3</v>
      </c>
      <c r="Y54" s="1"/>
      <c r="AB54" t="s">
        <v>82</v>
      </c>
      <c r="AC54" s="2">
        <f ca="1">AC43-AC50</f>
        <v>-6.0899571428571484</v>
      </c>
    </row>
    <row r="55" spans="2:32" x14ac:dyDescent="0.25">
      <c r="B55" s="1">
        <f t="shared" si="6"/>
        <v>49</v>
      </c>
      <c r="C55" s="1">
        <v>119</v>
      </c>
      <c r="D55" s="13">
        <v>43.7</v>
      </c>
      <c r="E55" s="1" t="s">
        <v>11</v>
      </c>
      <c r="F55" s="2">
        <v>0.26500000000000001</v>
      </c>
      <c r="G55" s="1" t="s">
        <v>12</v>
      </c>
      <c r="H55" s="1" t="s">
        <v>13</v>
      </c>
      <c r="I55" s="1" t="s">
        <v>14</v>
      </c>
      <c r="J55" s="14">
        <v>0.64172453703703702</v>
      </c>
      <c r="K55" s="15">
        <v>44751</v>
      </c>
      <c r="L55" s="15"/>
      <c r="M55" s="2">
        <v>0.24500000000000002</v>
      </c>
      <c r="O55" s="2">
        <f t="shared" si="1"/>
        <v>0.17500000000000002</v>
      </c>
      <c r="P55" s="2">
        <f t="shared" si="2"/>
        <v>45</v>
      </c>
      <c r="Q55" s="2">
        <f t="shared" si="3"/>
        <v>0.218499999999999</v>
      </c>
      <c r="R55" s="2">
        <f t="shared" si="4"/>
        <v>0.22511428571428466</v>
      </c>
      <c r="S55" s="2">
        <f t="shared" si="5"/>
        <v>-6.6142857142856559E-3</v>
      </c>
      <c r="Y55" s="1"/>
      <c r="AB55" t="s">
        <v>94</v>
      </c>
      <c r="AC55" s="2">
        <f ca="1">100-AC51</f>
        <v>51.452282157676365</v>
      </c>
    </row>
    <row r="56" spans="2:32" x14ac:dyDescent="0.25">
      <c r="B56" s="1">
        <f t="shared" si="6"/>
        <v>50</v>
      </c>
      <c r="C56" s="1">
        <v>122</v>
      </c>
      <c r="D56" s="13">
        <v>43.7</v>
      </c>
      <c r="E56" s="1" t="s">
        <v>11</v>
      </c>
      <c r="F56" s="2">
        <v>0.27</v>
      </c>
      <c r="G56" s="1" t="s">
        <v>12</v>
      </c>
      <c r="H56" s="1" t="s">
        <v>13</v>
      </c>
      <c r="I56" s="1" t="s">
        <v>14</v>
      </c>
      <c r="J56" s="14">
        <v>0.64172453703703702</v>
      </c>
      <c r="K56" s="15">
        <v>44751</v>
      </c>
      <c r="L56" s="15"/>
      <c r="M56" s="2">
        <v>0.25</v>
      </c>
      <c r="O56" s="2">
        <f t="shared" si="1"/>
        <v>0.18</v>
      </c>
      <c r="P56" s="2">
        <f t="shared" si="2"/>
        <v>45.045714285714283</v>
      </c>
      <c r="Q56" s="2">
        <f t="shared" si="3"/>
        <v>0.21900000000000017</v>
      </c>
      <c r="R56" s="2">
        <f t="shared" si="4"/>
        <v>0.22534285714285734</v>
      </c>
      <c r="S56" s="2">
        <f t="shared" si="5"/>
        <v>-6.3428571428571778E-3</v>
      </c>
      <c r="Y56" s="1"/>
      <c r="AA56" s="1">
        <f ca="1">AC56/AC55</f>
        <v>1.1223020774045751</v>
      </c>
      <c r="AB56" t="s">
        <v>83</v>
      </c>
      <c r="AC56" s="2">
        <f ca="1">100-AC52</f>
        <v>57.745003152766536</v>
      </c>
    </row>
    <row r="57" spans="2:32" x14ac:dyDescent="0.25">
      <c r="B57" s="1">
        <f t="shared" si="6"/>
        <v>51</v>
      </c>
      <c r="C57" s="1">
        <v>125</v>
      </c>
      <c r="D57" s="13">
        <v>43.9</v>
      </c>
      <c r="E57" s="1" t="s">
        <v>11</v>
      </c>
      <c r="F57" s="2">
        <v>0.27500000000000002</v>
      </c>
      <c r="G57" s="1" t="s">
        <v>12</v>
      </c>
      <c r="H57" s="1" t="s">
        <v>13</v>
      </c>
      <c r="I57" s="1" t="s">
        <v>14</v>
      </c>
      <c r="J57" s="14">
        <v>0.64172453703703702</v>
      </c>
      <c r="K57" s="15">
        <v>44751</v>
      </c>
      <c r="L57" s="15"/>
      <c r="M57" s="2">
        <v>0.255</v>
      </c>
      <c r="O57" s="2">
        <f t="shared" si="1"/>
        <v>0.185</v>
      </c>
      <c r="P57" s="2">
        <f t="shared" si="2"/>
        <v>45.091428571428573</v>
      </c>
      <c r="Q57" s="2">
        <f t="shared" si="3"/>
        <v>0.21975000000000022</v>
      </c>
      <c r="R57" s="2">
        <f t="shared" si="4"/>
        <v>0.22557142857142876</v>
      </c>
      <c r="S57" s="2">
        <f t="shared" si="5"/>
        <v>-5.821428571428533E-3</v>
      </c>
      <c r="Y57" s="1"/>
    </row>
    <row r="58" spans="2:32" x14ac:dyDescent="0.25">
      <c r="B58" s="1">
        <f t="shared" si="6"/>
        <v>52</v>
      </c>
      <c r="C58" s="1">
        <v>129</v>
      </c>
      <c r="D58" s="13">
        <v>44</v>
      </c>
      <c r="E58" s="1" t="s">
        <v>11</v>
      </c>
      <c r="F58" s="2">
        <v>0.28000000000000003</v>
      </c>
      <c r="G58" s="1" t="s">
        <v>12</v>
      </c>
      <c r="H58" s="1" t="s">
        <v>13</v>
      </c>
      <c r="I58" s="1" t="s">
        <v>14</v>
      </c>
      <c r="J58" s="14">
        <v>0.64173611111111117</v>
      </c>
      <c r="K58" s="15">
        <v>44751</v>
      </c>
      <c r="L58" s="15"/>
      <c r="M58" s="2">
        <v>0.26</v>
      </c>
      <c r="O58" s="2">
        <f t="shared" si="1"/>
        <v>0.19</v>
      </c>
      <c r="P58" s="2">
        <f t="shared" si="2"/>
        <v>45.137142857142855</v>
      </c>
      <c r="Q58" s="2">
        <f t="shared" si="3"/>
        <v>0.22049999999999775</v>
      </c>
      <c r="R58" s="2">
        <f t="shared" si="4"/>
        <v>0.22579999999999767</v>
      </c>
      <c r="S58" s="2">
        <f t="shared" si="5"/>
        <v>-5.2999999999999159E-3</v>
      </c>
      <c r="W58" s="1" t="s">
        <v>21</v>
      </c>
      <c r="X58" s="22">
        <v>3.0649999999999999</v>
      </c>
      <c r="Y58" s="1">
        <f>_xlfn.XLOOKUP(X58,M$7:M$2001,D$7:D$2001,0,-1)</f>
        <v>70.099999999999994</v>
      </c>
      <c r="Z58" s="1" cm="1">
        <f t="array" aca="1" ref="Z58" ca="1">CELL("row",_xlfn.XLOOKUP(X58,M$7:M$2001,D$7:D$2001,0,-1))</f>
        <v>582</v>
      </c>
      <c r="AA58" s="1">
        <f t="shared" ref="AA58" ca="1" si="12">Z58-6</f>
        <v>576</v>
      </c>
      <c r="AB58" t="s">
        <v>65</v>
      </c>
      <c r="AC58" s="2">
        <f ca="1">SUM(INDEX(C7:S1000,AA58,17):(INDEX(C7:S1000,AA59,17)))</f>
        <v>0.31057857142859663</v>
      </c>
      <c r="AF58" t="s">
        <v>33</v>
      </c>
    </row>
    <row r="59" spans="2:32" x14ac:dyDescent="0.25">
      <c r="B59" s="1">
        <f t="shared" si="6"/>
        <v>53</v>
      </c>
      <c r="C59" s="1">
        <v>131</v>
      </c>
      <c r="D59" s="13">
        <v>44.2</v>
      </c>
      <c r="E59" s="1" t="s">
        <v>11</v>
      </c>
      <c r="F59" s="2">
        <v>0.28499999999999998</v>
      </c>
      <c r="G59" s="1" t="s">
        <v>12</v>
      </c>
      <c r="H59" s="1" t="s">
        <v>13</v>
      </c>
      <c r="I59" s="1" t="s">
        <v>14</v>
      </c>
      <c r="J59" s="14">
        <v>0.64173611111111117</v>
      </c>
      <c r="K59" s="15">
        <v>44751</v>
      </c>
      <c r="L59" s="15"/>
      <c r="M59" s="2">
        <v>0.26499999999999996</v>
      </c>
      <c r="O59" s="2">
        <f t="shared" si="1"/>
        <v>0.19499999999999995</v>
      </c>
      <c r="P59" s="2">
        <f t="shared" si="2"/>
        <v>45.182857142857145</v>
      </c>
      <c r="Q59" s="2">
        <f t="shared" si="3"/>
        <v>0.2217500000000002</v>
      </c>
      <c r="R59" s="2">
        <f t="shared" si="4"/>
        <v>0.22602857142857163</v>
      </c>
      <c r="S59" s="2">
        <f t="shared" si="5"/>
        <v>-4.2785714285714371E-3</v>
      </c>
      <c r="W59" s="1" t="s">
        <v>22</v>
      </c>
      <c r="X59" s="22">
        <v>4.0949999999999998</v>
      </c>
      <c r="Y59" s="1">
        <f>_xlfn.XLOOKUP(X59,M$7:M$2001,D$7:D$2001,0,-1)</f>
        <v>80.2</v>
      </c>
      <c r="Z59" s="1" cm="1">
        <f t="array" aca="1" ref="Z59" ca="1">CELL("row",_xlfn.XLOOKUP(X59,M$7:M$2001,D$7:D$2001,0,-1))</f>
        <v>782</v>
      </c>
      <c r="AA59" s="1">
        <f ca="1">Z59-6</f>
        <v>776</v>
      </c>
      <c r="AB59" t="s">
        <v>96</v>
      </c>
      <c r="AC59" s="2">
        <f>X59-X58</f>
        <v>1.0299999999999998</v>
      </c>
      <c r="AF59" t="s">
        <v>49</v>
      </c>
    </row>
    <row r="60" spans="2:32" x14ac:dyDescent="0.25">
      <c r="B60" s="1">
        <f t="shared" si="6"/>
        <v>54</v>
      </c>
      <c r="C60" s="1">
        <v>133</v>
      </c>
      <c r="D60" s="13">
        <v>44.5</v>
      </c>
      <c r="E60" s="1" t="s">
        <v>11</v>
      </c>
      <c r="F60" s="2">
        <v>0.28999999999999998</v>
      </c>
      <c r="G60" s="1" t="s">
        <v>12</v>
      </c>
      <c r="H60" s="1" t="s">
        <v>13</v>
      </c>
      <c r="I60" s="1" t="s">
        <v>14</v>
      </c>
      <c r="J60" s="14">
        <v>0.64173611111111117</v>
      </c>
      <c r="K60" s="15">
        <v>44751</v>
      </c>
      <c r="L60" s="15"/>
      <c r="M60" s="2">
        <v>0.26999999999999996</v>
      </c>
      <c r="O60" s="2">
        <f t="shared" si="1"/>
        <v>0.19999999999999996</v>
      </c>
      <c r="P60" s="2">
        <f t="shared" si="2"/>
        <v>45.228571428571428</v>
      </c>
      <c r="Q60" s="2">
        <f t="shared" si="3"/>
        <v>0.22275000000000017</v>
      </c>
      <c r="R60" s="2">
        <f t="shared" si="4"/>
        <v>0.22625714285714305</v>
      </c>
      <c r="S60" s="2">
        <f t="shared" si="5"/>
        <v>-3.5071428571428753E-3</v>
      </c>
      <c r="Y60" s="1"/>
      <c r="AB60" t="s">
        <v>68</v>
      </c>
      <c r="AC60" s="2">
        <f>AC59/(AC59+AC47+AC32+AC24) * 100</f>
        <v>25.590062111801242</v>
      </c>
      <c r="AF60" t="s">
        <v>53</v>
      </c>
    </row>
    <row r="61" spans="2:32" x14ac:dyDescent="0.25">
      <c r="B61" s="1">
        <f t="shared" si="6"/>
        <v>55</v>
      </c>
      <c r="C61" s="1">
        <v>134</v>
      </c>
      <c r="D61" s="13">
        <v>44.6</v>
      </c>
      <c r="E61" s="1" t="s">
        <v>11</v>
      </c>
      <c r="F61" s="2">
        <v>0.29499999999999998</v>
      </c>
      <c r="G61" s="1" t="s">
        <v>12</v>
      </c>
      <c r="H61" s="1" t="s">
        <v>13</v>
      </c>
      <c r="I61" s="1" t="s">
        <v>14</v>
      </c>
      <c r="J61" s="14">
        <v>0.64173611111111117</v>
      </c>
      <c r="K61" s="15">
        <v>44751</v>
      </c>
      <c r="L61" s="15"/>
      <c r="M61" s="2">
        <v>0.27499999999999997</v>
      </c>
      <c r="O61" s="2">
        <f t="shared" si="1"/>
        <v>0.20499999999999996</v>
      </c>
      <c r="P61" s="2">
        <f t="shared" si="2"/>
        <v>45.27428571428571</v>
      </c>
      <c r="Q61" s="2">
        <f t="shared" si="3"/>
        <v>0.22325000000000023</v>
      </c>
      <c r="R61" s="2">
        <f t="shared" si="4"/>
        <v>0.22648571428571448</v>
      </c>
      <c r="S61" s="2">
        <f t="shared" si="5"/>
        <v>-3.2357142857142585E-3</v>
      </c>
    </row>
    <row r="62" spans="2:32" x14ac:dyDescent="0.25">
      <c r="B62" s="1">
        <f t="shared" si="6"/>
        <v>56</v>
      </c>
      <c r="C62" s="1">
        <v>135</v>
      </c>
      <c r="D62" s="13">
        <v>44.7</v>
      </c>
      <c r="E62" s="1" t="s">
        <v>11</v>
      </c>
      <c r="F62" s="2">
        <v>0.3</v>
      </c>
      <c r="G62" s="1" t="s">
        <v>12</v>
      </c>
      <c r="H62" s="1" t="s">
        <v>13</v>
      </c>
      <c r="I62" s="1" t="s">
        <v>14</v>
      </c>
      <c r="J62" s="14">
        <v>0.64173611111111117</v>
      </c>
      <c r="K62" s="15">
        <v>44751</v>
      </c>
      <c r="L62" s="15"/>
      <c r="M62" s="2">
        <v>0.27999999999999997</v>
      </c>
      <c r="O62" s="2">
        <f t="shared" si="1"/>
        <v>0.20999999999999996</v>
      </c>
      <c r="P62" s="2">
        <f t="shared" si="2"/>
        <v>45.32</v>
      </c>
      <c r="Q62" s="2">
        <f t="shared" si="3"/>
        <v>0.22350000000000023</v>
      </c>
      <c r="R62" s="2">
        <f t="shared" si="4"/>
        <v>0.2267142857142859</v>
      </c>
      <c r="S62" s="2">
        <f t="shared" si="5"/>
        <v>-3.2142857142856696E-3</v>
      </c>
    </row>
    <row r="63" spans="2:32" x14ac:dyDescent="0.25">
      <c r="B63" s="1">
        <f t="shared" si="6"/>
        <v>57</v>
      </c>
      <c r="C63" s="1">
        <v>136</v>
      </c>
      <c r="D63" s="13">
        <v>44.7</v>
      </c>
      <c r="E63" s="1" t="s">
        <v>11</v>
      </c>
      <c r="F63" s="2">
        <v>0.30499999999999999</v>
      </c>
      <c r="G63" s="1" t="s">
        <v>12</v>
      </c>
      <c r="H63" s="1" t="s">
        <v>13</v>
      </c>
      <c r="I63" s="1" t="s">
        <v>14</v>
      </c>
      <c r="J63" s="14">
        <v>0.64173611111111117</v>
      </c>
      <c r="K63" s="15">
        <v>44751</v>
      </c>
      <c r="L63" s="15"/>
      <c r="M63" s="2">
        <v>0.28499999999999998</v>
      </c>
      <c r="O63" s="2">
        <f t="shared" si="1"/>
        <v>0.21499999999999997</v>
      </c>
      <c r="P63" s="2">
        <f t="shared" si="2"/>
        <v>45.365714285714283</v>
      </c>
      <c r="Q63" s="2">
        <f t="shared" si="3"/>
        <v>0.2242500000000002</v>
      </c>
      <c r="R63" s="2">
        <f t="shared" si="4"/>
        <v>0.22694285714285733</v>
      </c>
      <c r="S63" s="2">
        <f t="shared" si="5"/>
        <v>-2.6928571428571357E-3</v>
      </c>
    </row>
    <row r="64" spans="2:32" x14ac:dyDescent="0.25">
      <c r="B64" s="1">
        <f t="shared" si="6"/>
        <v>58</v>
      </c>
      <c r="C64" s="1">
        <v>138</v>
      </c>
      <c r="D64" s="13">
        <v>45</v>
      </c>
      <c r="E64" s="1" t="s">
        <v>11</v>
      </c>
      <c r="F64" s="2">
        <v>0.31</v>
      </c>
      <c r="G64" s="1" t="s">
        <v>12</v>
      </c>
      <c r="H64" s="1" t="s">
        <v>13</v>
      </c>
      <c r="I64" s="1" t="s">
        <v>14</v>
      </c>
      <c r="J64" s="14">
        <v>0.64173611111111117</v>
      </c>
      <c r="K64" s="15">
        <v>44751</v>
      </c>
      <c r="L64" s="15"/>
      <c r="M64" s="2">
        <v>0.28999999999999998</v>
      </c>
      <c r="O64" s="2">
        <f t="shared" si="1"/>
        <v>0.21999999999999997</v>
      </c>
      <c r="P64" s="2">
        <f t="shared" si="2"/>
        <v>45.411428571428573</v>
      </c>
      <c r="Q64" s="2">
        <f t="shared" si="3"/>
        <v>0.4500000000000004</v>
      </c>
      <c r="R64" s="2">
        <f t="shared" si="4"/>
        <v>0.45457142857142896</v>
      </c>
      <c r="S64" s="2">
        <f t="shared" si="5"/>
        <v>-4.5714285714285596E-3</v>
      </c>
    </row>
    <row r="65" spans="2:19" x14ac:dyDescent="0.25">
      <c r="B65" s="1">
        <f t="shared" si="6"/>
        <v>59</v>
      </c>
      <c r="C65" s="1">
        <v>139</v>
      </c>
      <c r="D65" s="13">
        <v>45</v>
      </c>
      <c r="E65" s="1" t="s">
        <v>11</v>
      </c>
      <c r="F65" s="2">
        <v>0.32</v>
      </c>
      <c r="G65" s="1" t="s">
        <v>12</v>
      </c>
      <c r="H65" s="1" t="s">
        <v>13</v>
      </c>
      <c r="I65" s="1" t="s">
        <v>14</v>
      </c>
      <c r="J65" s="14">
        <v>0.64174768518518521</v>
      </c>
      <c r="K65" s="15">
        <v>44751</v>
      </c>
      <c r="L65" s="15"/>
      <c r="M65" s="2">
        <v>0.3</v>
      </c>
      <c r="O65" s="2">
        <f t="shared" si="1"/>
        <v>0.22999999999999998</v>
      </c>
      <c r="P65" s="2">
        <f t="shared" si="2"/>
        <v>45.502857142857138</v>
      </c>
      <c r="Q65" s="2">
        <f t="shared" si="3"/>
        <v>0.4500000000000004</v>
      </c>
      <c r="R65" s="2">
        <f t="shared" si="4"/>
        <v>0.4554857142857146</v>
      </c>
      <c r="S65" s="2">
        <f t="shared" si="5"/>
        <v>-5.4857142857142049E-3</v>
      </c>
    </row>
    <row r="66" spans="2:19" x14ac:dyDescent="0.25">
      <c r="B66" s="1">
        <f t="shared" si="6"/>
        <v>60</v>
      </c>
      <c r="C66" s="1">
        <v>140</v>
      </c>
      <c r="D66" s="13">
        <v>45</v>
      </c>
      <c r="E66" s="1" t="s">
        <v>11</v>
      </c>
      <c r="F66" s="2">
        <v>0.33</v>
      </c>
      <c r="G66" s="1" t="s">
        <v>12</v>
      </c>
      <c r="H66" s="1" t="s">
        <v>13</v>
      </c>
      <c r="I66" s="1" t="s">
        <v>14</v>
      </c>
      <c r="J66" s="14">
        <v>0.64174768518518521</v>
      </c>
      <c r="K66" s="15">
        <v>44751</v>
      </c>
      <c r="L66" s="15"/>
      <c r="M66" s="2">
        <v>0.31</v>
      </c>
      <c r="O66" s="2">
        <f t="shared" si="1"/>
        <v>0.24</v>
      </c>
      <c r="P66" s="2">
        <f t="shared" si="2"/>
        <v>45.594285714285711</v>
      </c>
      <c r="Q66" s="2">
        <f t="shared" si="3"/>
        <v>0.45050000000000034</v>
      </c>
      <c r="R66" s="2">
        <f t="shared" si="4"/>
        <v>0.45640000000000042</v>
      </c>
      <c r="S66" s="2">
        <f t="shared" si="5"/>
        <v>-5.9000000000000719E-3</v>
      </c>
    </row>
    <row r="67" spans="2:19" x14ac:dyDescent="0.25">
      <c r="B67" s="1">
        <f t="shared" si="6"/>
        <v>61</v>
      </c>
      <c r="C67" s="1">
        <v>141</v>
      </c>
      <c r="D67" s="13">
        <v>45.1</v>
      </c>
      <c r="E67" s="1" t="s">
        <v>11</v>
      </c>
      <c r="F67" s="2">
        <v>0.34</v>
      </c>
      <c r="G67" s="1" t="s">
        <v>12</v>
      </c>
      <c r="H67" s="1" t="s">
        <v>13</v>
      </c>
      <c r="I67" s="1" t="s">
        <v>14</v>
      </c>
      <c r="J67" s="14">
        <v>0.64174768518518521</v>
      </c>
      <c r="K67" s="15">
        <v>44751</v>
      </c>
      <c r="L67" s="15"/>
      <c r="M67" s="2">
        <v>0.32</v>
      </c>
      <c r="O67" s="2">
        <f t="shared" si="1"/>
        <v>0.25</v>
      </c>
      <c r="P67" s="2">
        <f t="shared" si="2"/>
        <v>45.685714285714283</v>
      </c>
      <c r="Q67" s="2">
        <f t="shared" si="3"/>
        <v>0.2259999999999977</v>
      </c>
      <c r="R67" s="2">
        <f t="shared" si="4"/>
        <v>0.22854285714285483</v>
      </c>
      <c r="S67" s="2">
        <f t="shared" si="5"/>
        <v>-2.5428571428571245E-3</v>
      </c>
    </row>
    <row r="68" spans="2:19" x14ac:dyDescent="0.25">
      <c r="B68" s="1">
        <f t="shared" si="6"/>
        <v>62</v>
      </c>
      <c r="C68" s="1">
        <v>142</v>
      </c>
      <c r="D68" s="13">
        <v>45.3</v>
      </c>
      <c r="E68" s="1" t="s">
        <v>11</v>
      </c>
      <c r="F68" s="2">
        <v>0.34499999999999997</v>
      </c>
      <c r="G68" s="1" t="s">
        <v>12</v>
      </c>
      <c r="H68" s="1" t="s">
        <v>13</v>
      </c>
      <c r="I68" s="1" t="s">
        <v>14</v>
      </c>
      <c r="J68" s="14">
        <v>0.64174768518518521</v>
      </c>
      <c r="K68" s="15">
        <v>44751</v>
      </c>
      <c r="L68" s="15"/>
      <c r="M68" s="2">
        <v>0.32499999999999996</v>
      </c>
      <c r="O68" s="2">
        <f t="shared" si="1"/>
        <v>0.25499999999999995</v>
      </c>
      <c r="P68" s="2">
        <f t="shared" si="2"/>
        <v>45.731428571428573</v>
      </c>
      <c r="Q68" s="2">
        <f t="shared" si="3"/>
        <v>0.2270000000000002</v>
      </c>
      <c r="R68" s="2">
        <f t="shared" si="4"/>
        <v>0.22877142857142876</v>
      </c>
      <c r="S68" s="2">
        <f t="shared" si="5"/>
        <v>-1.7714285714285627E-3</v>
      </c>
    </row>
    <row r="69" spans="2:19" x14ac:dyDescent="0.25">
      <c r="B69" s="1">
        <f t="shared" si="6"/>
        <v>63</v>
      </c>
      <c r="C69" s="1">
        <v>143</v>
      </c>
      <c r="D69" s="13">
        <v>45.5</v>
      </c>
      <c r="E69" s="1" t="s">
        <v>11</v>
      </c>
      <c r="F69" s="2">
        <v>0.35</v>
      </c>
      <c r="G69" s="1" t="s">
        <v>12</v>
      </c>
      <c r="H69" s="1" t="s">
        <v>13</v>
      </c>
      <c r="I69" s="1" t="s">
        <v>14</v>
      </c>
      <c r="J69" s="14">
        <v>0.64174768518518521</v>
      </c>
      <c r="K69" s="15">
        <v>44751</v>
      </c>
      <c r="L69" s="15"/>
      <c r="M69" s="2">
        <v>0.32999999999999996</v>
      </c>
      <c r="O69" s="2">
        <f t="shared" si="1"/>
        <v>0.25999999999999995</v>
      </c>
      <c r="P69" s="2">
        <f t="shared" si="2"/>
        <v>45.777142857142856</v>
      </c>
      <c r="Q69" s="2">
        <f t="shared" si="3"/>
        <v>0.22850000000000023</v>
      </c>
      <c r="R69" s="2">
        <f t="shared" si="4"/>
        <v>0.22900000000000018</v>
      </c>
      <c r="S69" s="2">
        <f t="shared" si="5"/>
        <v>-4.9999999999994493E-4</v>
      </c>
    </row>
    <row r="70" spans="2:19" x14ac:dyDescent="0.25">
      <c r="B70" s="1">
        <f t="shared" si="6"/>
        <v>64</v>
      </c>
      <c r="C70" s="1">
        <v>145</v>
      </c>
      <c r="D70" s="13">
        <v>45.9</v>
      </c>
      <c r="E70" s="1" t="s">
        <v>11</v>
      </c>
      <c r="F70" s="2">
        <v>0.35499999999999998</v>
      </c>
      <c r="G70" s="1" t="s">
        <v>12</v>
      </c>
      <c r="H70" s="1" t="s">
        <v>13</v>
      </c>
      <c r="I70" s="1" t="s">
        <v>14</v>
      </c>
      <c r="J70" s="14">
        <v>0.64174768518518521</v>
      </c>
      <c r="K70" s="15">
        <v>44751</v>
      </c>
      <c r="L70" s="15"/>
      <c r="M70" s="2">
        <v>0.33499999999999996</v>
      </c>
      <c r="O70" s="2">
        <f t="shared" si="1"/>
        <v>0.26499999999999996</v>
      </c>
      <c r="P70" s="2">
        <f t="shared" si="2"/>
        <v>45.822857142857146</v>
      </c>
      <c r="Q70" s="2">
        <f t="shared" si="3"/>
        <v>0.2300000000000002</v>
      </c>
      <c r="R70" s="2">
        <f t="shared" si="4"/>
        <v>0.22922857142857164</v>
      </c>
      <c r="S70" s="2">
        <f t="shared" si="5"/>
        <v>7.714285714285618E-4</v>
      </c>
    </row>
    <row r="71" spans="2:19" x14ac:dyDescent="0.25">
      <c r="B71" s="1">
        <f t="shared" si="6"/>
        <v>65</v>
      </c>
      <c r="C71" s="1">
        <v>146</v>
      </c>
      <c r="D71" s="13">
        <v>46.1</v>
      </c>
      <c r="E71" s="1" t="s">
        <v>11</v>
      </c>
      <c r="F71" s="2">
        <v>0.36</v>
      </c>
      <c r="G71" s="1" t="s">
        <v>12</v>
      </c>
      <c r="H71" s="1" t="s">
        <v>13</v>
      </c>
      <c r="I71" s="1" t="s">
        <v>14</v>
      </c>
      <c r="J71" s="14">
        <v>0.64174768518518521</v>
      </c>
      <c r="K71" s="15">
        <v>44751</v>
      </c>
      <c r="L71" s="15"/>
      <c r="M71" s="2">
        <v>0.33999999999999997</v>
      </c>
      <c r="O71" s="2">
        <f t="shared" si="1"/>
        <v>0.26999999999999996</v>
      </c>
      <c r="P71" s="2">
        <f t="shared" si="2"/>
        <v>45.868571428571428</v>
      </c>
      <c r="Q71" s="2">
        <f t="shared" si="3"/>
        <v>0.23150000000000018</v>
      </c>
      <c r="R71" s="2">
        <f t="shared" si="4"/>
        <v>0.22945714285714305</v>
      </c>
      <c r="S71" s="2">
        <f t="shared" si="5"/>
        <v>2.0428571428571241E-3</v>
      </c>
    </row>
    <row r="72" spans="2:19" x14ac:dyDescent="0.25">
      <c r="B72" s="1">
        <f t="shared" si="6"/>
        <v>66</v>
      </c>
      <c r="C72" s="1">
        <v>147</v>
      </c>
      <c r="D72" s="13">
        <v>46.5</v>
      </c>
      <c r="E72" s="1" t="s">
        <v>11</v>
      </c>
      <c r="F72" s="2">
        <v>0.36499999999999999</v>
      </c>
      <c r="G72" s="1" t="s">
        <v>12</v>
      </c>
      <c r="H72" s="1" t="s">
        <v>13</v>
      </c>
      <c r="I72" s="1" t="s">
        <v>14</v>
      </c>
      <c r="J72" s="14">
        <v>0.64174768518518521</v>
      </c>
      <c r="K72" s="15">
        <v>44751</v>
      </c>
      <c r="L72" s="15"/>
      <c r="M72" s="2">
        <v>0.34499999999999997</v>
      </c>
      <c r="O72" s="2">
        <f t="shared" ref="O72:O135" si="13">M72-$X$23</f>
        <v>0.27499999999999997</v>
      </c>
      <c r="P72" s="2">
        <f t="shared" ref="P72:P135" si="14">O72*$AC$21+$Y$23</f>
        <v>45.914285714285711</v>
      </c>
      <c r="Q72" s="2">
        <f t="shared" ref="Q72:Q135" si="15">((D72+D73)/2)*(M73-M72)</f>
        <v>0.23350000000000024</v>
      </c>
      <c r="R72" s="2">
        <f t="shared" ref="R72:R135" si="16">((P72+P73)/2)*(O73-O72)</f>
        <v>0.22968571428571449</v>
      </c>
      <c r="S72" s="2">
        <f t="shared" ref="S72:S135" si="17">Q72-R72</f>
        <v>3.8142857142857423E-3</v>
      </c>
    </row>
    <row r="73" spans="2:19" x14ac:dyDescent="0.25">
      <c r="B73" s="1">
        <f t="shared" ref="B73:B136" si="18">B72+1</f>
        <v>67</v>
      </c>
      <c r="C73" s="1">
        <v>148</v>
      </c>
      <c r="D73" s="13">
        <v>46.9</v>
      </c>
      <c r="E73" s="1" t="s">
        <v>11</v>
      </c>
      <c r="F73" s="2">
        <v>0.37</v>
      </c>
      <c r="G73" s="1" t="s">
        <v>12</v>
      </c>
      <c r="H73" s="1" t="s">
        <v>13</v>
      </c>
      <c r="I73" s="1" t="s">
        <v>14</v>
      </c>
      <c r="J73" s="14">
        <v>0.64174768518518521</v>
      </c>
      <c r="K73" s="15">
        <v>44751</v>
      </c>
      <c r="L73" s="15"/>
      <c r="M73" s="2">
        <v>0.35</v>
      </c>
      <c r="O73" s="2">
        <f t="shared" si="13"/>
        <v>0.27999999999999997</v>
      </c>
      <c r="P73" s="2">
        <f t="shared" si="14"/>
        <v>45.96</v>
      </c>
      <c r="Q73" s="2">
        <f t="shared" si="15"/>
        <v>0.23650000000000018</v>
      </c>
      <c r="R73" s="2">
        <f t="shared" si="16"/>
        <v>0.2299142857142859</v>
      </c>
      <c r="S73" s="2">
        <f t="shared" si="17"/>
        <v>6.5857142857142781E-3</v>
      </c>
    </row>
    <row r="74" spans="2:19" x14ac:dyDescent="0.25">
      <c r="B74" s="1">
        <f t="shared" si="18"/>
        <v>68</v>
      </c>
      <c r="C74" s="1">
        <v>149</v>
      </c>
      <c r="D74" s="13">
        <v>47.7</v>
      </c>
      <c r="E74" s="1" t="s">
        <v>11</v>
      </c>
      <c r="F74" s="2">
        <v>0.375</v>
      </c>
      <c r="G74" s="1" t="s">
        <v>12</v>
      </c>
      <c r="H74" s="1" t="s">
        <v>13</v>
      </c>
      <c r="I74" s="1" t="s">
        <v>14</v>
      </c>
      <c r="J74" s="14">
        <v>0.64175925925925925</v>
      </c>
      <c r="K74" s="15">
        <v>44751</v>
      </c>
      <c r="L74" s="15"/>
      <c r="M74" s="2">
        <v>0.35499999999999998</v>
      </c>
      <c r="O74" s="2">
        <f t="shared" si="13"/>
        <v>0.28499999999999998</v>
      </c>
      <c r="P74" s="2">
        <f t="shared" si="14"/>
        <v>46.005714285714284</v>
      </c>
      <c r="Q74" s="2">
        <f t="shared" si="15"/>
        <v>0.24350000000000024</v>
      </c>
      <c r="R74" s="2">
        <f t="shared" si="16"/>
        <v>0.23014285714285732</v>
      </c>
      <c r="S74" s="2">
        <f t="shared" si="17"/>
        <v>1.3357142857142928E-2</v>
      </c>
    </row>
    <row r="75" spans="2:19" x14ac:dyDescent="0.25">
      <c r="B75" s="1">
        <f t="shared" si="18"/>
        <v>69</v>
      </c>
      <c r="C75" s="1">
        <v>151</v>
      </c>
      <c r="D75" s="13">
        <v>49.7</v>
      </c>
      <c r="E75" s="1" t="s">
        <v>11</v>
      </c>
      <c r="F75" s="2">
        <v>0.38</v>
      </c>
      <c r="G75" s="1" t="s">
        <v>12</v>
      </c>
      <c r="H75" s="1" t="s">
        <v>13</v>
      </c>
      <c r="I75" s="1" t="s">
        <v>14</v>
      </c>
      <c r="J75" s="14">
        <v>0.64175925925925925</v>
      </c>
      <c r="K75" s="15">
        <v>44751</v>
      </c>
      <c r="L75" s="15"/>
      <c r="M75" s="2">
        <v>0.36</v>
      </c>
      <c r="O75" s="2">
        <f t="shared" si="13"/>
        <v>0.28999999999999998</v>
      </c>
      <c r="P75" s="2">
        <f t="shared" si="14"/>
        <v>46.051428571428573</v>
      </c>
      <c r="Q75" s="2">
        <f t="shared" si="15"/>
        <v>0.25075000000000025</v>
      </c>
      <c r="R75" s="2">
        <f t="shared" si="16"/>
        <v>0.23037142857142878</v>
      </c>
      <c r="S75" s="2">
        <f t="shared" si="17"/>
        <v>2.0378571428571468E-2</v>
      </c>
    </row>
    <row r="76" spans="2:19" x14ac:dyDescent="0.25">
      <c r="B76" s="1">
        <f t="shared" si="18"/>
        <v>70</v>
      </c>
      <c r="C76" s="1">
        <v>152</v>
      </c>
      <c r="D76" s="13">
        <v>50.6</v>
      </c>
      <c r="E76" s="1" t="s">
        <v>11</v>
      </c>
      <c r="F76" s="2">
        <v>0.38500000000000001</v>
      </c>
      <c r="G76" s="1" t="s">
        <v>12</v>
      </c>
      <c r="H76" s="1" t="s">
        <v>13</v>
      </c>
      <c r="I76" s="1" t="s">
        <v>14</v>
      </c>
      <c r="J76" s="14">
        <v>0.64175925925925925</v>
      </c>
      <c r="K76" s="15">
        <v>44751</v>
      </c>
      <c r="L76" s="15"/>
      <c r="M76" s="2">
        <v>0.36499999999999999</v>
      </c>
      <c r="O76" s="2">
        <f t="shared" si="13"/>
        <v>0.29499999999999998</v>
      </c>
      <c r="P76" s="2">
        <f t="shared" si="14"/>
        <v>46.097142857142856</v>
      </c>
      <c r="Q76" s="2">
        <f t="shared" si="15"/>
        <v>0.2552500000000002</v>
      </c>
      <c r="R76" s="2">
        <f t="shared" si="16"/>
        <v>0.23060000000000019</v>
      </c>
      <c r="S76" s="2">
        <f t="shared" si="17"/>
        <v>2.4650000000000005E-2</v>
      </c>
    </row>
    <row r="77" spans="2:19" x14ac:dyDescent="0.25">
      <c r="B77" s="1">
        <f t="shared" si="18"/>
        <v>71</v>
      </c>
      <c r="C77" s="1">
        <v>153</v>
      </c>
      <c r="D77" s="13">
        <v>51.5</v>
      </c>
      <c r="E77" s="1" t="s">
        <v>11</v>
      </c>
      <c r="F77" s="2">
        <v>0.39</v>
      </c>
      <c r="G77" s="1" t="s">
        <v>12</v>
      </c>
      <c r="H77" s="1" t="s">
        <v>13</v>
      </c>
      <c r="I77" s="1" t="s">
        <v>14</v>
      </c>
      <c r="J77" s="14">
        <v>0.64175925925925925</v>
      </c>
      <c r="K77" s="15">
        <v>44751</v>
      </c>
      <c r="L77" s="15"/>
      <c r="M77" s="2">
        <v>0.37</v>
      </c>
      <c r="O77" s="2">
        <f t="shared" si="13"/>
        <v>0.3</v>
      </c>
      <c r="P77" s="2">
        <f t="shared" si="14"/>
        <v>46.142857142857139</v>
      </c>
      <c r="Q77" s="2">
        <f t="shared" si="15"/>
        <v>0.25925000000000026</v>
      </c>
      <c r="R77" s="2">
        <f t="shared" si="16"/>
        <v>0.23082857142857163</v>
      </c>
      <c r="S77" s="2">
        <f t="shared" si="17"/>
        <v>2.8421428571428625E-2</v>
      </c>
    </row>
    <row r="78" spans="2:19" x14ac:dyDescent="0.25">
      <c r="B78" s="1">
        <f t="shared" si="18"/>
        <v>72</v>
      </c>
      <c r="C78" s="1">
        <v>154</v>
      </c>
      <c r="D78" s="13">
        <v>52.2</v>
      </c>
      <c r="E78" s="1" t="s">
        <v>11</v>
      </c>
      <c r="F78" s="2">
        <v>0.39500000000000002</v>
      </c>
      <c r="G78" s="1" t="s">
        <v>12</v>
      </c>
      <c r="H78" s="1" t="s">
        <v>13</v>
      </c>
      <c r="I78" s="1" t="s">
        <v>14</v>
      </c>
      <c r="J78" s="14">
        <v>0.64175925925925925</v>
      </c>
      <c r="K78" s="15">
        <v>44751</v>
      </c>
      <c r="L78" s="15"/>
      <c r="M78" s="2">
        <v>0.375</v>
      </c>
      <c r="O78" s="2">
        <f t="shared" si="13"/>
        <v>0.30499999999999999</v>
      </c>
      <c r="P78" s="2">
        <f t="shared" si="14"/>
        <v>46.188571428571429</v>
      </c>
      <c r="Q78" s="2">
        <f t="shared" si="15"/>
        <v>0.26425000000000026</v>
      </c>
      <c r="R78" s="2">
        <f t="shared" si="16"/>
        <v>0.23105714285714304</v>
      </c>
      <c r="S78" s="2">
        <f t="shared" si="17"/>
        <v>3.3192857142857218E-2</v>
      </c>
    </row>
    <row r="79" spans="2:19" x14ac:dyDescent="0.25">
      <c r="B79" s="1">
        <f t="shared" si="18"/>
        <v>73</v>
      </c>
      <c r="C79" s="1">
        <v>156</v>
      </c>
      <c r="D79" s="13">
        <v>53.5</v>
      </c>
      <c r="E79" s="1" t="s">
        <v>11</v>
      </c>
      <c r="F79" s="2">
        <v>0.4</v>
      </c>
      <c r="G79" s="1" t="s">
        <v>12</v>
      </c>
      <c r="H79" s="1" t="s">
        <v>13</v>
      </c>
      <c r="I79" s="1" t="s">
        <v>14</v>
      </c>
      <c r="J79" s="14">
        <v>0.64175925925925925</v>
      </c>
      <c r="K79" s="15">
        <v>44751</v>
      </c>
      <c r="L79" s="15"/>
      <c r="M79" s="2">
        <v>0.38</v>
      </c>
      <c r="O79" s="2">
        <f t="shared" si="13"/>
        <v>0.31</v>
      </c>
      <c r="P79" s="2">
        <f t="shared" si="14"/>
        <v>46.234285714285711</v>
      </c>
      <c r="Q79" s="2">
        <f t="shared" si="15"/>
        <v>0.26925000000000027</v>
      </c>
      <c r="R79" s="2">
        <f t="shared" si="16"/>
        <v>0.23128571428571446</v>
      </c>
      <c r="S79" s="2">
        <f t="shared" si="17"/>
        <v>3.7964285714285811E-2</v>
      </c>
    </row>
    <row r="80" spans="2:19" x14ac:dyDescent="0.25">
      <c r="B80" s="1">
        <f t="shared" si="18"/>
        <v>74</v>
      </c>
      <c r="C80" s="1">
        <v>157</v>
      </c>
      <c r="D80" s="13">
        <v>54.2</v>
      </c>
      <c r="E80" s="1" t="s">
        <v>11</v>
      </c>
      <c r="F80" s="2">
        <v>0.40500000000000003</v>
      </c>
      <c r="G80" s="1" t="s">
        <v>12</v>
      </c>
      <c r="H80" s="1" t="s">
        <v>13</v>
      </c>
      <c r="I80" s="1" t="s">
        <v>14</v>
      </c>
      <c r="J80" s="14">
        <v>0.64175925925925925</v>
      </c>
      <c r="K80" s="15">
        <v>44751</v>
      </c>
      <c r="L80" s="15"/>
      <c r="M80" s="2">
        <v>0.38500000000000001</v>
      </c>
      <c r="O80" s="2">
        <f t="shared" si="13"/>
        <v>0.315</v>
      </c>
      <c r="P80" s="2">
        <f t="shared" si="14"/>
        <v>46.28</v>
      </c>
      <c r="Q80" s="2">
        <f t="shared" si="15"/>
        <v>0.27399999999999719</v>
      </c>
      <c r="R80" s="2">
        <f t="shared" si="16"/>
        <v>0.23151428571428334</v>
      </c>
      <c r="S80" s="2">
        <f t="shared" si="17"/>
        <v>4.2485714285713849E-2</v>
      </c>
    </row>
    <row r="81" spans="2:19" x14ac:dyDescent="0.25">
      <c r="B81" s="1">
        <f t="shared" si="18"/>
        <v>75</v>
      </c>
      <c r="C81" s="1">
        <v>159</v>
      </c>
      <c r="D81" s="13">
        <v>55.4</v>
      </c>
      <c r="E81" s="1" t="s">
        <v>11</v>
      </c>
      <c r="F81" s="2">
        <v>0.41</v>
      </c>
      <c r="G81" s="1" t="s">
        <v>12</v>
      </c>
      <c r="H81" s="1" t="s">
        <v>13</v>
      </c>
      <c r="I81" s="1" t="s">
        <v>14</v>
      </c>
      <c r="J81" s="14">
        <v>0.64177083333333329</v>
      </c>
      <c r="K81" s="15">
        <v>44751</v>
      </c>
      <c r="L81" s="15"/>
      <c r="M81" s="2">
        <v>0.38999999999999996</v>
      </c>
      <c r="O81" s="2">
        <f t="shared" si="13"/>
        <v>0.31999999999999995</v>
      </c>
      <c r="P81" s="2">
        <f t="shared" si="14"/>
        <v>46.325714285714284</v>
      </c>
      <c r="Q81" s="2">
        <f t="shared" si="15"/>
        <v>0.27775000000000022</v>
      </c>
      <c r="R81" s="2">
        <f t="shared" si="16"/>
        <v>0.23174285714285736</v>
      </c>
      <c r="S81" s="2">
        <f t="shared" si="17"/>
        <v>4.6007142857142858E-2</v>
      </c>
    </row>
    <row r="82" spans="2:19" x14ac:dyDescent="0.25">
      <c r="B82" s="1">
        <f t="shared" si="18"/>
        <v>76</v>
      </c>
      <c r="C82" s="1">
        <v>160</v>
      </c>
      <c r="D82" s="13">
        <v>55.7</v>
      </c>
      <c r="E82" s="1" t="s">
        <v>11</v>
      </c>
      <c r="F82" s="2">
        <v>0.41499999999999998</v>
      </c>
      <c r="G82" s="1" t="s">
        <v>12</v>
      </c>
      <c r="H82" s="1" t="s">
        <v>13</v>
      </c>
      <c r="I82" s="1" t="s">
        <v>14</v>
      </c>
      <c r="J82" s="14">
        <v>0.64177083333333329</v>
      </c>
      <c r="K82" s="15">
        <v>44751</v>
      </c>
      <c r="L82" s="15"/>
      <c r="M82" s="2">
        <v>0.39499999999999996</v>
      </c>
      <c r="O82" s="2">
        <f t="shared" si="13"/>
        <v>0.32499999999999996</v>
      </c>
      <c r="P82" s="2">
        <f t="shared" si="14"/>
        <v>46.371428571428574</v>
      </c>
      <c r="Q82" s="2">
        <f t="shared" si="15"/>
        <v>0.27925000000000028</v>
      </c>
      <c r="R82" s="2">
        <f t="shared" si="16"/>
        <v>0.23197142857142877</v>
      </c>
      <c r="S82" s="2">
        <f t="shared" si="17"/>
        <v>4.7278571428571503E-2</v>
      </c>
    </row>
    <row r="83" spans="2:19" x14ac:dyDescent="0.25">
      <c r="B83" s="1">
        <f t="shared" si="18"/>
        <v>77</v>
      </c>
      <c r="C83" s="1">
        <v>161</v>
      </c>
      <c r="D83" s="13">
        <v>56</v>
      </c>
      <c r="E83" s="1" t="s">
        <v>11</v>
      </c>
      <c r="F83" s="2">
        <v>0.42</v>
      </c>
      <c r="G83" s="1" t="s">
        <v>12</v>
      </c>
      <c r="H83" s="1" t="s">
        <v>13</v>
      </c>
      <c r="I83" s="1" t="s">
        <v>14</v>
      </c>
      <c r="J83" s="14">
        <v>0.64177083333333329</v>
      </c>
      <c r="K83" s="15">
        <v>44751</v>
      </c>
      <c r="L83" s="15"/>
      <c r="M83" s="2">
        <v>0.39999999999999997</v>
      </c>
      <c r="O83" s="2">
        <f t="shared" si="13"/>
        <v>0.32999999999999996</v>
      </c>
      <c r="P83" s="2">
        <f t="shared" si="14"/>
        <v>46.417142857142856</v>
      </c>
      <c r="Q83" s="2">
        <f t="shared" si="15"/>
        <v>0.28150000000000025</v>
      </c>
      <c r="R83" s="2">
        <f t="shared" si="16"/>
        <v>0.23220000000000018</v>
      </c>
      <c r="S83" s="2">
        <f t="shared" si="17"/>
        <v>4.9300000000000066E-2</v>
      </c>
    </row>
    <row r="84" spans="2:19" x14ac:dyDescent="0.25">
      <c r="B84" s="1">
        <f t="shared" si="18"/>
        <v>78</v>
      </c>
      <c r="C84" s="1">
        <v>163</v>
      </c>
      <c r="D84" s="13">
        <v>56.6</v>
      </c>
      <c r="E84" s="1" t="s">
        <v>11</v>
      </c>
      <c r="F84" s="2">
        <v>0.42499999999999999</v>
      </c>
      <c r="G84" s="1" t="s">
        <v>12</v>
      </c>
      <c r="H84" s="1" t="s">
        <v>13</v>
      </c>
      <c r="I84" s="1" t="s">
        <v>14</v>
      </c>
      <c r="J84" s="14">
        <v>0.64177083333333329</v>
      </c>
      <c r="K84" s="15">
        <v>44751</v>
      </c>
      <c r="L84" s="15"/>
      <c r="M84" s="2">
        <v>0.40499999999999997</v>
      </c>
      <c r="O84" s="2">
        <f t="shared" si="13"/>
        <v>0.33499999999999996</v>
      </c>
      <c r="P84" s="2">
        <f t="shared" si="14"/>
        <v>46.462857142857139</v>
      </c>
      <c r="Q84" s="2">
        <f t="shared" si="15"/>
        <v>0.28475000000000028</v>
      </c>
      <c r="R84" s="2">
        <f t="shared" si="16"/>
        <v>0.2324285714285716</v>
      </c>
      <c r="S84" s="2">
        <f t="shared" si="17"/>
        <v>5.2321428571428685E-2</v>
      </c>
    </row>
    <row r="85" spans="2:19" x14ac:dyDescent="0.25">
      <c r="B85" s="1">
        <f t="shared" si="18"/>
        <v>79</v>
      </c>
      <c r="C85" s="1">
        <v>164</v>
      </c>
      <c r="D85" s="13">
        <v>57.3</v>
      </c>
      <c r="E85" s="1" t="s">
        <v>11</v>
      </c>
      <c r="F85" s="2">
        <v>0.43</v>
      </c>
      <c r="G85" s="1" t="s">
        <v>12</v>
      </c>
      <c r="H85" s="1" t="s">
        <v>13</v>
      </c>
      <c r="I85" s="1" t="s">
        <v>14</v>
      </c>
      <c r="J85" s="14">
        <v>0.64177083333333329</v>
      </c>
      <c r="K85" s="15">
        <v>44751</v>
      </c>
      <c r="L85" s="15"/>
      <c r="M85" s="2">
        <v>0.41</v>
      </c>
      <c r="O85" s="2">
        <f t="shared" si="13"/>
        <v>0.33999999999999997</v>
      </c>
      <c r="P85" s="2">
        <f t="shared" si="14"/>
        <v>46.508571428571429</v>
      </c>
      <c r="Q85" s="2">
        <f t="shared" si="15"/>
        <v>0.28450000000000025</v>
      </c>
      <c r="R85" s="2">
        <f t="shared" si="16"/>
        <v>0.23265714285714306</v>
      </c>
      <c r="S85" s="2">
        <f t="shared" si="17"/>
        <v>5.184285714285719E-2</v>
      </c>
    </row>
    <row r="86" spans="2:19" x14ac:dyDescent="0.25">
      <c r="B86" s="1">
        <f t="shared" si="18"/>
        <v>80</v>
      </c>
      <c r="C86" s="1">
        <v>165</v>
      </c>
      <c r="D86" s="13">
        <v>56.5</v>
      </c>
      <c r="E86" s="1" t="s">
        <v>11</v>
      </c>
      <c r="F86" s="2">
        <v>0.435</v>
      </c>
      <c r="G86" s="1" t="s">
        <v>12</v>
      </c>
      <c r="H86" s="1" t="s">
        <v>13</v>
      </c>
      <c r="I86" s="1" t="s">
        <v>14</v>
      </c>
      <c r="J86" s="14">
        <v>0.64177083333333329</v>
      </c>
      <c r="K86" s="15">
        <v>44751</v>
      </c>
      <c r="L86" s="15"/>
      <c r="M86" s="2">
        <v>0.41499999999999998</v>
      </c>
      <c r="O86" s="2">
        <f t="shared" si="13"/>
        <v>0.34499999999999997</v>
      </c>
      <c r="P86" s="2">
        <f t="shared" si="14"/>
        <v>46.554285714285712</v>
      </c>
      <c r="Q86" s="2">
        <f t="shared" si="15"/>
        <v>0.28450000000000025</v>
      </c>
      <c r="R86" s="2">
        <f t="shared" si="16"/>
        <v>0.2328857142857145</v>
      </c>
      <c r="S86" s="2">
        <f t="shared" si="17"/>
        <v>5.1614285714285751E-2</v>
      </c>
    </row>
    <row r="87" spans="2:19" x14ac:dyDescent="0.25">
      <c r="B87" s="1">
        <f t="shared" si="18"/>
        <v>81</v>
      </c>
      <c r="C87" s="1">
        <v>166</v>
      </c>
      <c r="D87" s="13">
        <v>57.3</v>
      </c>
      <c r="E87" s="1" t="s">
        <v>11</v>
      </c>
      <c r="F87" s="2">
        <v>0.44</v>
      </c>
      <c r="G87" s="1" t="s">
        <v>12</v>
      </c>
      <c r="H87" s="1" t="s">
        <v>13</v>
      </c>
      <c r="I87" s="1" t="s">
        <v>14</v>
      </c>
      <c r="J87" s="14">
        <v>0.64177083333333329</v>
      </c>
      <c r="K87" s="15">
        <v>44751</v>
      </c>
      <c r="L87" s="15"/>
      <c r="M87" s="2">
        <v>0.42</v>
      </c>
      <c r="O87" s="2">
        <f t="shared" si="13"/>
        <v>0.35</v>
      </c>
      <c r="P87" s="2">
        <f t="shared" si="14"/>
        <v>46.6</v>
      </c>
      <c r="Q87" s="2">
        <f t="shared" si="15"/>
        <v>0.28825000000000023</v>
      </c>
      <c r="R87" s="2">
        <f t="shared" si="16"/>
        <v>0.23311428571428591</v>
      </c>
      <c r="S87" s="2">
        <f t="shared" si="17"/>
        <v>5.5135714285714316E-2</v>
      </c>
    </row>
    <row r="88" spans="2:19" x14ac:dyDescent="0.25">
      <c r="B88" s="1">
        <f t="shared" si="18"/>
        <v>82</v>
      </c>
      <c r="C88" s="1">
        <v>167</v>
      </c>
      <c r="D88" s="13">
        <v>58</v>
      </c>
      <c r="E88" s="1" t="s">
        <v>11</v>
      </c>
      <c r="F88" s="2">
        <v>0.44500000000000001</v>
      </c>
      <c r="G88" s="1" t="s">
        <v>12</v>
      </c>
      <c r="H88" s="1" t="s">
        <v>13</v>
      </c>
      <c r="I88" s="1" t="s">
        <v>14</v>
      </c>
      <c r="J88" s="14">
        <v>0.64177083333333329</v>
      </c>
      <c r="K88" s="15">
        <v>44751</v>
      </c>
      <c r="L88" s="15"/>
      <c r="M88" s="2">
        <v>0.42499999999999999</v>
      </c>
      <c r="O88" s="2">
        <f t="shared" si="13"/>
        <v>0.35499999999999998</v>
      </c>
      <c r="P88" s="2">
        <f t="shared" si="14"/>
        <v>46.645714285714284</v>
      </c>
      <c r="Q88" s="2">
        <f t="shared" si="15"/>
        <v>0.29150000000000026</v>
      </c>
      <c r="R88" s="2">
        <f t="shared" si="16"/>
        <v>0.23334285714285732</v>
      </c>
      <c r="S88" s="2">
        <f t="shared" si="17"/>
        <v>5.8157142857142935E-2</v>
      </c>
    </row>
    <row r="89" spans="2:19" x14ac:dyDescent="0.25">
      <c r="B89" s="1">
        <f t="shared" si="18"/>
        <v>83</v>
      </c>
      <c r="C89" s="1">
        <v>168</v>
      </c>
      <c r="D89" s="13">
        <v>58.6</v>
      </c>
      <c r="E89" s="1" t="s">
        <v>11</v>
      </c>
      <c r="F89" s="2">
        <v>0.45</v>
      </c>
      <c r="G89" s="1" t="s">
        <v>12</v>
      </c>
      <c r="H89" s="1" t="s">
        <v>13</v>
      </c>
      <c r="I89" s="1" t="s">
        <v>14</v>
      </c>
      <c r="J89" s="14">
        <v>0.64177083333333329</v>
      </c>
      <c r="K89" s="15">
        <v>44751</v>
      </c>
      <c r="L89" s="15"/>
      <c r="M89" s="2">
        <v>0.43</v>
      </c>
      <c r="O89" s="2">
        <f t="shared" si="13"/>
        <v>0.36</v>
      </c>
      <c r="P89" s="2">
        <f t="shared" si="14"/>
        <v>46.691428571428574</v>
      </c>
      <c r="Q89" s="2">
        <f t="shared" si="15"/>
        <v>0.29600000000000026</v>
      </c>
      <c r="R89" s="2">
        <f t="shared" si="16"/>
        <v>0.23357142857142879</v>
      </c>
      <c r="S89" s="2">
        <f t="shared" si="17"/>
        <v>6.2428571428571472E-2</v>
      </c>
    </row>
    <row r="90" spans="2:19" x14ac:dyDescent="0.25">
      <c r="B90" s="1">
        <f t="shared" si="18"/>
        <v>84</v>
      </c>
      <c r="C90" s="1">
        <v>170</v>
      </c>
      <c r="D90" s="13">
        <v>59.8</v>
      </c>
      <c r="E90" s="1" t="s">
        <v>11</v>
      </c>
      <c r="F90" s="2">
        <v>0.45500000000000002</v>
      </c>
      <c r="G90" s="1" t="s">
        <v>12</v>
      </c>
      <c r="H90" s="1" t="s">
        <v>13</v>
      </c>
      <c r="I90" s="1" t="s">
        <v>14</v>
      </c>
      <c r="J90" s="14">
        <v>0.64178240740740744</v>
      </c>
      <c r="K90" s="15">
        <v>44751</v>
      </c>
      <c r="L90" s="15"/>
      <c r="M90" s="2">
        <v>0.435</v>
      </c>
      <c r="O90" s="2">
        <f t="shared" si="13"/>
        <v>0.36499999999999999</v>
      </c>
      <c r="P90" s="2">
        <f t="shared" si="14"/>
        <v>46.737142857142857</v>
      </c>
      <c r="Q90" s="2">
        <f t="shared" si="15"/>
        <v>0.30050000000000021</v>
      </c>
      <c r="R90" s="2">
        <f t="shared" si="16"/>
        <v>0.2338000000000002</v>
      </c>
      <c r="S90" s="2">
        <f t="shared" si="17"/>
        <v>6.6700000000000009E-2</v>
      </c>
    </row>
    <row r="91" spans="2:19" x14ac:dyDescent="0.25">
      <c r="B91" s="1">
        <f t="shared" si="18"/>
        <v>85</v>
      </c>
      <c r="C91" s="1">
        <v>171</v>
      </c>
      <c r="D91" s="13">
        <v>60.4</v>
      </c>
      <c r="E91" s="1" t="s">
        <v>11</v>
      </c>
      <c r="F91" s="2">
        <v>0.46</v>
      </c>
      <c r="G91" s="1" t="s">
        <v>12</v>
      </c>
      <c r="H91" s="1" t="s">
        <v>13</v>
      </c>
      <c r="I91" s="1" t="s">
        <v>14</v>
      </c>
      <c r="J91" s="14">
        <v>0.64178240740740744</v>
      </c>
      <c r="K91" s="15">
        <v>44751</v>
      </c>
      <c r="L91" s="15"/>
      <c r="M91" s="2">
        <v>0.44</v>
      </c>
      <c r="O91" s="2">
        <f t="shared" si="13"/>
        <v>0.37</v>
      </c>
      <c r="P91" s="2">
        <f t="shared" si="14"/>
        <v>46.782857142857139</v>
      </c>
      <c r="Q91" s="2">
        <f t="shared" si="15"/>
        <v>0.30325000000000024</v>
      </c>
      <c r="R91" s="2">
        <f t="shared" si="16"/>
        <v>0.23402857142857164</v>
      </c>
      <c r="S91" s="2">
        <f t="shared" si="17"/>
        <v>6.92214285714286E-2</v>
      </c>
    </row>
    <row r="92" spans="2:19" x14ac:dyDescent="0.25">
      <c r="B92" s="1">
        <f t="shared" si="18"/>
        <v>86</v>
      </c>
      <c r="C92" s="1">
        <v>172</v>
      </c>
      <c r="D92" s="13">
        <v>60.9</v>
      </c>
      <c r="E92" s="1" t="s">
        <v>11</v>
      </c>
      <c r="F92" s="2">
        <v>0.46500000000000002</v>
      </c>
      <c r="G92" s="1" t="s">
        <v>12</v>
      </c>
      <c r="H92" s="1" t="s">
        <v>13</v>
      </c>
      <c r="I92" s="1" t="s">
        <v>14</v>
      </c>
      <c r="J92" s="14">
        <v>0.64178240740740744</v>
      </c>
      <c r="K92" s="15">
        <v>44751</v>
      </c>
      <c r="L92" s="15"/>
      <c r="M92" s="2">
        <v>0.44500000000000001</v>
      </c>
      <c r="O92" s="2">
        <f t="shared" si="13"/>
        <v>0.375</v>
      </c>
      <c r="P92" s="2">
        <f t="shared" si="14"/>
        <v>46.828571428571429</v>
      </c>
      <c r="Q92" s="2">
        <f t="shared" si="15"/>
        <v>0.30699999999999683</v>
      </c>
      <c r="R92" s="2">
        <f t="shared" si="16"/>
        <v>0.23425714285714047</v>
      </c>
      <c r="S92" s="2">
        <f t="shared" si="17"/>
        <v>7.274285714285636E-2</v>
      </c>
    </row>
    <row r="93" spans="2:19" x14ac:dyDescent="0.25">
      <c r="B93" s="1">
        <f t="shared" si="18"/>
        <v>87</v>
      </c>
      <c r="C93" s="1">
        <v>174</v>
      </c>
      <c r="D93" s="13">
        <v>61.9</v>
      </c>
      <c r="E93" s="1" t="s">
        <v>11</v>
      </c>
      <c r="F93" s="2">
        <v>0.47</v>
      </c>
      <c r="G93" s="1" t="s">
        <v>12</v>
      </c>
      <c r="H93" s="1" t="s">
        <v>13</v>
      </c>
      <c r="I93" s="1" t="s">
        <v>14</v>
      </c>
      <c r="J93" s="14">
        <v>0.64178240740740744</v>
      </c>
      <c r="K93" s="15">
        <v>44751</v>
      </c>
      <c r="L93" s="15"/>
      <c r="M93" s="2">
        <v>0.44999999999999996</v>
      </c>
      <c r="O93" s="2">
        <f t="shared" si="13"/>
        <v>0.37999999999999995</v>
      </c>
      <c r="P93" s="2">
        <f t="shared" si="14"/>
        <v>46.874285714285712</v>
      </c>
      <c r="Q93" s="2">
        <f t="shared" si="15"/>
        <v>0.31050000000000022</v>
      </c>
      <c r="R93" s="2">
        <f t="shared" si="16"/>
        <v>0.23448571428571446</v>
      </c>
      <c r="S93" s="2">
        <f t="shared" si="17"/>
        <v>7.6014285714285756E-2</v>
      </c>
    </row>
    <row r="94" spans="2:19" x14ac:dyDescent="0.25">
      <c r="B94" s="1">
        <f t="shared" si="18"/>
        <v>88</v>
      </c>
      <c r="C94" s="1">
        <v>175</v>
      </c>
      <c r="D94" s="13">
        <v>62.3</v>
      </c>
      <c r="E94" s="1" t="s">
        <v>11</v>
      </c>
      <c r="F94" s="2">
        <v>0.47499999999999998</v>
      </c>
      <c r="G94" s="1" t="s">
        <v>12</v>
      </c>
      <c r="H94" s="1" t="s">
        <v>13</v>
      </c>
      <c r="I94" s="1" t="s">
        <v>14</v>
      </c>
      <c r="J94" s="14">
        <v>0.64178240740740744</v>
      </c>
      <c r="K94" s="15">
        <v>44751</v>
      </c>
      <c r="L94" s="15"/>
      <c r="M94" s="2">
        <v>0.45499999999999996</v>
      </c>
      <c r="O94" s="2">
        <f t="shared" si="13"/>
        <v>0.38499999999999995</v>
      </c>
      <c r="P94" s="2">
        <f t="shared" si="14"/>
        <v>46.92</v>
      </c>
      <c r="Q94" s="2">
        <f t="shared" si="15"/>
        <v>0.31600000000000028</v>
      </c>
      <c r="R94" s="2">
        <f t="shared" si="16"/>
        <v>0.23471428571428593</v>
      </c>
      <c r="S94" s="2">
        <f t="shared" si="17"/>
        <v>8.128571428571435E-2</v>
      </c>
    </row>
    <row r="95" spans="2:19" x14ac:dyDescent="0.25">
      <c r="B95" s="1">
        <f t="shared" si="18"/>
        <v>89</v>
      </c>
      <c r="C95" s="1">
        <v>177</v>
      </c>
      <c r="D95" s="13">
        <v>64.099999999999994</v>
      </c>
      <c r="E95" s="1" t="s">
        <v>11</v>
      </c>
      <c r="F95" s="2">
        <v>0.48</v>
      </c>
      <c r="G95" s="1" t="s">
        <v>12</v>
      </c>
      <c r="H95" s="1" t="s">
        <v>13</v>
      </c>
      <c r="I95" s="1" t="s">
        <v>14</v>
      </c>
      <c r="J95" s="14">
        <v>0.64178240740740744</v>
      </c>
      <c r="K95" s="15">
        <v>44751</v>
      </c>
      <c r="L95" s="15"/>
      <c r="M95" s="2">
        <v>0.45999999999999996</v>
      </c>
      <c r="O95" s="2">
        <f t="shared" si="13"/>
        <v>0.38999999999999996</v>
      </c>
      <c r="P95" s="2">
        <f t="shared" si="14"/>
        <v>46.965714285714284</v>
      </c>
      <c r="Q95" s="2">
        <f t="shared" si="15"/>
        <v>0.3222500000000002</v>
      </c>
      <c r="R95" s="2">
        <f t="shared" si="16"/>
        <v>0.23494285714285734</v>
      </c>
      <c r="S95" s="2">
        <f t="shared" si="17"/>
        <v>8.7307142857142861E-2</v>
      </c>
    </row>
    <row r="96" spans="2:19" x14ac:dyDescent="0.25">
      <c r="B96" s="1">
        <f t="shared" si="18"/>
        <v>90</v>
      </c>
      <c r="C96" s="1">
        <v>178</v>
      </c>
      <c r="D96" s="13">
        <v>64.8</v>
      </c>
      <c r="E96" s="1" t="s">
        <v>11</v>
      </c>
      <c r="F96" s="2">
        <v>0.48499999999999999</v>
      </c>
      <c r="G96" s="1" t="s">
        <v>12</v>
      </c>
      <c r="H96" s="1" t="s">
        <v>13</v>
      </c>
      <c r="I96" s="1" t="s">
        <v>14</v>
      </c>
      <c r="J96" s="14">
        <v>0.64178240740740744</v>
      </c>
      <c r="K96" s="15">
        <v>44751</v>
      </c>
      <c r="L96" s="15"/>
      <c r="M96" s="2">
        <v>0.46499999999999997</v>
      </c>
      <c r="O96" s="2">
        <f t="shared" si="13"/>
        <v>0.39499999999999996</v>
      </c>
      <c r="P96" s="2">
        <f t="shared" si="14"/>
        <v>47.011428571428567</v>
      </c>
      <c r="Q96" s="2">
        <f t="shared" si="15"/>
        <v>0.32525000000000026</v>
      </c>
      <c r="R96" s="2">
        <f t="shared" si="16"/>
        <v>0.23517142857142878</v>
      </c>
      <c r="S96" s="2">
        <f t="shared" si="17"/>
        <v>9.007857142857148E-2</v>
      </c>
    </row>
    <row r="97" spans="2:19" x14ac:dyDescent="0.25">
      <c r="B97" s="1">
        <f t="shared" si="18"/>
        <v>91</v>
      </c>
      <c r="C97" s="1">
        <v>179</v>
      </c>
      <c r="D97" s="13">
        <v>65.3</v>
      </c>
      <c r="E97" s="1" t="s">
        <v>11</v>
      </c>
      <c r="F97" s="2">
        <v>0.49</v>
      </c>
      <c r="G97" s="1" t="s">
        <v>12</v>
      </c>
      <c r="H97" s="1" t="s">
        <v>13</v>
      </c>
      <c r="I97" s="1" t="s">
        <v>14</v>
      </c>
      <c r="J97" s="14">
        <v>0.64179398148148148</v>
      </c>
      <c r="K97" s="15">
        <v>44751</v>
      </c>
      <c r="L97" s="15"/>
      <c r="M97" s="2">
        <v>0.47</v>
      </c>
      <c r="O97" s="2">
        <f t="shared" si="13"/>
        <v>0.39999999999999997</v>
      </c>
      <c r="P97" s="2">
        <f t="shared" si="14"/>
        <v>47.057142857142857</v>
      </c>
      <c r="Q97" s="2">
        <f t="shared" si="15"/>
        <v>0.32875000000000032</v>
      </c>
      <c r="R97" s="2">
        <f t="shared" si="16"/>
        <v>0.23540000000000019</v>
      </c>
      <c r="S97" s="2">
        <f t="shared" si="17"/>
        <v>9.3350000000000127E-2</v>
      </c>
    </row>
    <row r="98" spans="2:19" x14ac:dyDescent="0.25">
      <c r="B98" s="1">
        <f t="shared" si="18"/>
        <v>92</v>
      </c>
      <c r="C98" s="1">
        <v>180</v>
      </c>
      <c r="D98" s="13">
        <v>66.2</v>
      </c>
      <c r="E98" s="1" t="s">
        <v>11</v>
      </c>
      <c r="F98" s="2">
        <v>0.495</v>
      </c>
      <c r="G98" s="1" t="s">
        <v>12</v>
      </c>
      <c r="H98" s="1" t="s">
        <v>13</v>
      </c>
      <c r="I98" s="1" t="s">
        <v>14</v>
      </c>
      <c r="J98" s="14">
        <v>0.64179398148148148</v>
      </c>
      <c r="K98" s="15">
        <v>44751</v>
      </c>
      <c r="L98" s="15"/>
      <c r="M98" s="2">
        <v>0.47499999999999998</v>
      </c>
      <c r="O98" s="2">
        <f t="shared" si="13"/>
        <v>0.40499999999999997</v>
      </c>
      <c r="P98" s="2">
        <f t="shared" si="14"/>
        <v>47.10285714285714</v>
      </c>
      <c r="Q98" s="2">
        <f t="shared" si="15"/>
        <v>0.33300000000000024</v>
      </c>
      <c r="R98" s="2">
        <f t="shared" si="16"/>
        <v>0.2356285714285716</v>
      </c>
      <c r="S98" s="2">
        <f t="shared" si="17"/>
        <v>9.7371428571428637E-2</v>
      </c>
    </row>
    <row r="99" spans="2:19" x14ac:dyDescent="0.25">
      <c r="B99" s="1">
        <f t="shared" si="18"/>
        <v>93</v>
      </c>
      <c r="C99" s="1">
        <v>181</v>
      </c>
      <c r="D99" s="13">
        <v>67</v>
      </c>
      <c r="E99" s="1" t="s">
        <v>11</v>
      </c>
      <c r="F99" s="2">
        <v>0.5</v>
      </c>
      <c r="G99" s="1" t="s">
        <v>12</v>
      </c>
      <c r="H99" s="1" t="s">
        <v>13</v>
      </c>
      <c r="I99" s="1" t="s">
        <v>14</v>
      </c>
      <c r="J99" s="14">
        <v>0.64179398148148148</v>
      </c>
      <c r="K99" s="15">
        <v>44751</v>
      </c>
      <c r="L99" s="15"/>
      <c r="M99" s="2">
        <v>0.48</v>
      </c>
      <c r="O99" s="2">
        <f t="shared" si="13"/>
        <v>0.41</v>
      </c>
      <c r="P99" s="2">
        <f t="shared" si="14"/>
        <v>47.148571428571429</v>
      </c>
      <c r="Q99" s="2">
        <f t="shared" si="15"/>
        <v>0.33725000000000033</v>
      </c>
      <c r="R99" s="2">
        <f t="shared" si="16"/>
        <v>0.23585714285714307</v>
      </c>
      <c r="S99" s="2">
        <f t="shared" si="17"/>
        <v>0.10139285714285726</v>
      </c>
    </row>
    <row r="100" spans="2:19" x14ac:dyDescent="0.25">
      <c r="B100" s="1">
        <f t="shared" si="18"/>
        <v>94</v>
      </c>
      <c r="C100" s="1">
        <v>182</v>
      </c>
      <c r="D100" s="13">
        <v>67.900000000000006</v>
      </c>
      <c r="E100" s="1" t="s">
        <v>11</v>
      </c>
      <c r="F100" s="2">
        <v>0.505</v>
      </c>
      <c r="G100" s="1" t="s">
        <v>12</v>
      </c>
      <c r="H100" s="1" t="s">
        <v>13</v>
      </c>
      <c r="I100" s="1" t="s">
        <v>14</v>
      </c>
      <c r="J100" s="14">
        <v>0.64179398148148148</v>
      </c>
      <c r="K100" s="15">
        <v>44751</v>
      </c>
      <c r="L100" s="15"/>
      <c r="M100" s="2">
        <v>0.48499999999999999</v>
      </c>
      <c r="O100" s="2">
        <f t="shared" si="13"/>
        <v>0.41499999999999998</v>
      </c>
      <c r="P100" s="2">
        <f t="shared" si="14"/>
        <v>47.194285714285712</v>
      </c>
      <c r="Q100" s="2">
        <f t="shared" si="15"/>
        <v>0.34025000000000039</v>
      </c>
      <c r="R100" s="2">
        <f t="shared" si="16"/>
        <v>0.23608571428571451</v>
      </c>
      <c r="S100" s="2">
        <f t="shared" si="17"/>
        <v>0.10416428571428588</v>
      </c>
    </row>
    <row r="101" spans="2:19" x14ac:dyDescent="0.25">
      <c r="B101" s="1">
        <f t="shared" si="18"/>
        <v>95</v>
      </c>
      <c r="C101" s="1">
        <v>183</v>
      </c>
      <c r="D101" s="13">
        <v>68.2</v>
      </c>
      <c r="E101" s="1" t="s">
        <v>11</v>
      </c>
      <c r="F101" s="2">
        <v>0.51</v>
      </c>
      <c r="G101" s="1" t="s">
        <v>12</v>
      </c>
      <c r="H101" s="1" t="s">
        <v>13</v>
      </c>
      <c r="I101" s="1" t="s">
        <v>14</v>
      </c>
      <c r="J101" s="14">
        <v>0.64179398148148148</v>
      </c>
      <c r="K101" s="15">
        <v>44751</v>
      </c>
      <c r="L101" s="15"/>
      <c r="M101" s="2">
        <v>0.49</v>
      </c>
      <c r="O101" s="2">
        <f t="shared" si="13"/>
        <v>0.42</v>
      </c>
      <c r="P101" s="2">
        <f t="shared" si="14"/>
        <v>47.24</v>
      </c>
      <c r="Q101" s="2">
        <f t="shared" si="15"/>
        <v>0.34075000000000033</v>
      </c>
      <c r="R101" s="2">
        <f t="shared" si="16"/>
        <v>0.23631428571428592</v>
      </c>
      <c r="S101" s="2">
        <f t="shared" si="17"/>
        <v>0.10443571428571441</v>
      </c>
    </row>
    <row r="102" spans="2:19" x14ac:dyDescent="0.25">
      <c r="B102" s="1">
        <f t="shared" si="18"/>
        <v>96</v>
      </c>
      <c r="C102" s="1">
        <v>184</v>
      </c>
      <c r="D102" s="13">
        <v>68.099999999999994</v>
      </c>
      <c r="E102" s="1" t="s">
        <v>11</v>
      </c>
      <c r="F102" s="2">
        <v>0.51500000000000001</v>
      </c>
      <c r="G102" s="1" t="s">
        <v>12</v>
      </c>
      <c r="H102" s="1" t="s">
        <v>13</v>
      </c>
      <c r="I102" s="1" t="s">
        <v>14</v>
      </c>
      <c r="J102" s="14">
        <v>0.64179398148148148</v>
      </c>
      <c r="K102" s="15">
        <v>44751</v>
      </c>
      <c r="L102" s="15"/>
      <c r="M102" s="2">
        <v>0.495</v>
      </c>
      <c r="O102" s="2">
        <f t="shared" si="13"/>
        <v>0.42499999999999999</v>
      </c>
      <c r="P102" s="2">
        <f t="shared" si="14"/>
        <v>47.285714285714285</v>
      </c>
      <c r="Q102" s="2">
        <f t="shared" si="15"/>
        <v>0.34325000000000033</v>
      </c>
      <c r="R102" s="2">
        <f t="shared" si="16"/>
        <v>0.23654285714285733</v>
      </c>
      <c r="S102" s="2">
        <f t="shared" si="17"/>
        <v>0.106707142857143</v>
      </c>
    </row>
    <row r="103" spans="2:19" x14ac:dyDescent="0.25">
      <c r="B103" s="1">
        <f t="shared" si="18"/>
        <v>97</v>
      </c>
      <c r="C103" s="1">
        <v>185</v>
      </c>
      <c r="D103" s="13">
        <v>69.2</v>
      </c>
      <c r="E103" s="1" t="s">
        <v>11</v>
      </c>
      <c r="F103" s="2">
        <v>0.52</v>
      </c>
      <c r="G103" s="1" t="s">
        <v>12</v>
      </c>
      <c r="H103" s="1" t="s">
        <v>13</v>
      </c>
      <c r="I103" s="1" t="s">
        <v>14</v>
      </c>
      <c r="J103" s="14">
        <v>0.64179398148148148</v>
      </c>
      <c r="K103" s="15">
        <v>44751</v>
      </c>
      <c r="L103" s="15"/>
      <c r="M103" s="2">
        <v>0.5</v>
      </c>
      <c r="O103" s="2">
        <f t="shared" si="13"/>
        <v>0.43</v>
      </c>
      <c r="P103" s="2">
        <f t="shared" si="14"/>
        <v>47.331428571428575</v>
      </c>
      <c r="Q103" s="2">
        <f t="shared" si="15"/>
        <v>0.34725000000000034</v>
      </c>
      <c r="R103" s="2">
        <f t="shared" si="16"/>
        <v>0.2367714285714288</v>
      </c>
      <c r="S103" s="2">
        <f t="shared" si="17"/>
        <v>0.11047857142857154</v>
      </c>
    </row>
    <row r="104" spans="2:19" x14ac:dyDescent="0.25">
      <c r="B104" s="1">
        <f t="shared" si="18"/>
        <v>98</v>
      </c>
      <c r="C104" s="1">
        <v>186</v>
      </c>
      <c r="D104" s="13">
        <v>69.7</v>
      </c>
      <c r="E104" s="1" t="s">
        <v>11</v>
      </c>
      <c r="F104" s="2">
        <v>0.52500000000000002</v>
      </c>
      <c r="G104" s="1" t="s">
        <v>12</v>
      </c>
      <c r="H104" s="1" t="s">
        <v>13</v>
      </c>
      <c r="I104" s="1" t="s">
        <v>14</v>
      </c>
      <c r="J104" s="14">
        <v>0.64179398148148148</v>
      </c>
      <c r="K104" s="15">
        <v>44751</v>
      </c>
      <c r="L104" s="15"/>
      <c r="M104" s="2">
        <v>0.505</v>
      </c>
      <c r="O104" s="2">
        <f t="shared" si="13"/>
        <v>0.435</v>
      </c>
      <c r="P104" s="2">
        <f t="shared" si="14"/>
        <v>47.377142857142857</v>
      </c>
      <c r="Q104" s="2">
        <f t="shared" si="15"/>
        <v>0.34700000000000036</v>
      </c>
      <c r="R104" s="2">
        <f t="shared" si="16"/>
        <v>0.23700000000000021</v>
      </c>
      <c r="S104" s="2">
        <f t="shared" si="17"/>
        <v>0.11000000000000015</v>
      </c>
    </row>
    <row r="105" spans="2:19" x14ac:dyDescent="0.25">
      <c r="B105" s="1">
        <f t="shared" si="18"/>
        <v>99</v>
      </c>
      <c r="C105" s="1">
        <v>187</v>
      </c>
      <c r="D105" s="13">
        <v>69.099999999999994</v>
      </c>
      <c r="E105" s="1" t="s">
        <v>11</v>
      </c>
      <c r="F105" s="2">
        <v>0.53</v>
      </c>
      <c r="G105" s="1" t="s">
        <v>12</v>
      </c>
      <c r="H105" s="1" t="s">
        <v>13</v>
      </c>
      <c r="I105" s="1" t="s">
        <v>14</v>
      </c>
      <c r="J105" s="14">
        <v>0.64179398148148148</v>
      </c>
      <c r="K105" s="15">
        <v>44751</v>
      </c>
      <c r="L105" s="15"/>
      <c r="M105" s="2">
        <v>0.51</v>
      </c>
      <c r="O105" s="2">
        <f t="shared" si="13"/>
        <v>0.44</v>
      </c>
      <c r="P105" s="2">
        <f t="shared" si="14"/>
        <v>47.42285714285714</v>
      </c>
      <c r="Q105" s="2">
        <f t="shared" si="15"/>
        <v>0.34500000000000031</v>
      </c>
      <c r="R105" s="2">
        <f t="shared" si="16"/>
        <v>0.23722857142857165</v>
      </c>
      <c r="S105" s="2">
        <f t="shared" si="17"/>
        <v>0.10777142857142866</v>
      </c>
    </row>
    <row r="106" spans="2:19" x14ac:dyDescent="0.25">
      <c r="B106" s="1">
        <f t="shared" si="18"/>
        <v>100</v>
      </c>
      <c r="C106" s="1">
        <v>188</v>
      </c>
      <c r="D106" s="13">
        <v>68.900000000000006</v>
      </c>
      <c r="E106" s="1" t="s">
        <v>11</v>
      </c>
      <c r="F106" s="2">
        <v>0.53500000000000003</v>
      </c>
      <c r="G106" s="1" t="s">
        <v>12</v>
      </c>
      <c r="H106" s="1" t="s">
        <v>13</v>
      </c>
      <c r="I106" s="1" t="s">
        <v>14</v>
      </c>
      <c r="J106" s="14">
        <v>0.64179398148148148</v>
      </c>
      <c r="K106" s="15">
        <v>44751</v>
      </c>
      <c r="L106" s="15"/>
      <c r="M106" s="2">
        <v>0.51500000000000001</v>
      </c>
      <c r="O106" s="2">
        <f t="shared" si="13"/>
        <v>0.44500000000000001</v>
      </c>
      <c r="P106" s="2">
        <f t="shared" si="14"/>
        <v>47.46857142857143</v>
      </c>
      <c r="Q106" s="2">
        <f t="shared" si="15"/>
        <v>0.34525000000000039</v>
      </c>
      <c r="R106" s="2">
        <f t="shared" si="16"/>
        <v>0.23745714285714306</v>
      </c>
      <c r="S106" s="2">
        <f t="shared" si="17"/>
        <v>0.10779285714285733</v>
      </c>
    </row>
    <row r="107" spans="2:19" x14ac:dyDescent="0.25">
      <c r="B107" s="1">
        <f t="shared" si="18"/>
        <v>101</v>
      </c>
      <c r="C107" s="1">
        <v>189</v>
      </c>
      <c r="D107" s="13">
        <v>69.2</v>
      </c>
      <c r="E107" s="1" t="s">
        <v>11</v>
      </c>
      <c r="F107" s="2">
        <v>0.54</v>
      </c>
      <c r="G107" s="1" t="s">
        <v>12</v>
      </c>
      <c r="H107" s="1" t="s">
        <v>13</v>
      </c>
      <c r="I107" s="1" t="s">
        <v>14</v>
      </c>
      <c r="J107" s="14">
        <v>0.64180555555555552</v>
      </c>
      <c r="K107" s="15">
        <v>44751</v>
      </c>
      <c r="L107" s="15"/>
      <c r="M107" s="2">
        <v>0.52</v>
      </c>
      <c r="O107" s="2">
        <f t="shared" si="13"/>
        <v>0.45</v>
      </c>
      <c r="P107" s="2">
        <f t="shared" si="14"/>
        <v>47.514285714285712</v>
      </c>
      <c r="Q107" s="2">
        <f t="shared" si="15"/>
        <v>0.34800000000000025</v>
      </c>
      <c r="R107" s="2">
        <f t="shared" si="16"/>
        <v>0.23768571428571447</v>
      </c>
      <c r="S107" s="2">
        <f t="shared" si="17"/>
        <v>0.11031428571428578</v>
      </c>
    </row>
    <row r="108" spans="2:19" x14ac:dyDescent="0.25">
      <c r="B108" s="1">
        <f t="shared" si="18"/>
        <v>102</v>
      </c>
      <c r="C108" s="1">
        <v>190</v>
      </c>
      <c r="D108" s="13">
        <v>70</v>
      </c>
      <c r="E108" s="1" t="s">
        <v>11</v>
      </c>
      <c r="F108" s="2">
        <v>0.54500000000000004</v>
      </c>
      <c r="G108" s="1" t="s">
        <v>12</v>
      </c>
      <c r="H108" s="1" t="s">
        <v>13</v>
      </c>
      <c r="I108" s="1" t="s">
        <v>14</v>
      </c>
      <c r="J108" s="14">
        <v>0.64180555555555552</v>
      </c>
      <c r="K108" s="15">
        <v>44751</v>
      </c>
      <c r="L108" s="15"/>
      <c r="M108" s="2">
        <v>0.52500000000000002</v>
      </c>
      <c r="O108" s="2">
        <f t="shared" si="13"/>
        <v>0.45500000000000002</v>
      </c>
      <c r="P108" s="2">
        <f t="shared" si="14"/>
        <v>47.56</v>
      </c>
      <c r="Q108" s="2">
        <f t="shared" si="15"/>
        <v>0.35025000000000028</v>
      </c>
      <c r="R108" s="2">
        <f t="shared" si="16"/>
        <v>0.23791428571428594</v>
      </c>
      <c r="S108" s="2">
        <f t="shared" si="17"/>
        <v>0.11233571428571434</v>
      </c>
    </row>
    <row r="109" spans="2:19" x14ac:dyDescent="0.25">
      <c r="B109" s="1">
        <f t="shared" si="18"/>
        <v>103</v>
      </c>
      <c r="C109" s="1">
        <v>191</v>
      </c>
      <c r="D109" s="13">
        <v>70.099999999999994</v>
      </c>
      <c r="E109" s="1" t="s">
        <v>11</v>
      </c>
      <c r="F109" s="2">
        <v>0.55000000000000004</v>
      </c>
      <c r="G109" s="1" t="s">
        <v>12</v>
      </c>
      <c r="H109" s="1" t="s">
        <v>13</v>
      </c>
      <c r="I109" s="1" t="s">
        <v>14</v>
      </c>
      <c r="J109" s="14">
        <v>0.64180555555555552</v>
      </c>
      <c r="K109" s="15">
        <v>44751</v>
      </c>
      <c r="L109" s="15"/>
      <c r="M109" s="2">
        <v>0.53</v>
      </c>
      <c r="O109" s="2">
        <f t="shared" si="13"/>
        <v>0.46</v>
      </c>
      <c r="P109" s="2">
        <f t="shared" si="14"/>
        <v>47.605714285714285</v>
      </c>
      <c r="Q109" s="2">
        <f t="shared" si="15"/>
        <v>0.35300000000000026</v>
      </c>
      <c r="R109" s="2">
        <f t="shared" si="16"/>
        <v>0.23814285714285735</v>
      </c>
      <c r="S109" s="2">
        <f t="shared" si="17"/>
        <v>0.11485714285714291</v>
      </c>
    </row>
    <row r="110" spans="2:19" x14ac:dyDescent="0.25">
      <c r="B110" s="1">
        <f t="shared" si="18"/>
        <v>104</v>
      </c>
      <c r="C110" s="1">
        <v>193</v>
      </c>
      <c r="D110" s="13">
        <v>71.099999999999994</v>
      </c>
      <c r="E110" s="1" t="s">
        <v>11</v>
      </c>
      <c r="F110" s="2">
        <v>0.55500000000000005</v>
      </c>
      <c r="G110" s="1" t="s">
        <v>12</v>
      </c>
      <c r="H110" s="1" t="s">
        <v>13</v>
      </c>
      <c r="I110" s="1" t="s">
        <v>14</v>
      </c>
      <c r="J110" s="14">
        <v>0.64180555555555552</v>
      </c>
      <c r="K110" s="15">
        <v>44751</v>
      </c>
      <c r="L110" s="15"/>
      <c r="M110" s="2">
        <v>0.53500000000000003</v>
      </c>
      <c r="O110" s="2">
        <f t="shared" si="13"/>
        <v>0.46500000000000002</v>
      </c>
      <c r="P110" s="2">
        <f t="shared" si="14"/>
        <v>47.651428571428568</v>
      </c>
      <c r="Q110" s="2">
        <f t="shared" si="15"/>
        <v>0.35675000000000029</v>
      </c>
      <c r="R110" s="2">
        <f t="shared" si="16"/>
        <v>0.23837142857142879</v>
      </c>
      <c r="S110" s="2">
        <f t="shared" si="17"/>
        <v>0.1183785714285715</v>
      </c>
    </row>
    <row r="111" spans="2:19" x14ac:dyDescent="0.25">
      <c r="B111" s="1">
        <f t="shared" si="18"/>
        <v>105</v>
      </c>
      <c r="C111" s="1">
        <v>194</v>
      </c>
      <c r="D111" s="13">
        <v>71.599999999999994</v>
      </c>
      <c r="E111" s="1" t="s">
        <v>11</v>
      </c>
      <c r="F111" s="2">
        <v>0.56000000000000005</v>
      </c>
      <c r="G111" s="1" t="s">
        <v>12</v>
      </c>
      <c r="H111" s="1" t="s">
        <v>13</v>
      </c>
      <c r="I111" s="1" t="s">
        <v>14</v>
      </c>
      <c r="J111" s="14">
        <v>0.64180555555555552</v>
      </c>
      <c r="K111" s="15">
        <v>44751</v>
      </c>
      <c r="L111" s="15"/>
      <c r="M111" s="2">
        <v>0.54</v>
      </c>
      <c r="O111" s="2">
        <f t="shared" si="13"/>
        <v>0.47000000000000003</v>
      </c>
      <c r="P111" s="2">
        <f t="shared" si="14"/>
        <v>47.697142857142858</v>
      </c>
      <c r="Q111" s="2">
        <f t="shared" si="15"/>
        <v>0.35874999999999235</v>
      </c>
      <c r="R111" s="2">
        <f t="shared" si="16"/>
        <v>0.2385999999999949</v>
      </c>
      <c r="S111" s="2">
        <f t="shared" si="17"/>
        <v>0.12014999999999745</v>
      </c>
    </row>
    <row r="112" spans="2:19" x14ac:dyDescent="0.25">
      <c r="B112" s="1">
        <f t="shared" si="18"/>
        <v>106</v>
      </c>
      <c r="C112" s="1">
        <v>195</v>
      </c>
      <c r="D112" s="13">
        <v>71.900000000000006</v>
      </c>
      <c r="E112" s="1" t="s">
        <v>11</v>
      </c>
      <c r="F112" s="2">
        <v>0.56499999999999995</v>
      </c>
      <c r="G112" s="1" t="s">
        <v>12</v>
      </c>
      <c r="H112" s="1" t="s">
        <v>13</v>
      </c>
      <c r="I112" s="1" t="s">
        <v>14</v>
      </c>
      <c r="J112" s="14">
        <v>0.64180555555555552</v>
      </c>
      <c r="K112" s="15">
        <v>44751</v>
      </c>
      <c r="L112" s="15"/>
      <c r="M112" s="2">
        <v>0.54499999999999993</v>
      </c>
      <c r="O112" s="2">
        <f t="shared" si="13"/>
        <v>0.47499999999999992</v>
      </c>
      <c r="P112" s="2">
        <f t="shared" si="14"/>
        <v>47.74285714285714</v>
      </c>
      <c r="Q112" s="2">
        <f t="shared" si="15"/>
        <v>0.35400000000000037</v>
      </c>
      <c r="R112" s="2">
        <f t="shared" si="16"/>
        <v>0.23882857142857161</v>
      </c>
      <c r="S112" s="2">
        <f t="shared" si="17"/>
        <v>0.11517142857142876</v>
      </c>
    </row>
    <row r="113" spans="2:19" x14ac:dyDescent="0.25">
      <c r="B113" s="1">
        <f t="shared" si="18"/>
        <v>107</v>
      </c>
      <c r="C113" s="1">
        <v>196</v>
      </c>
      <c r="D113" s="13">
        <v>69.7</v>
      </c>
      <c r="E113" s="1" t="s">
        <v>11</v>
      </c>
      <c r="F113" s="2">
        <v>0.56999999999999995</v>
      </c>
      <c r="G113" s="1" t="s">
        <v>12</v>
      </c>
      <c r="H113" s="1" t="s">
        <v>13</v>
      </c>
      <c r="I113" s="1" t="s">
        <v>14</v>
      </c>
      <c r="J113" s="14">
        <v>0.64180555555555552</v>
      </c>
      <c r="K113" s="15">
        <v>44751</v>
      </c>
      <c r="L113" s="15"/>
      <c r="M113" s="2">
        <v>0.54999999999999993</v>
      </c>
      <c r="O113" s="2">
        <f t="shared" si="13"/>
        <v>0.47999999999999993</v>
      </c>
      <c r="P113" s="2">
        <f t="shared" si="14"/>
        <v>47.78857142857143</v>
      </c>
      <c r="Q113" s="2">
        <f t="shared" si="15"/>
        <v>0.34675000000000028</v>
      </c>
      <c r="R113" s="2">
        <f t="shared" si="16"/>
        <v>0.23905714285714308</v>
      </c>
      <c r="S113" s="2">
        <f t="shared" si="17"/>
        <v>0.1076928571428572</v>
      </c>
    </row>
    <row r="114" spans="2:19" x14ac:dyDescent="0.25">
      <c r="B114" s="1">
        <f t="shared" si="18"/>
        <v>108</v>
      </c>
      <c r="C114" s="1">
        <v>198</v>
      </c>
      <c r="D114" s="13">
        <v>69</v>
      </c>
      <c r="E114" s="1" t="s">
        <v>11</v>
      </c>
      <c r="F114" s="2">
        <v>0.57499999999999996</v>
      </c>
      <c r="G114" s="1" t="s">
        <v>12</v>
      </c>
      <c r="H114" s="1" t="s">
        <v>13</v>
      </c>
      <c r="I114" s="1" t="s">
        <v>14</v>
      </c>
      <c r="J114" s="14">
        <v>0.64180555555555552</v>
      </c>
      <c r="K114" s="15">
        <v>44751</v>
      </c>
      <c r="L114" s="15"/>
      <c r="M114" s="2">
        <v>0.55499999999999994</v>
      </c>
      <c r="O114" s="2">
        <f t="shared" si="13"/>
        <v>0.48499999999999993</v>
      </c>
      <c r="P114" s="2">
        <f t="shared" si="14"/>
        <v>47.834285714285713</v>
      </c>
      <c r="Q114" s="2">
        <f t="shared" si="15"/>
        <v>0.34750000000000031</v>
      </c>
      <c r="R114" s="2">
        <f t="shared" si="16"/>
        <v>0.23928571428571452</v>
      </c>
      <c r="S114" s="2">
        <f t="shared" si="17"/>
        <v>0.10821428571428579</v>
      </c>
    </row>
    <row r="115" spans="2:19" x14ac:dyDescent="0.25">
      <c r="B115" s="1">
        <f t="shared" si="18"/>
        <v>109</v>
      </c>
      <c r="C115" s="1">
        <v>199</v>
      </c>
      <c r="D115" s="13">
        <v>70</v>
      </c>
      <c r="E115" s="1" t="s">
        <v>11</v>
      </c>
      <c r="F115" s="2">
        <v>0.57999999999999996</v>
      </c>
      <c r="G115" s="1" t="s">
        <v>12</v>
      </c>
      <c r="H115" s="1" t="s">
        <v>13</v>
      </c>
      <c r="I115" s="1" t="s">
        <v>14</v>
      </c>
      <c r="J115" s="14">
        <v>0.64181712962962967</v>
      </c>
      <c r="K115" s="15">
        <v>44751</v>
      </c>
      <c r="L115" s="15"/>
      <c r="M115" s="2">
        <v>0.55999999999999994</v>
      </c>
      <c r="O115" s="2">
        <f t="shared" si="13"/>
        <v>0.48999999999999994</v>
      </c>
      <c r="P115" s="2">
        <f t="shared" si="14"/>
        <v>47.88</v>
      </c>
      <c r="Q115" s="2">
        <f t="shared" si="15"/>
        <v>0.35175000000000028</v>
      </c>
      <c r="R115" s="2">
        <f t="shared" si="16"/>
        <v>0.23951428571428593</v>
      </c>
      <c r="S115" s="2">
        <f t="shared" si="17"/>
        <v>0.11223571428571436</v>
      </c>
    </row>
    <row r="116" spans="2:19" x14ac:dyDescent="0.25">
      <c r="B116" s="1">
        <f t="shared" si="18"/>
        <v>110</v>
      </c>
      <c r="C116" s="1">
        <v>200</v>
      </c>
      <c r="D116" s="13">
        <v>70.7</v>
      </c>
      <c r="E116" s="1" t="s">
        <v>11</v>
      </c>
      <c r="F116" s="2">
        <v>0.58499999999999996</v>
      </c>
      <c r="G116" s="1" t="s">
        <v>12</v>
      </c>
      <c r="H116" s="1" t="s">
        <v>13</v>
      </c>
      <c r="I116" s="1" t="s">
        <v>14</v>
      </c>
      <c r="J116" s="14">
        <v>0.64181712962962967</v>
      </c>
      <c r="K116" s="15">
        <v>44751</v>
      </c>
      <c r="L116" s="15"/>
      <c r="M116" s="2">
        <v>0.56499999999999995</v>
      </c>
      <c r="O116" s="2">
        <f t="shared" si="13"/>
        <v>0.49499999999999994</v>
      </c>
      <c r="P116" s="2">
        <f t="shared" si="14"/>
        <v>47.925714285714285</v>
      </c>
      <c r="Q116" s="2">
        <f t="shared" si="15"/>
        <v>0.35475000000000034</v>
      </c>
      <c r="R116" s="2">
        <f t="shared" si="16"/>
        <v>0.23974285714285734</v>
      </c>
      <c r="S116" s="2">
        <f t="shared" si="17"/>
        <v>0.115007142857143</v>
      </c>
    </row>
    <row r="117" spans="2:19" x14ac:dyDescent="0.25">
      <c r="B117" s="1">
        <f t="shared" si="18"/>
        <v>111</v>
      </c>
      <c r="C117" s="1">
        <v>201</v>
      </c>
      <c r="D117" s="13">
        <v>71.2</v>
      </c>
      <c r="E117" s="1" t="s">
        <v>11</v>
      </c>
      <c r="F117" s="2">
        <v>0.59</v>
      </c>
      <c r="G117" s="1" t="s">
        <v>12</v>
      </c>
      <c r="H117" s="1" t="s">
        <v>13</v>
      </c>
      <c r="I117" s="1" t="s">
        <v>14</v>
      </c>
      <c r="J117" s="14">
        <v>0.64181712962962967</v>
      </c>
      <c r="K117" s="15">
        <v>44751</v>
      </c>
      <c r="L117" s="15"/>
      <c r="M117" s="2">
        <v>0.56999999999999995</v>
      </c>
      <c r="O117" s="2">
        <f t="shared" si="13"/>
        <v>0.49999999999999994</v>
      </c>
      <c r="P117" s="2">
        <f t="shared" si="14"/>
        <v>47.971428571428568</v>
      </c>
      <c r="Q117" s="2">
        <f t="shared" si="15"/>
        <v>0.35650000000000037</v>
      </c>
      <c r="R117" s="2">
        <f t="shared" si="16"/>
        <v>0.23997142857142609</v>
      </c>
      <c r="S117" s="2">
        <f t="shared" si="17"/>
        <v>0.11652857142857428</v>
      </c>
    </row>
    <row r="118" spans="2:19" x14ac:dyDescent="0.25">
      <c r="B118" s="1">
        <f t="shared" si="18"/>
        <v>112</v>
      </c>
      <c r="C118" s="1">
        <v>202</v>
      </c>
      <c r="D118" s="13">
        <v>71.400000000000006</v>
      </c>
      <c r="E118" s="1" t="s">
        <v>11</v>
      </c>
      <c r="F118" s="2">
        <v>0.59499999999999997</v>
      </c>
      <c r="G118" s="1" t="s">
        <v>12</v>
      </c>
      <c r="H118" s="1" t="s">
        <v>13</v>
      </c>
      <c r="I118" s="1" t="s">
        <v>14</v>
      </c>
      <c r="J118" s="14">
        <v>0.64181712962962967</v>
      </c>
      <c r="K118" s="15">
        <v>44751</v>
      </c>
      <c r="L118" s="15"/>
      <c r="M118" s="2">
        <v>0.57499999999999996</v>
      </c>
      <c r="O118" s="2">
        <f t="shared" si="13"/>
        <v>0.50499999999999989</v>
      </c>
      <c r="P118" s="2">
        <f t="shared" si="14"/>
        <v>48.017142857142858</v>
      </c>
      <c r="Q118" s="2">
        <f t="shared" si="15"/>
        <v>0.3602500000000004</v>
      </c>
      <c r="R118" s="2">
        <f t="shared" si="16"/>
        <v>0.24020000000000555</v>
      </c>
      <c r="S118" s="2">
        <f t="shared" si="17"/>
        <v>0.12004999999999486</v>
      </c>
    </row>
    <row r="119" spans="2:19" x14ac:dyDescent="0.25">
      <c r="B119" s="1">
        <f t="shared" si="18"/>
        <v>113</v>
      </c>
      <c r="C119" s="1">
        <v>203</v>
      </c>
      <c r="D119" s="13">
        <v>72.7</v>
      </c>
      <c r="E119" s="1" t="s">
        <v>11</v>
      </c>
      <c r="F119" s="2">
        <v>0.6</v>
      </c>
      <c r="G119" s="1" t="s">
        <v>12</v>
      </c>
      <c r="H119" s="1" t="s">
        <v>13</v>
      </c>
      <c r="I119" s="1" t="s">
        <v>14</v>
      </c>
      <c r="J119" s="14">
        <v>0.64181712962962967</v>
      </c>
      <c r="K119" s="15">
        <v>44751</v>
      </c>
      <c r="L119" s="15"/>
      <c r="M119" s="2">
        <v>0.57999999999999996</v>
      </c>
      <c r="O119" s="2">
        <f t="shared" si="13"/>
        <v>0.51</v>
      </c>
      <c r="P119" s="2">
        <f t="shared" si="14"/>
        <v>48.062857142857141</v>
      </c>
      <c r="Q119" s="2">
        <f t="shared" si="15"/>
        <v>0.36525000000000041</v>
      </c>
      <c r="R119" s="2">
        <f t="shared" si="16"/>
        <v>0.24042857142856633</v>
      </c>
      <c r="S119" s="2">
        <f t="shared" si="17"/>
        <v>0.12482142857143408</v>
      </c>
    </row>
    <row r="120" spans="2:19" x14ac:dyDescent="0.25">
      <c r="B120" s="1">
        <f t="shared" si="18"/>
        <v>114</v>
      </c>
      <c r="C120" s="1">
        <v>204</v>
      </c>
      <c r="D120" s="13">
        <v>73.400000000000006</v>
      </c>
      <c r="E120" s="1" t="s">
        <v>11</v>
      </c>
      <c r="F120" s="2">
        <v>0.60499999999999998</v>
      </c>
      <c r="G120" s="1" t="s">
        <v>12</v>
      </c>
      <c r="H120" s="1" t="s">
        <v>13</v>
      </c>
      <c r="I120" s="1" t="s">
        <v>14</v>
      </c>
      <c r="J120" s="14">
        <v>0.64181712962962967</v>
      </c>
      <c r="K120" s="15">
        <v>44751</v>
      </c>
      <c r="L120" s="15"/>
      <c r="M120" s="2">
        <v>0.58499999999999996</v>
      </c>
      <c r="O120" s="2">
        <f t="shared" si="13"/>
        <v>0.5149999999999999</v>
      </c>
      <c r="P120" s="2">
        <f t="shared" si="14"/>
        <v>48.10857142857143</v>
      </c>
      <c r="Q120" s="2">
        <f t="shared" si="15"/>
        <v>0.36850000000000033</v>
      </c>
      <c r="R120" s="2">
        <f t="shared" si="16"/>
        <v>0.24065714285714843</v>
      </c>
      <c r="S120" s="2">
        <f t="shared" si="17"/>
        <v>0.1278428571428519</v>
      </c>
    </row>
    <row r="121" spans="2:19" x14ac:dyDescent="0.25">
      <c r="B121" s="1">
        <f t="shared" si="18"/>
        <v>115</v>
      </c>
      <c r="C121" s="1">
        <v>205</v>
      </c>
      <c r="D121" s="13">
        <v>74</v>
      </c>
      <c r="E121" s="1" t="s">
        <v>11</v>
      </c>
      <c r="F121" s="2">
        <v>0.61</v>
      </c>
      <c r="G121" s="1" t="s">
        <v>12</v>
      </c>
      <c r="H121" s="1" t="s">
        <v>13</v>
      </c>
      <c r="I121" s="1" t="s">
        <v>14</v>
      </c>
      <c r="J121" s="14">
        <v>0.64181712962962967</v>
      </c>
      <c r="K121" s="15">
        <v>44751</v>
      </c>
      <c r="L121" s="15"/>
      <c r="M121" s="2">
        <v>0.59</v>
      </c>
      <c r="O121" s="2">
        <f t="shared" si="13"/>
        <v>0.52</v>
      </c>
      <c r="P121" s="2">
        <f t="shared" si="14"/>
        <v>48.154285714285713</v>
      </c>
      <c r="Q121" s="2">
        <f t="shared" si="15"/>
        <v>0.37000000000000033</v>
      </c>
      <c r="R121" s="2">
        <f t="shared" si="16"/>
        <v>0.24088571428570912</v>
      </c>
      <c r="S121" s="2">
        <f t="shared" si="17"/>
        <v>0.1291142857142912</v>
      </c>
    </row>
    <row r="122" spans="2:19" x14ac:dyDescent="0.25">
      <c r="B122" s="1">
        <f t="shared" si="18"/>
        <v>116</v>
      </c>
      <c r="C122" s="1">
        <v>206</v>
      </c>
      <c r="D122" s="13">
        <v>74</v>
      </c>
      <c r="E122" s="1" t="s">
        <v>11</v>
      </c>
      <c r="F122" s="2">
        <v>0.61499999999999999</v>
      </c>
      <c r="G122" s="1" t="s">
        <v>12</v>
      </c>
      <c r="H122" s="1" t="s">
        <v>13</v>
      </c>
      <c r="I122" s="1" t="s">
        <v>14</v>
      </c>
      <c r="J122" s="14">
        <v>0.64181712962962967</v>
      </c>
      <c r="K122" s="15">
        <v>44751</v>
      </c>
      <c r="L122" s="15"/>
      <c r="M122" s="2">
        <v>0.59499999999999997</v>
      </c>
      <c r="O122" s="2">
        <f t="shared" si="13"/>
        <v>0.52499999999999991</v>
      </c>
      <c r="P122" s="2">
        <f t="shared" si="14"/>
        <v>48.2</v>
      </c>
      <c r="Q122" s="2">
        <f t="shared" si="15"/>
        <v>0.3702500000000003</v>
      </c>
      <c r="R122" s="2">
        <f t="shared" si="16"/>
        <v>0.24111428571429128</v>
      </c>
      <c r="S122" s="2">
        <f t="shared" si="17"/>
        <v>0.12913571428570902</v>
      </c>
    </row>
    <row r="123" spans="2:19" x14ac:dyDescent="0.25">
      <c r="B123" s="1">
        <f t="shared" si="18"/>
        <v>117</v>
      </c>
      <c r="C123" s="1">
        <v>207</v>
      </c>
      <c r="D123" s="13">
        <v>74.099999999999994</v>
      </c>
      <c r="E123" s="1" t="s">
        <v>11</v>
      </c>
      <c r="F123" s="2">
        <v>0.62</v>
      </c>
      <c r="G123" s="1" t="s">
        <v>12</v>
      </c>
      <c r="H123" s="1" t="s">
        <v>13</v>
      </c>
      <c r="I123" s="1" t="s">
        <v>14</v>
      </c>
      <c r="J123" s="14">
        <v>0.64181712962962967</v>
      </c>
      <c r="K123" s="15">
        <v>44751</v>
      </c>
      <c r="L123" s="15"/>
      <c r="M123" s="2">
        <v>0.6</v>
      </c>
      <c r="O123" s="2">
        <f t="shared" si="13"/>
        <v>0.53</v>
      </c>
      <c r="P123" s="2">
        <f t="shared" si="14"/>
        <v>48.245714285714286</v>
      </c>
      <c r="Q123" s="2">
        <f t="shared" si="15"/>
        <v>0.3712500000000003</v>
      </c>
      <c r="R123" s="2">
        <f t="shared" si="16"/>
        <v>0.241342857142852</v>
      </c>
      <c r="S123" s="2">
        <f t="shared" si="17"/>
        <v>0.1299071428571483</v>
      </c>
    </row>
    <row r="124" spans="2:19" x14ac:dyDescent="0.25">
      <c r="B124" s="1">
        <f t="shared" si="18"/>
        <v>118</v>
      </c>
      <c r="C124" s="1">
        <v>208</v>
      </c>
      <c r="D124" s="13">
        <v>74.400000000000006</v>
      </c>
      <c r="E124" s="1" t="s">
        <v>11</v>
      </c>
      <c r="F124" s="2">
        <v>0.625</v>
      </c>
      <c r="G124" s="1" t="s">
        <v>12</v>
      </c>
      <c r="H124" s="1" t="s">
        <v>13</v>
      </c>
      <c r="I124" s="1" t="s">
        <v>14</v>
      </c>
      <c r="J124" s="14">
        <v>0.64181712962962967</v>
      </c>
      <c r="K124" s="15">
        <v>44751</v>
      </c>
      <c r="L124" s="15"/>
      <c r="M124" s="2">
        <v>0.60499999999999998</v>
      </c>
      <c r="O124" s="2">
        <f t="shared" si="13"/>
        <v>0.53499999999999992</v>
      </c>
      <c r="P124" s="2">
        <f t="shared" si="14"/>
        <v>48.291428571428568</v>
      </c>
      <c r="Q124" s="2">
        <f t="shared" si="15"/>
        <v>0.37400000000000039</v>
      </c>
      <c r="R124" s="2">
        <f t="shared" si="16"/>
        <v>0.24157142857143415</v>
      </c>
      <c r="S124" s="2">
        <f t="shared" si="17"/>
        <v>0.13242857142856623</v>
      </c>
    </row>
    <row r="125" spans="2:19" x14ac:dyDescent="0.25">
      <c r="B125" s="1">
        <f t="shared" si="18"/>
        <v>119</v>
      </c>
      <c r="C125" s="1">
        <v>210</v>
      </c>
      <c r="D125" s="13">
        <v>75.2</v>
      </c>
      <c r="E125" s="1" t="s">
        <v>11</v>
      </c>
      <c r="F125" s="2">
        <v>0.63</v>
      </c>
      <c r="G125" s="1" t="s">
        <v>12</v>
      </c>
      <c r="H125" s="1" t="s">
        <v>13</v>
      </c>
      <c r="I125" s="1" t="s">
        <v>14</v>
      </c>
      <c r="J125" s="14">
        <v>0.64182870370370371</v>
      </c>
      <c r="K125" s="15">
        <v>44751</v>
      </c>
      <c r="L125" s="15"/>
      <c r="M125" s="2">
        <v>0.61</v>
      </c>
      <c r="O125" s="2">
        <f t="shared" si="13"/>
        <v>0.54</v>
      </c>
      <c r="P125" s="2">
        <f t="shared" si="14"/>
        <v>48.337142857142858</v>
      </c>
      <c r="Q125" s="2">
        <f t="shared" si="15"/>
        <v>0.37650000000000039</v>
      </c>
      <c r="R125" s="2">
        <f t="shared" si="16"/>
        <v>0.24179999999999485</v>
      </c>
      <c r="S125" s="2">
        <f t="shared" si="17"/>
        <v>0.13470000000000554</v>
      </c>
    </row>
    <row r="126" spans="2:19" x14ac:dyDescent="0.25">
      <c r="B126" s="1">
        <f t="shared" si="18"/>
        <v>120</v>
      </c>
      <c r="C126" s="1">
        <v>211</v>
      </c>
      <c r="D126" s="13">
        <v>75.400000000000006</v>
      </c>
      <c r="E126" s="1" t="s">
        <v>11</v>
      </c>
      <c r="F126" s="2">
        <v>0.63500000000000001</v>
      </c>
      <c r="G126" s="1" t="s">
        <v>12</v>
      </c>
      <c r="H126" s="1" t="s">
        <v>13</v>
      </c>
      <c r="I126" s="1" t="s">
        <v>14</v>
      </c>
      <c r="J126" s="14">
        <v>0.64182870370370371</v>
      </c>
      <c r="K126" s="15">
        <v>44751</v>
      </c>
      <c r="L126" s="15"/>
      <c r="M126" s="2">
        <v>0.61499999999999999</v>
      </c>
      <c r="O126" s="2">
        <f t="shared" si="13"/>
        <v>0.54499999999999993</v>
      </c>
      <c r="P126" s="2">
        <f t="shared" si="14"/>
        <v>48.382857142857141</v>
      </c>
      <c r="Q126" s="2">
        <f t="shared" si="15"/>
        <v>0.37800000000000028</v>
      </c>
      <c r="R126" s="2">
        <f t="shared" si="16"/>
        <v>0.24202857142857701</v>
      </c>
      <c r="S126" s="2">
        <f t="shared" si="17"/>
        <v>0.13597142857142328</v>
      </c>
    </row>
    <row r="127" spans="2:19" x14ac:dyDescent="0.25">
      <c r="B127" s="1">
        <f t="shared" si="18"/>
        <v>121</v>
      </c>
      <c r="C127" s="1">
        <v>212</v>
      </c>
      <c r="D127" s="13">
        <v>75.8</v>
      </c>
      <c r="E127" s="1" t="s">
        <v>11</v>
      </c>
      <c r="F127" s="2">
        <v>0.64</v>
      </c>
      <c r="G127" s="1" t="s">
        <v>12</v>
      </c>
      <c r="H127" s="1" t="s">
        <v>13</v>
      </c>
      <c r="I127" s="1" t="s">
        <v>14</v>
      </c>
      <c r="J127" s="14">
        <v>0.64182870370370371</v>
      </c>
      <c r="K127" s="15">
        <v>44751</v>
      </c>
      <c r="L127" s="15"/>
      <c r="M127" s="2">
        <v>0.62</v>
      </c>
      <c r="O127" s="2">
        <f t="shared" si="13"/>
        <v>0.55000000000000004</v>
      </c>
      <c r="P127" s="2">
        <f t="shared" si="14"/>
        <v>48.428571428571431</v>
      </c>
      <c r="Q127" s="2">
        <f t="shared" si="15"/>
        <v>0.37950000000000039</v>
      </c>
      <c r="R127" s="2">
        <f t="shared" si="16"/>
        <v>0.2422571428571377</v>
      </c>
      <c r="S127" s="2">
        <f t="shared" si="17"/>
        <v>0.13724285714286269</v>
      </c>
    </row>
    <row r="128" spans="2:19" x14ac:dyDescent="0.25">
      <c r="B128" s="1">
        <f t="shared" si="18"/>
        <v>122</v>
      </c>
      <c r="C128" s="1">
        <v>213</v>
      </c>
      <c r="D128" s="13">
        <v>76</v>
      </c>
      <c r="E128" s="1" t="s">
        <v>11</v>
      </c>
      <c r="F128" s="2">
        <v>0.64500000000000002</v>
      </c>
      <c r="G128" s="1" t="s">
        <v>12</v>
      </c>
      <c r="H128" s="1" t="s">
        <v>13</v>
      </c>
      <c r="I128" s="1" t="s">
        <v>14</v>
      </c>
      <c r="J128" s="14">
        <v>0.64182870370370371</v>
      </c>
      <c r="K128" s="15">
        <v>44751</v>
      </c>
      <c r="L128" s="15"/>
      <c r="M128" s="2">
        <v>0.625</v>
      </c>
      <c r="O128" s="2">
        <f t="shared" si="13"/>
        <v>0.55499999999999994</v>
      </c>
      <c r="P128" s="2">
        <f t="shared" si="14"/>
        <v>48.474285714285713</v>
      </c>
      <c r="Q128" s="2">
        <f t="shared" si="15"/>
        <v>0.38025000000000031</v>
      </c>
      <c r="R128" s="2">
        <f t="shared" si="16"/>
        <v>0.24248571428571991</v>
      </c>
      <c r="S128" s="2">
        <f t="shared" si="17"/>
        <v>0.1377642857142804</v>
      </c>
    </row>
    <row r="129" spans="2:19" x14ac:dyDescent="0.25">
      <c r="B129" s="1">
        <f t="shared" si="18"/>
        <v>123</v>
      </c>
      <c r="C129" s="1">
        <v>214</v>
      </c>
      <c r="D129" s="13">
        <v>76.099999999999994</v>
      </c>
      <c r="E129" s="1" t="s">
        <v>11</v>
      </c>
      <c r="F129" s="2">
        <v>0.65</v>
      </c>
      <c r="G129" s="1" t="s">
        <v>12</v>
      </c>
      <c r="H129" s="1" t="s">
        <v>13</v>
      </c>
      <c r="I129" s="1" t="s">
        <v>14</v>
      </c>
      <c r="J129" s="14">
        <v>0.64182870370370371</v>
      </c>
      <c r="K129" s="15">
        <v>44751</v>
      </c>
      <c r="L129" s="15"/>
      <c r="M129" s="2">
        <v>0.63</v>
      </c>
      <c r="O129" s="2">
        <f t="shared" si="13"/>
        <v>0.56000000000000005</v>
      </c>
      <c r="P129" s="2">
        <f t="shared" si="14"/>
        <v>48.52</v>
      </c>
      <c r="Q129" s="2">
        <f t="shared" si="15"/>
        <v>0.38175000000000031</v>
      </c>
      <c r="R129" s="2">
        <f t="shared" si="16"/>
        <v>0.24271428571428055</v>
      </c>
      <c r="S129" s="2">
        <f t="shared" si="17"/>
        <v>0.13903571428571976</v>
      </c>
    </row>
    <row r="130" spans="2:19" x14ac:dyDescent="0.25">
      <c r="B130" s="1">
        <f t="shared" si="18"/>
        <v>124</v>
      </c>
      <c r="C130" s="1">
        <v>216</v>
      </c>
      <c r="D130" s="13">
        <v>76.599999999999994</v>
      </c>
      <c r="E130" s="1" t="s">
        <v>11</v>
      </c>
      <c r="F130" s="2">
        <v>0.65500000000000003</v>
      </c>
      <c r="G130" s="1" t="s">
        <v>12</v>
      </c>
      <c r="H130" s="1" t="s">
        <v>13</v>
      </c>
      <c r="I130" s="1" t="s">
        <v>14</v>
      </c>
      <c r="J130" s="14">
        <v>0.64182870370370371</v>
      </c>
      <c r="K130" s="15">
        <v>44751</v>
      </c>
      <c r="L130" s="15"/>
      <c r="M130" s="2">
        <v>0.63500000000000001</v>
      </c>
      <c r="O130" s="2">
        <f t="shared" si="13"/>
        <v>0.56499999999999995</v>
      </c>
      <c r="P130" s="2">
        <f t="shared" si="14"/>
        <v>48.565714285714286</v>
      </c>
      <c r="Q130" s="2">
        <f t="shared" si="15"/>
        <v>0.38400000000000034</v>
      </c>
      <c r="R130" s="2">
        <f t="shared" si="16"/>
        <v>0.24294285714286273</v>
      </c>
      <c r="S130" s="2">
        <f t="shared" si="17"/>
        <v>0.14105714285713761</v>
      </c>
    </row>
    <row r="131" spans="2:19" x14ac:dyDescent="0.25">
      <c r="B131" s="1">
        <f t="shared" si="18"/>
        <v>125</v>
      </c>
      <c r="C131" s="1">
        <v>217</v>
      </c>
      <c r="D131" s="13">
        <v>77</v>
      </c>
      <c r="E131" s="1" t="s">
        <v>11</v>
      </c>
      <c r="F131" s="2">
        <v>0.66</v>
      </c>
      <c r="G131" s="1" t="s">
        <v>12</v>
      </c>
      <c r="H131" s="1" t="s">
        <v>13</v>
      </c>
      <c r="I131" s="1" t="s">
        <v>14</v>
      </c>
      <c r="J131" s="14">
        <v>0.64182870370370371</v>
      </c>
      <c r="K131" s="15">
        <v>44751</v>
      </c>
      <c r="L131" s="15"/>
      <c r="M131" s="2">
        <v>0.64</v>
      </c>
      <c r="O131" s="2">
        <f t="shared" si="13"/>
        <v>0.57000000000000006</v>
      </c>
      <c r="P131" s="2">
        <f t="shared" si="14"/>
        <v>48.611428571428576</v>
      </c>
      <c r="Q131" s="2">
        <f t="shared" si="15"/>
        <v>0.38625000000000032</v>
      </c>
      <c r="R131" s="2">
        <f t="shared" si="16"/>
        <v>0.2431714285714234</v>
      </c>
      <c r="S131" s="2">
        <f t="shared" si="17"/>
        <v>0.14307857142857691</v>
      </c>
    </row>
    <row r="132" spans="2:19" x14ac:dyDescent="0.25">
      <c r="B132" s="1">
        <f t="shared" si="18"/>
        <v>126</v>
      </c>
      <c r="C132" s="1">
        <v>219</v>
      </c>
      <c r="D132" s="13">
        <v>77.5</v>
      </c>
      <c r="E132" s="1" t="s">
        <v>11</v>
      </c>
      <c r="F132" s="2">
        <v>0.66500000000000004</v>
      </c>
      <c r="G132" s="1" t="s">
        <v>12</v>
      </c>
      <c r="H132" s="1" t="s">
        <v>13</v>
      </c>
      <c r="I132" s="1" t="s">
        <v>14</v>
      </c>
      <c r="J132" s="14">
        <v>0.64184027777777775</v>
      </c>
      <c r="K132" s="15">
        <v>44751</v>
      </c>
      <c r="L132" s="15"/>
      <c r="M132" s="2">
        <v>0.64500000000000002</v>
      </c>
      <c r="O132" s="2">
        <f t="shared" si="13"/>
        <v>0.57499999999999996</v>
      </c>
      <c r="P132" s="2">
        <f t="shared" si="14"/>
        <v>48.657142857142858</v>
      </c>
      <c r="Q132" s="2">
        <f t="shared" si="15"/>
        <v>0.38800000000000029</v>
      </c>
      <c r="R132" s="2">
        <f t="shared" si="16"/>
        <v>0.24340000000000561</v>
      </c>
      <c r="S132" s="2">
        <f t="shared" si="17"/>
        <v>0.14459999999999468</v>
      </c>
    </row>
    <row r="133" spans="2:19" x14ac:dyDescent="0.25">
      <c r="B133" s="1">
        <f t="shared" si="18"/>
        <v>127</v>
      </c>
      <c r="C133" s="1">
        <v>220</v>
      </c>
      <c r="D133" s="13">
        <v>77.7</v>
      </c>
      <c r="E133" s="1" t="s">
        <v>11</v>
      </c>
      <c r="F133" s="2">
        <v>0.67</v>
      </c>
      <c r="G133" s="1" t="s">
        <v>12</v>
      </c>
      <c r="H133" s="1" t="s">
        <v>13</v>
      </c>
      <c r="I133" s="1" t="s">
        <v>14</v>
      </c>
      <c r="J133" s="14">
        <v>0.64184027777777775</v>
      </c>
      <c r="K133" s="15">
        <v>44751</v>
      </c>
      <c r="L133" s="15"/>
      <c r="M133" s="2">
        <v>0.65</v>
      </c>
      <c r="O133" s="2">
        <f t="shared" si="13"/>
        <v>0.58000000000000007</v>
      </c>
      <c r="P133" s="2">
        <f t="shared" si="14"/>
        <v>48.702857142857141</v>
      </c>
      <c r="Q133" s="2">
        <f t="shared" si="15"/>
        <v>0.3890000000000004</v>
      </c>
      <c r="R133" s="2">
        <f t="shared" si="16"/>
        <v>0.24362857142856625</v>
      </c>
      <c r="S133" s="2">
        <f t="shared" si="17"/>
        <v>0.14537142857143415</v>
      </c>
    </row>
    <row r="134" spans="2:19" x14ac:dyDescent="0.25">
      <c r="B134" s="1">
        <f t="shared" si="18"/>
        <v>128</v>
      </c>
      <c r="C134" s="1">
        <v>221</v>
      </c>
      <c r="D134" s="13">
        <v>77.900000000000006</v>
      </c>
      <c r="E134" s="1" t="s">
        <v>11</v>
      </c>
      <c r="F134" s="2">
        <v>0.67500000000000004</v>
      </c>
      <c r="G134" s="1" t="s">
        <v>12</v>
      </c>
      <c r="H134" s="1" t="s">
        <v>13</v>
      </c>
      <c r="I134" s="1" t="s">
        <v>14</v>
      </c>
      <c r="J134" s="14">
        <v>0.64184027777777775</v>
      </c>
      <c r="K134" s="15">
        <v>44751</v>
      </c>
      <c r="L134" s="15"/>
      <c r="M134" s="2">
        <v>0.65500000000000003</v>
      </c>
      <c r="O134" s="2">
        <f t="shared" si="13"/>
        <v>0.58499999999999996</v>
      </c>
      <c r="P134" s="2">
        <f t="shared" si="14"/>
        <v>48.748571428571431</v>
      </c>
      <c r="Q134" s="2">
        <f t="shared" si="15"/>
        <v>0.39075000000000037</v>
      </c>
      <c r="R134" s="2">
        <f t="shared" si="16"/>
        <v>0.24385714285714849</v>
      </c>
      <c r="S134" s="2">
        <f t="shared" si="17"/>
        <v>0.14689285714285188</v>
      </c>
    </row>
    <row r="135" spans="2:19" x14ac:dyDescent="0.25">
      <c r="B135" s="1">
        <f t="shared" si="18"/>
        <v>129</v>
      </c>
      <c r="C135" s="1">
        <v>223</v>
      </c>
      <c r="D135" s="13">
        <v>78.400000000000006</v>
      </c>
      <c r="E135" s="1" t="s">
        <v>11</v>
      </c>
      <c r="F135" s="2">
        <v>0.68</v>
      </c>
      <c r="G135" s="1" t="s">
        <v>12</v>
      </c>
      <c r="H135" s="1" t="s">
        <v>13</v>
      </c>
      <c r="I135" s="1" t="s">
        <v>14</v>
      </c>
      <c r="J135" s="14">
        <v>0.64184027777777775</v>
      </c>
      <c r="K135" s="15">
        <v>44751</v>
      </c>
      <c r="L135" s="15"/>
      <c r="M135" s="2">
        <v>0.66</v>
      </c>
      <c r="O135" s="2">
        <f t="shared" si="13"/>
        <v>0.59000000000000008</v>
      </c>
      <c r="P135" s="2">
        <f t="shared" si="14"/>
        <v>48.794285714285714</v>
      </c>
      <c r="Q135" s="2">
        <f t="shared" si="15"/>
        <v>0.3920000000000004</v>
      </c>
      <c r="R135" s="2">
        <f t="shared" si="16"/>
        <v>0.24408571428570908</v>
      </c>
      <c r="S135" s="2">
        <f t="shared" si="17"/>
        <v>0.14791428571429133</v>
      </c>
    </row>
    <row r="136" spans="2:19" x14ac:dyDescent="0.25">
      <c r="B136" s="1">
        <f t="shared" si="18"/>
        <v>130</v>
      </c>
      <c r="C136" s="1">
        <v>224</v>
      </c>
      <c r="D136" s="13">
        <v>78.400000000000006</v>
      </c>
      <c r="E136" s="1" t="s">
        <v>11</v>
      </c>
      <c r="F136" s="2">
        <v>0.68500000000000005</v>
      </c>
      <c r="G136" s="1" t="s">
        <v>12</v>
      </c>
      <c r="H136" s="1" t="s">
        <v>13</v>
      </c>
      <c r="I136" s="1" t="s">
        <v>14</v>
      </c>
      <c r="J136" s="14">
        <v>0.64184027777777775</v>
      </c>
      <c r="K136" s="15">
        <v>44751</v>
      </c>
      <c r="L136" s="15"/>
      <c r="M136" s="2">
        <v>0.66500000000000004</v>
      </c>
      <c r="O136" s="2">
        <f t="shared" ref="O136:O199" si="19">M136-$X$23</f>
        <v>0.59499999999999997</v>
      </c>
      <c r="P136" s="2">
        <f t="shared" ref="P136:P199" si="20">O136*$AC$21+$Y$23</f>
        <v>48.84</v>
      </c>
      <c r="Q136" s="2">
        <f t="shared" ref="Q136:Q199" si="21">((D136+D137)/2)*(M137-M136)</f>
        <v>0.39299999999999158</v>
      </c>
      <c r="R136" s="2">
        <f t="shared" ref="R136:R199" si="22">((P136+P137)/2)*(O137-O136)</f>
        <v>0.24431428571428052</v>
      </c>
      <c r="S136" s="2">
        <f t="shared" ref="S136:S199" si="23">Q136-R136</f>
        <v>0.14868571428571106</v>
      </c>
    </row>
    <row r="137" spans="2:19" x14ac:dyDescent="0.25">
      <c r="B137" s="1">
        <f t="shared" ref="B137:B200" si="24">B136+1</f>
        <v>131</v>
      </c>
      <c r="C137" s="1">
        <v>226</v>
      </c>
      <c r="D137" s="13">
        <v>78.8</v>
      </c>
      <c r="E137" s="1" t="s">
        <v>11</v>
      </c>
      <c r="F137" s="2">
        <v>0.69</v>
      </c>
      <c r="G137" s="1" t="s">
        <v>12</v>
      </c>
      <c r="H137" s="1" t="s">
        <v>13</v>
      </c>
      <c r="I137" s="1" t="s">
        <v>14</v>
      </c>
      <c r="J137" s="14">
        <v>0.64184027777777775</v>
      </c>
      <c r="K137" s="15">
        <v>44751</v>
      </c>
      <c r="L137" s="15"/>
      <c r="M137" s="2">
        <v>0.66999999999999993</v>
      </c>
      <c r="O137" s="2">
        <f t="shared" si="19"/>
        <v>0.59999999999999987</v>
      </c>
      <c r="P137" s="2">
        <f t="shared" si="20"/>
        <v>48.885714285714286</v>
      </c>
      <c r="Q137" s="2">
        <f t="shared" si="21"/>
        <v>0.39450000000000041</v>
      </c>
      <c r="R137" s="2">
        <f t="shared" si="22"/>
        <v>0.24454285714286278</v>
      </c>
      <c r="S137" s="2">
        <f t="shared" si="23"/>
        <v>0.14995714285713763</v>
      </c>
    </row>
    <row r="138" spans="2:19" x14ac:dyDescent="0.25">
      <c r="B138" s="1">
        <f t="shared" si="24"/>
        <v>132</v>
      </c>
      <c r="C138" s="1">
        <v>227</v>
      </c>
      <c r="D138" s="13">
        <v>79</v>
      </c>
      <c r="E138" s="1" t="s">
        <v>11</v>
      </c>
      <c r="F138" s="2">
        <v>0.69499999999999995</v>
      </c>
      <c r="G138" s="1" t="s">
        <v>12</v>
      </c>
      <c r="H138" s="1" t="s">
        <v>13</v>
      </c>
      <c r="I138" s="1" t="s">
        <v>14</v>
      </c>
      <c r="J138" s="14">
        <v>0.64184027777777775</v>
      </c>
      <c r="K138" s="15">
        <v>44751</v>
      </c>
      <c r="L138" s="15"/>
      <c r="M138" s="2">
        <v>0.67499999999999993</v>
      </c>
      <c r="O138" s="2">
        <f t="shared" si="19"/>
        <v>0.60499999999999998</v>
      </c>
      <c r="P138" s="2">
        <f t="shared" si="20"/>
        <v>48.931428571428569</v>
      </c>
      <c r="Q138" s="2">
        <f t="shared" si="21"/>
        <v>0.39475000000000038</v>
      </c>
      <c r="R138" s="2">
        <f t="shared" si="22"/>
        <v>0.24477142857142337</v>
      </c>
      <c r="S138" s="2">
        <f t="shared" si="23"/>
        <v>0.14997857142857701</v>
      </c>
    </row>
    <row r="139" spans="2:19" x14ac:dyDescent="0.25">
      <c r="B139" s="1">
        <f t="shared" si="24"/>
        <v>133</v>
      </c>
      <c r="C139" s="1">
        <v>229</v>
      </c>
      <c r="D139" s="13">
        <v>78.900000000000006</v>
      </c>
      <c r="E139" s="1" t="s">
        <v>11</v>
      </c>
      <c r="F139" s="2">
        <v>0.7</v>
      </c>
      <c r="G139" s="1" t="s">
        <v>12</v>
      </c>
      <c r="H139" s="1" t="s">
        <v>13</v>
      </c>
      <c r="I139" s="1" t="s">
        <v>14</v>
      </c>
      <c r="J139" s="14">
        <v>0.64185185185185178</v>
      </c>
      <c r="K139" s="15">
        <v>44751</v>
      </c>
      <c r="L139" s="15"/>
      <c r="M139" s="2">
        <v>0.67999999999999994</v>
      </c>
      <c r="O139" s="2">
        <f t="shared" si="19"/>
        <v>0.60999999999999988</v>
      </c>
      <c r="P139" s="2">
        <f t="shared" si="20"/>
        <v>48.977142857142859</v>
      </c>
      <c r="Q139" s="2">
        <f t="shared" si="21"/>
        <v>0.39450000000000041</v>
      </c>
      <c r="R139" s="2">
        <f t="shared" si="22"/>
        <v>0.24500000000000566</v>
      </c>
      <c r="S139" s="2">
        <f t="shared" si="23"/>
        <v>0.14949999999999475</v>
      </c>
    </row>
    <row r="140" spans="2:19" x14ac:dyDescent="0.25">
      <c r="B140" s="1">
        <f t="shared" si="24"/>
        <v>134</v>
      </c>
      <c r="C140" s="1">
        <v>230</v>
      </c>
      <c r="D140" s="13">
        <v>78.900000000000006</v>
      </c>
      <c r="E140" s="1" t="s">
        <v>11</v>
      </c>
      <c r="F140" s="2">
        <v>0.70499999999999996</v>
      </c>
      <c r="G140" s="1" t="s">
        <v>12</v>
      </c>
      <c r="H140" s="1" t="s">
        <v>13</v>
      </c>
      <c r="I140" s="1" t="s">
        <v>14</v>
      </c>
      <c r="J140" s="14">
        <v>0.64185185185185178</v>
      </c>
      <c r="K140" s="15">
        <v>44751</v>
      </c>
      <c r="L140" s="15"/>
      <c r="M140" s="2">
        <v>0.68499999999999994</v>
      </c>
      <c r="O140" s="2">
        <f t="shared" si="19"/>
        <v>0.61499999999999999</v>
      </c>
      <c r="P140" s="2">
        <f t="shared" si="20"/>
        <v>49.022857142857141</v>
      </c>
      <c r="Q140" s="2">
        <f t="shared" si="21"/>
        <v>0.39450000000000041</v>
      </c>
      <c r="R140" s="2">
        <f t="shared" si="22"/>
        <v>0.24522857142856619</v>
      </c>
      <c r="S140" s="2">
        <f t="shared" si="23"/>
        <v>0.14927142857143422</v>
      </c>
    </row>
    <row r="141" spans="2:19" x14ac:dyDescent="0.25">
      <c r="B141" s="1">
        <f t="shared" si="24"/>
        <v>135</v>
      </c>
      <c r="C141" s="1">
        <v>231</v>
      </c>
      <c r="D141" s="13">
        <v>78.900000000000006</v>
      </c>
      <c r="E141" s="1" t="s">
        <v>11</v>
      </c>
      <c r="F141" s="2">
        <v>0.71</v>
      </c>
      <c r="G141" s="1" t="s">
        <v>12</v>
      </c>
      <c r="H141" s="1" t="s">
        <v>13</v>
      </c>
      <c r="I141" s="1" t="s">
        <v>14</v>
      </c>
      <c r="J141" s="14">
        <v>0.64185185185185178</v>
      </c>
      <c r="K141" s="15">
        <v>44751</v>
      </c>
      <c r="L141" s="15"/>
      <c r="M141" s="2">
        <v>0.69</v>
      </c>
      <c r="O141" s="2">
        <f t="shared" si="19"/>
        <v>0.61999999999999988</v>
      </c>
      <c r="P141" s="2">
        <f t="shared" si="20"/>
        <v>49.068571428571431</v>
      </c>
      <c r="Q141" s="2">
        <f t="shared" si="21"/>
        <v>0.39450000000000041</v>
      </c>
      <c r="R141" s="2">
        <f t="shared" si="22"/>
        <v>0.24545714285714854</v>
      </c>
      <c r="S141" s="2">
        <f t="shared" si="23"/>
        <v>0.14904285714285187</v>
      </c>
    </row>
    <row r="142" spans="2:19" x14ac:dyDescent="0.25">
      <c r="B142" s="1">
        <f t="shared" si="24"/>
        <v>136</v>
      </c>
      <c r="C142" s="1">
        <v>233</v>
      </c>
      <c r="D142" s="13">
        <v>78.900000000000006</v>
      </c>
      <c r="E142" s="1" t="s">
        <v>11</v>
      </c>
      <c r="F142" s="2">
        <v>0.71499999999999997</v>
      </c>
      <c r="G142" s="1" t="s">
        <v>12</v>
      </c>
      <c r="H142" s="1" t="s">
        <v>13</v>
      </c>
      <c r="I142" s="1" t="s">
        <v>14</v>
      </c>
      <c r="J142" s="14">
        <v>0.64185185185185178</v>
      </c>
      <c r="K142" s="15">
        <v>44751</v>
      </c>
      <c r="L142" s="15"/>
      <c r="M142" s="2">
        <v>0.69499999999999995</v>
      </c>
      <c r="O142" s="2">
        <f t="shared" si="19"/>
        <v>0.625</v>
      </c>
      <c r="P142" s="2">
        <f t="shared" si="20"/>
        <v>49.114285714285714</v>
      </c>
      <c r="Q142" s="2">
        <f t="shared" si="21"/>
        <v>0.39500000000000035</v>
      </c>
      <c r="R142" s="2">
        <f t="shared" si="22"/>
        <v>0.24568571428570904</v>
      </c>
      <c r="S142" s="2">
        <f t="shared" si="23"/>
        <v>0.14931428571429131</v>
      </c>
    </row>
    <row r="143" spans="2:19" x14ac:dyDescent="0.25">
      <c r="B143" s="1">
        <f t="shared" si="24"/>
        <v>137</v>
      </c>
      <c r="C143" s="1">
        <v>234</v>
      </c>
      <c r="D143" s="13">
        <v>79.099999999999994</v>
      </c>
      <c r="E143" s="1" t="s">
        <v>11</v>
      </c>
      <c r="F143" s="2">
        <v>0.72</v>
      </c>
      <c r="G143" s="1" t="s">
        <v>12</v>
      </c>
      <c r="H143" s="1" t="s">
        <v>13</v>
      </c>
      <c r="I143" s="1" t="s">
        <v>14</v>
      </c>
      <c r="J143" s="14">
        <v>0.64185185185185178</v>
      </c>
      <c r="K143" s="15">
        <v>44751</v>
      </c>
      <c r="L143" s="15"/>
      <c r="M143" s="2">
        <v>0.7</v>
      </c>
      <c r="O143" s="2">
        <f t="shared" si="19"/>
        <v>0.62999999999999989</v>
      </c>
      <c r="P143" s="2">
        <f t="shared" si="20"/>
        <v>49.16</v>
      </c>
      <c r="Q143" s="2">
        <f t="shared" si="21"/>
        <v>0.79250000000000065</v>
      </c>
      <c r="R143" s="2">
        <f t="shared" si="22"/>
        <v>0.49205714285714325</v>
      </c>
      <c r="S143" s="2">
        <f t="shared" si="23"/>
        <v>0.3004428571428574</v>
      </c>
    </row>
    <row r="144" spans="2:19" x14ac:dyDescent="0.25">
      <c r="B144" s="1">
        <f t="shared" si="24"/>
        <v>138</v>
      </c>
      <c r="C144" s="1">
        <v>236</v>
      </c>
      <c r="D144" s="13">
        <v>79.400000000000006</v>
      </c>
      <c r="E144" s="1" t="s">
        <v>11</v>
      </c>
      <c r="F144" s="2">
        <v>0.73</v>
      </c>
      <c r="G144" s="1" t="s">
        <v>12</v>
      </c>
      <c r="H144" s="1" t="s">
        <v>13</v>
      </c>
      <c r="I144" s="1" t="s">
        <v>14</v>
      </c>
      <c r="J144" s="14">
        <v>0.64185185185185178</v>
      </c>
      <c r="K144" s="15">
        <v>44751</v>
      </c>
      <c r="L144" s="15"/>
      <c r="M144" s="2">
        <v>0.71</v>
      </c>
      <c r="O144" s="2">
        <f t="shared" si="19"/>
        <v>0.6399999999999999</v>
      </c>
      <c r="P144" s="2">
        <f t="shared" si="20"/>
        <v>49.251428571428569</v>
      </c>
      <c r="Q144" s="2">
        <f t="shared" si="21"/>
        <v>0.39625000000000032</v>
      </c>
      <c r="R144" s="2">
        <f t="shared" si="22"/>
        <v>0.24637142857143424</v>
      </c>
      <c r="S144" s="2">
        <f t="shared" si="23"/>
        <v>0.14987857142856609</v>
      </c>
    </row>
    <row r="145" spans="2:19" x14ac:dyDescent="0.25">
      <c r="B145" s="1">
        <f t="shared" si="24"/>
        <v>139</v>
      </c>
      <c r="C145" s="1">
        <v>237</v>
      </c>
      <c r="D145" s="13">
        <v>79.099999999999994</v>
      </c>
      <c r="E145" s="1" t="s">
        <v>11</v>
      </c>
      <c r="F145" s="2">
        <v>0.73499999999999999</v>
      </c>
      <c r="G145" s="1" t="s">
        <v>12</v>
      </c>
      <c r="H145" s="1" t="s">
        <v>13</v>
      </c>
      <c r="I145" s="1" t="s">
        <v>14</v>
      </c>
      <c r="J145" s="14">
        <v>0.64185185185185178</v>
      </c>
      <c r="K145" s="15">
        <v>44751</v>
      </c>
      <c r="L145" s="15"/>
      <c r="M145" s="2">
        <v>0.71499999999999997</v>
      </c>
      <c r="O145" s="2">
        <f t="shared" si="19"/>
        <v>0.64500000000000002</v>
      </c>
      <c r="P145" s="2">
        <f t="shared" si="20"/>
        <v>49.297142857142859</v>
      </c>
      <c r="Q145" s="2">
        <f t="shared" si="21"/>
        <v>0.39575000000000038</v>
      </c>
      <c r="R145" s="2">
        <f t="shared" si="22"/>
        <v>0.24659999999999474</v>
      </c>
      <c r="S145" s="2">
        <f t="shared" si="23"/>
        <v>0.14915000000000564</v>
      </c>
    </row>
    <row r="146" spans="2:19" x14ac:dyDescent="0.25">
      <c r="B146" s="1">
        <f t="shared" si="24"/>
        <v>140</v>
      </c>
      <c r="C146" s="1">
        <v>238</v>
      </c>
      <c r="D146" s="13">
        <v>79.2</v>
      </c>
      <c r="E146" s="1" t="s">
        <v>11</v>
      </c>
      <c r="F146" s="2">
        <v>0.74</v>
      </c>
      <c r="G146" s="1" t="s">
        <v>12</v>
      </c>
      <c r="H146" s="1" t="s">
        <v>13</v>
      </c>
      <c r="I146" s="1" t="s">
        <v>14</v>
      </c>
      <c r="J146" s="14">
        <v>0.64185185185185178</v>
      </c>
      <c r="K146" s="15">
        <v>44751</v>
      </c>
      <c r="L146" s="15"/>
      <c r="M146" s="2">
        <v>0.72</v>
      </c>
      <c r="O146" s="2">
        <f t="shared" si="19"/>
        <v>0.64999999999999991</v>
      </c>
      <c r="P146" s="2">
        <f t="shared" si="20"/>
        <v>49.342857142857142</v>
      </c>
      <c r="Q146" s="2">
        <f t="shared" si="21"/>
        <v>0.7920000000000007</v>
      </c>
      <c r="R146" s="2">
        <f t="shared" si="22"/>
        <v>0.49388571428571471</v>
      </c>
      <c r="S146" s="2">
        <f t="shared" si="23"/>
        <v>0.298114285714286</v>
      </c>
    </row>
    <row r="147" spans="2:19" x14ac:dyDescent="0.25">
      <c r="B147" s="1">
        <f t="shared" si="24"/>
        <v>141</v>
      </c>
      <c r="C147" s="1">
        <v>239</v>
      </c>
      <c r="D147" s="13">
        <v>79.2</v>
      </c>
      <c r="E147" s="1" t="s">
        <v>11</v>
      </c>
      <c r="F147" s="2">
        <v>0.75</v>
      </c>
      <c r="G147" s="1" t="s">
        <v>12</v>
      </c>
      <c r="H147" s="1" t="s">
        <v>13</v>
      </c>
      <c r="I147" s="1" t="s">
        <v>14</v>
      </c>
      <c r="J147" s="14">
        <v>0.64186342592592593</v>
      </c>
      <c r="K147" s="15">
        <v>44751</v>
      </c>
      <c r="L147" s="15"/>
      <c r="M147" s="2">
        <v>0.73</v>
      </c>
      <c r="O147" s="2">
        <f t="shared" si="19"/>
        <v>0.65999999999999992</v>
      </c>
      <c r="P147" s="2">
        <f t="shared" si="20"/>
        <v>49.434285714285714</v>
      </c>
      <c r="Q147" s="2">
        <f t="shared" si="21"/>
        <v>0.39575000000000038</v>
      </c>
      <c r="R147" s="2">
        <f t="shared" si="22"/>
        <v>0.24728571428571999</v>
      </c>
      <c r="S147" s="2">
        <f t="shared" si="23"/>
        <v>0.14846428571428039</v>
      </c>
    </row>
    <row r="148" spans="2:19" x14ac:dyDescent="0.25">
      <c r="B148" s="1">
        <f t="shared" si="24"/>
        <v>142</v>
      </c>
      <c r="C148" s="1">
        <v>240</v>
      </c>
      <c r="D148" s="13">
        <v>79.099999999999994</v>
      </c>
      <c r="E148" s="1" t="s">
        <v>11</v>
      </c>
      <c r="F148" s="2">
        <v>0.755</v>
      </c>
      <c r="G148" s="1" t="s">
        <v>12</v>
      </c>
      <c r="H148" s="1" t="s">
        <v>13</v>
      </c>
      <c r="I148" s="1" t="s">
        <v>14</v>
      </c>
      <c r="J148" s="14">
        <v>0.64186342592592593</v>
      </c>
      <c r="K148" s="15">
        <v>44751</v>
      </c>
      <c r="L148" s="15"/>
      <c r="M148" s="2">
        <v>0.73499999999999999</v>
      </c>
      <c r="O148" s="2">
        <f t="shared" si="19"/>
        <v>0.66500000000000004</v>
      </c>
      <c r="P148" s="2">
        <f t="shared" si="20"/>
        <v>49.480000000000004</v>
      </c>
      <c r="Q148" s="2">
        <f t="shared" si="21"/>
        <v>0.3960000000000003</v>
      </c>
      <c r="R148" s="2">
        <f t="shared" si="22"/>
        <v>0.24751428571428044</v>
      </c>
      <c r="S148" s="2">
        <f t="shared" si="23"/>
        <v>0.14848571428571986</v>
      </c>
    </row>
    <row r="149" spans="2:19" x14ac:dyDescent="0.25">
      <c r="B149" s="1">
        <f t="shared" si="24"/>
        <v>143</v>
      </c>
      <c r="C149" s="1">
        <v>241</v>
      </c>
      <c r="D149" s="13">
        <v>79.3</v>
      </c>
      <c r="E149" s="1" t="s">
        <v>11</v>
      </c>
      <c r="F149" s="2">
        <v>0.76</v>
      </c>
      <c r="G149" s="1" t="s">
        <v>12</v>
      </c>
      <c r="H149" s="1" t="s">
        <v>13</v>
      </c>
      <c r="I149" s="1" t="s">
        <v>14</v>
      </c>
      <c r="J149" s="14">
        <v>0.64186342592592593</v>
      </c>
      <c r="K149" s="15">
        <v>44751</v>
      </c>
      <c r="L149" s="15"/>
      <c r="M149" s="2">
        <v>0.74</v>
      </c>
      <c r="O149" s="2">
        <f t="shared" si="19"/>
        <v>0.66999999999999993</v>
      </c>
      <c r="P149" s="2">
        <f t="shared" si="20"/>
        <v>49.525714285714287</v>
      </c>
      <c r="Q149" s="2">
        <f t="shared" si="21"/>
        <v>0.39700000000000041</v>
      </c>
      <c r="R149" s="2">
        <f t="shared" si="22"/>
        <v>0.24774285714286287</v>
      </c>
      <c r="S149" s="2">
        <f t="shared" si="23"/>
        <v>0.14925714285713754</v>
      </c>
    </row>
    <row r="150" spans="2:19" x14ac:dyDescent="0.25">
      <c r="B150" s="1">
        <f t="shared" si="24"/>
        <v>144</v>
      </c>
      <c r="C150" s="1">
        <v>242</v>
      </c>
      <c r="D150" s="13">
        <v>79.5</v>
      </c>
      <c r="E150" s="1" t="s">
        <v>11</v>
      </c>
      <c r="F150" s="2">
        <v>0.76500000000000001</v>
      </c>
      <c r="G150" s="1" t="s">
        <v>12</v>
      </c>
      <c r="H150" s="1" t="s">
        <v>13</v>
      </c>
      <c r="I150" s="1" t="s">
        <v>14</v>
      </c>
      <c r="J150" s="14">
        <v>0.64186342592592593</v>
      </c>
      <c r="K150" s="15">
        <v>44751</v>
      </c>
      <c r="L150" s="15"/>
      <c r="M150" s="2">
        <v>0.745</v>
      </c>
      <c r="O150" s="2">
        <f t="shared" si="19"/>
        <v>0.67500000000000004</v>
      </c>
      <c r="P150" s="2">
        <f t="shared" si="20"/>
        <v>49.571428571428569</v>
      </c>
      <c r="Q150" s="2">
        <f t="shared" si="21"/>
        <v>0.39750000000000035</v>
      </c>
      <c r="R150" s="2">
        <f t="shared" si="22"/>
        <v>0.24797142857142329</v>
      </c>
      <c r="S150" s="2">
        <f t="shared" si="23"/>
        <v>0.14952857142857706</v>
      </c>
    </row>
    <row r="151" spans="2:19" x14ac:dyDescent="0.25">
      <c r="B151" s="1">
        <f t="shared" si="24"/>
        <v>145</v>
      </c>
      <c r="C151" s="1">
        <v>243</v>
      </c>
      <c r="D151" s="13">
        <v>79.5</v>
      </c>
      <c r="E151" s="1" t="s">
        <v>11</v>
      </c>
      <c r="F151" s="2">
        <v>0.77</v>
      </c>
      <c r="G151" s="1" t="s">
        <v>12</v>
      </c>
      <c r="H151" s="1" t="s">
        <v>13</v>
      </c>
      <c r="I151" s="1" t="s">
        <v>14</v>
      </c>
      <c r="J151" s="14">
        <v>0.64186342592592593</v>
      </c>
      <c r="K151" s="15">
        <v>44751</v>
      </c>
      <c r="L151" s="15"/>
      <c r="M151" s="2">
        <v>0.75</v>
      </c>
      <c r="O151" s="2">
        <f t="shared" si="19"/>
        <v>0.67999999999999994</v>
      </c>
      <c r="P151" s="2">
        <f t="shared" si="20"/>
        <v>49.617142857142859</v>
      </c>
      <c r="Q151" s="2">
        <f t="shared" si="21"/>
        <v>0.39750000000000035</v>
      </c>
      <c r="R151" s="2">
        <f t="shared" si="22"/>
        <v>0.24820000000000572</v>
      </c>
      <c r="S151" s="2">
        <f t="shared" si="23"/>
        <v>0.14929999999999463</v>
      </c>
    </row>
    <row r="152" spans="2:19" x14ac:dyDescent="0.25">
      <c r="B152" s="1">
        <f t="shared" si="24"/>
        <v>146</v>
      </c>
      <c r="C152" s="1">
        <v>244</v>
      </c>
      <c r="D152" s="13">
        <v>79.5</v>
      </c>
      <c r="E152" s="1" t="s">
        <v>11</v>
      </c>
      <c r="F152" s="2">
        <v>0.77500000000000002</v>
      </c>
      <c r="G152" s="1" t="s">
        <v>12</v>
      </c>
      <c r="H152" s="1" t="s">
        <v>13</v>
      </c>
      <c r="I152" s="1" t="s">
        <v>14</v>
      </c>
      <c r="J152" s="14">
        <v>0.64186342592592593</v>
      </c>
      <c r="K152" s="15">
        <v>44751</v>
      </c>
      <c r="L152" s="15"/>
      <c r="M152" s="2">
        <v>0.755</v>
      </c>
      <c r="O152" s="2">
        <f t="shared" si="19"/>
        <v>0.68500000000000005</v>
      </c>
      <c r="P152" s="2">
        <f t="shared" si="20"/>
        <v>49.662857142857142</v>
      </c>
      <c r="Q152" s="2">
        <f t="shared" si="21"/>
        <v>0.39750000000000035</v>
      </c>
      <c r="R152" s="2">
        <f t="shared" si="22"/>
        <v>0.24842857142856611</v>
      </c>
      <c r="S152" s="2">
        <f t="shared" si="23"/>
        <v>0.14907142857143424</v>
      </c>
    </row>
    <row r="153" spans="2:19" x14ac:dyDescent="0.25">
      <c r="B153" s="1">
        <f t="shared" si="24"/>
        <v>147</v>
      </c>
      <c r="C153" s="1">
        <v>245</v>
      </c>
      <c r="D153" s="13">
        <v>79.5</v>
      </c>
      <c r="E153" s="1" t="s">
        <v>11</v>
      </c>
      <c r="F153" s="2">
        <v>0.78</v>
      </c>
      <c r="G153" s="1" t="s">
        <v>12</v>
      </c>
      <c r="H153" s="1" t="s">
        <v>13</v>
      </c>
      <c r="I153" s="1" t="s">
        <v>14</v>
      </c>
      <c r="J153" s="14">
        <v>0.64186342592592593</v>
      </c>
      <c r="K153" s="15">
        <v>44751</v>
      </c>
      <c r="L153" s="15"/>
      <c r="M153" s="2">
        <v>0.76</v>
      </c>
      <c r="O153" s="2">
        <f t="shared" si="19"/>
        <v>0.69</v>
      </c>
      <c r="P153" s="2">
        <f t="shared" si="20"/>
        <v>49.708571428571432</v>
      </c>
      <c r="Q153" s="2">
        <f t="shared" si="21"/>
        <v>0.39750000000000035</v>
      </c>
      <c r="R153" s="2">
        <f t="shared" si="22"/>
        <v>0.2486571428571486</v>
      </c>
      <c r="S153" s="2">
        <f t="shared" si="23"/>
        <v>0.14884285714285175</v>
      </c>
    </row>
    <row r="154" spans="2:19" x14ac:dyDescent="0.25">
      <c r="B154" s="1">
        <f t="shared" si="24"/>
        <v>148</v>
      </c>
      <c r="C154" s="1">
        <v>246</v>
      </c>
      <c r="D154" s="13">
        <v>79.5</v>
      </c>
      <c r="E154" s="1" t="s">
        <v>11</v>
      </c>
      <c r="F154" s="2">
        <v>0.78500000000000003</v>
      </c>
      <c r="G154" s="1" t="s">
        <v>12</v>
      </c>
      <c r="H154" s="1" t="s">
        <v>13</v>
      </c>
      <c r="I154" s="1" t="s">
        <v>14</v>
      </c>
      <c r="J154" s="14">
        <v>0.64186342592592593</v>
      </c>
      <c r="K154" s="15">
        <v>44751</v>
      </c>
      <c r="L154" s="15"/>
      <c r="M154" s="2">
        <v>0.76500000000000001</v>
      </c>
      <c r="O154" s="2">
        <f t="shared" si="19"/>
        <v>0.69500000000000006</v>
      </c>
      <c r="P154" s="2">
        <f t="shared" si="20"/>
        <v>49.754285714285714</v>
      </c>
      <c r="Q154" s="2">
        <f t="shared" si="21"/>
        <v>0.39775000000000033</v>
      </c>
      <c r="R154" s="2">
        <f t="shared" si="22"/>
        <v>0.24888571428570896</v>
      </c>
      <c r="S154" s="2">
        <f t="shared" si="23"/>
        <v>0.14886428571429136</v>
      </c>
    </row>
    <row r="155" spans="2:19" x14ac:dyDescent="0.25">
      <c r="B155" s="1">
        <f t="shared" si="24"/>
        <v>149</v>
      </c>
      <c r="C155" s="1">
        <v>247</v>
      </c>
      <c r="D155" s="13">
        <v>79.599999999999994</v>
      </c>
      <c r="E155" s="1" t="s">
        <v>11</v>
      </c>
      <c r="F155" s="2">
        <v>0.79</v>
      </c>
      <c r="G155" s="1" t="s">
        <v>12</v>
      </c>
      <c r="H155" s="1" t="s">
        <v>13</v>
      </c>
      <c r="I155" s="1" t="s">
        <v>14</v>
      </c>
      <c r="J155" s="14">
        <v>0.64186342592592593</v>
      </c>
      <c r="K155" s="15">
        <v>44751</v>
      </c>
      <c r="L155" s="15"/>
      <c r="M155" s="2">
        <v>0.77</v>
      </c>
      <c r="O155" s="2">
        <f t="shared" si="19"/>
        <v>0.7</v>
      </c>
      <c r="P155" s="2">
        <f t="shared" si="20"/>
        <v>49.8</v>
      </c>
      <c r="Q155" s="2">
        <f t="shared" si="21"/>
        <v>0.39825000000000038</v>
      </c>
      <c r="R155" s="2">
        <f t="shared" si="22"/>
        <v>0.24911428571429148</v>
      </c>
      <c r="S155" s="2">
        <f t="shared" si="23"/>
        <v>0.1491357142857089</v>
      </c>
    </row>
    <row r="156" spans="2:19" x14ac:dyDescent="0.25">
      <c r="B156" s="1">
        <f t="shared" si="24"/>
        <v>150</v>
      </c>
      <c r="C156" s="1">
        <v>248</v>
      </c>
      <c r="D156" s="13">
        <v>79.7</v>
      </c>
      <c r="E156" s="1" t="s">
        <v>11</v>
      </c>
      <c r="F156" s="2">
        <v>0.79500000000000004</v>
      </c>
      <c r="G156" s="1" t="s">
        <v>12</v>
      </c>
      <c r="H156" s="1" t="s">
        <v>13</v>
      </c>
      <c r="I156" s="1" t="s">
        <v>14</v>
      </c>
      <c r="J156" s="14">
        <v>0.64186342592592593</v>
      </c>
      <c r="K156" s="15">
        <v>44751</v>
      </c>
      <c r="L156" s="15"/>
      <c r="M156" s="2">
        <v>0.77500000000000002</v>
      </c>
      <c r="O156" s="2">
        <f t="shared" si="19"/>
        <v>0.70500000000000007</v>
      </c>
      <c r="P156" s="2">
        <f t="shared" si="20"/>
        <v>49.845714285714287</v>
      </c>
      <c r="Q156" s="2">
        <f t="shared" si="21"/>
        <v>0.39850000000000035</v>
      </c>
      <c r="R156" s="2">
        <f t="shared" si="22"/>
        <v>0.24934285714285181</v>
      </c>
      <c r="S156" s="2">
        <f t="shared" si="23"/>
        <v>0.14915714285714854</v>
      </c>
    </row>
    <row r="157" spans="2:19" x14ac:dyDescent="0.25">
      <c r="B157" s="1">
        <f t="shared" si="24"/>
        <v>151</v>
      </c>
      <c r="C157" s="1">
        <v>249</v>
      </c>
      <c r="D157" s="13">
        <v>79.7</v>
      </c>
      <c r="E157" s="1" t="s">
        <v>11</v>
      </c>
      <c r="F157" s="2">
        <v>0.8</v>
      </c>
      <c r="G157" s="1" t="s">
        <v>12</v>
      </c>
      <c r="H157" s="1" t="s">
        <v>13</v>
      </c>
      <c r="I157" s="1" t="s">
        <v>14</v>
      </c>
      <c r="J157" s="14">
        <v>0.64187499999999997</v>
      </c>
      <c r="K157" s="15">
        <v>44751</v>
      </c>
      <c r="L157" s="15"/>
      <c r="M157" s="2">
        <v>0.78</v>
      </c>
      <c r="O157" s="2">
        <f t="shared" si="19"/>
        <v>0.71</v>
      </c>
      <c r="P157" s="2">
        <f t="shared" si="20"/>
        <v>49.89142857142857</v>
      </c>
      <c r="Q157" s="2">
        <f t="shared" si="21"/>
        <v>0.39850000000000035</v>
      </c>
      <c r="R157" s="2">
        <f t="shared" si="22"/>
        <v>0.24957142857143433</v>
      </c>
      <c r="S157" s="2">
        <f t="shared" si="23"/>
        <v>0.14892857142856603</v>
      </c>
    </row>
    <row r="158" spans="2:19" x14ac:dyDescent="0.25">
      <c r="B158" s="1">
        <f t="shared" si="24"/>
        <v>152</v>
      </c>
      <c r="C158" s="1">
        <v>250</v>
      </c>
      <c r="D158" s="13">
        <v>79.7</v>
      </c>
      <c r="E158" s="1" t="s">
        <v>11</v>
      </c>
      <c r="F158" s="2">
        <v>0.80500000000000005</v>
      </c>
      <c r="G158" s="1" t="s">
        <v>12</v>
      </c>
      <c r="H158" s="1" t="s">
        <v>13</v>
      </c>
      <c r="I158" s="1" t="s">
        <v>14</v>
      </c>
      <c r="J158" s="14">
        <v>0.64187499999999997</v>
      </c>
      <c r="K158" s="15">
        <v>44751</v>
      </c>
      <c r="L158" s="15"/>
      <c r="M158" s="2">
        <v>0.78500000000000003</v>
      </c>
      <c r="O158" s="2">
        <f t="shared" si="19"/>
        <v>0.71500000000000008</v>
      </c>
      <c r="P158" s="2">
        <f t="shared" si="20"/>
        <v>49.937142857142859</v>
      </c>
      <c r="Q158" s="2">
        <f t="shared" si="21"/>
        <v>0.39825000000000038</v>
      </c>
      <c r="R158" s="2">
        <f t="shared" si="22"/>
        <v>0.24979999999999469</v>
      </c>
      <c r="S158" s="2">
        <f t="shared" si="23"/>
        <v>0.14845000000000569</v>
      </c>
    </row>
    <row r="159" spans="2:19" x14ac:dyDescent="0.25">
      <c r="B159" s="1">
        <f t="shared" si="24"/>
        <v>153</v>
      </c>
      <c r="C159" s="1">
        <v>251</v>
      </c>
      <c r="D159" s="13">
        <v>79.599999999999994</v>
      </c>
      <c r="E159" s="1" t="s">
        <v>11</v>
      </c>
      <c r="F159" s="2">
        <v>0.81</v>
      </c>
      <c r="G159" s="1" t="s">
        <v>12</v>
      </c>
      <c r="H159" s="1" t="s">
        <v>13</v>
      </c>
      <c r="I159" s="1" t="s">
        <v>14</v>
      </c>
      <c r="J159" s="14">
        <v>0.64187499999999997</v>
      </c>
      <c r="K159" s="15">
        <v>44751</v>
      </c>
      <c r="L159" s="15"/>
      <c r="M159" s="2">
        <v>0.79</v>
      </c>
      <c r="O159" s="2">
        <f t="shared" si="19"/>
        <v>0.72</v>
      </c>
      <c r="P159" s="2">
        <f t="shared" si="20"/>
        <v>49.982857142857142</v>
      </c>
      <c r="Q159" s="2">
        <f t="shared" si="21"/>
        <v>0.39799999999999147</v>
      </c>
      <c r="R159" s="2">
        <f t="shared" si="22"/>
        <v>0.2500285714285661</v>
      </c>
      <c r="S159" s="2">
        <f t="shared" si="23"/>
        <v>0.14797142857142537</v>
      </c>
    </row>
    <row r="160" spans="2:19" x14ac:dyDescent="0.25">
      <c r="B160" s="1">
        <f t="shared" si="24"/>
        <v>154</v>
      </c>
      <c r="C160" s="1">
        <v>252</v>
      </c>
      <c r="D160" s="13">
        <v>79.599999999999994</v>
      </c>
      <c r="E160" s="1" t="s">
        <v>11</v>
      </c>
      <c r="F160" s="2">
        <v>0.81499999999999995</v>
      </c>
      <c r="G160" s="1" t="s">
        <v>12</v>
      </c>
      <c r="H160" s="1" t="s">
        <v>13</v>
      </c>
      <c r="I160" s="1" t="s">
        <v>14</v>
      </c>
      <c r="J160" s="14">
        <v>0.64187499999999997</v>
      </c>
      <c r="K160" s="15">
        <v>44751</v>
      </c>
      <c r="L160" s="15"/>
      <c r="M160" s="2">
        <v>0.79499999999999993</v>
      </c>
      <c r="O160" s="2">
        <f t="shared" si="19"/>
        <v>0.72499999999999987</v>
      </c>
      <c r="P160" s="2">
        <f t="shared" si="20"/>
        <v>50.028571428571425</v>
      </c>
      <c r="Q160" s="2">
        <f t="shared" si="21"/>
        <v>0.3985000000000003</v>
      </c>
      <c r="R160" s="2">
        <f t="shared" si="22"/>
        <v>0.25025714285714867</v>
      </c>
      <c r="S160" s="2">
        <f t="shared" si="23"/>
        <v>0.14824285714285163</v>
      </c>
    </row>
    <row r="161" spans="2:19" x14ac:dyDescent="0.25">
      <c r="B161" s="1">
        <f t="shared" si="24"/>
        <v>155</v>
      </c>
      <c r="C161" s="1">
        <v>253</v>
      </c>
      <c r="D161" s="13">
        <v>79.8</v>
      </c>
      <c r="E161" s="1" t="s">
        <v>11</v>
      </c>
      <c r="F161" s="2">
        <v>0.82</v>
      </c>
      <c r="G161" s="1" t="s">
        <v>12</v>
      </c>
      <c r="H161" s="1" t="s">
        <v>13</v>
      </c>
      <c r="I161" s="1" t="s">
        <v>14</v>
      </c>
      <c r="J161" s="14">
        <v>0.64187499999999997</v>
      </c>
      <c r="K161" s="15">
        <v>44751</v>
      </c>
      <c r="L161" s="15"/>
      <c r="M161" s="2">
        <v>0.79999999999999993</v>
      </c>
      <c r="O161" s="2">
        <f t="shared" si="19"/>
        <v>0.73</v>
      </c>
      <c r="P161" s="2">
        <f t="shared" si="20"/>
        <v>50.074285714285715</v>
      </c>
      <c r="Q161" s="2">
        <f t="shared" si="21"/>
        <v>0.39925000000000033</v>
      </c>
      <c r="R161" s="2">
        <f t="shared" si="22"/>
        <v>0.25048571428570893</v>
      </c>
      <c r="S161" s="2">
        <f t="shared" si="23"/>
        <v>0.1487642857142914</v>
      </c>
    </row>
    <row r="162" spans="2:19" x14ac:dyDescent="0.25">
      <c r="B162" s="1">
        <f t="shared" si="24"/>
        <v>156</v>
      </c>
      <c r="C162" s="1">
        <v>254</v>
      </c>
      <c r="D162" s="13">
        <v>79.900000000000006</v>
      </c>
      <c r="E162" s="1" t="s">
        <v>11</v>
      </c>
      <c r="F162" s="2">
        <v>0.82499999999999996</v>
      </c>
      <c r="G162" s="1" t="s">
        <v>12</v>
      </c>
      <c r="H162" s="1" t="s">
        <v>13</v>
      </c>
      <c r="I162" s="1" t="s">
        <v>14</v>
      </c>
      <c r="J162" s="14">
        <v>0.64187499999999997</v>
      </c>
      <c r="K162" s="15">
        <v>44751</v>
      </c>
      <c r="L162" s="15"/>
      <c r="M162" s="2">
        <v>0.80499999999999994</v>
      </c>
      <c r="O162" s="2">
        <f t="shared" si="19"/>
        <v>0.73499999999999988</v>
      </c>
      <c r="P162" s="2">
        <f t="shared" si="20"/>
        <v>50.12</v>
      </c>
      <c r="Q162" s="2">
        <f t="shared" si="21"/>
        <v>0.39950000000000041</v>
      </c>
      <c r="R162" s="2">
        <f t="shared" si="22"/>
        <v>0.2507142857142915</v>
      </c>
      <c r="S162" s="2">
        <f t="shared" si="23"/>
        <v>0.14878571428570891</v>
      </c>
    </row>
    <row r="163" spans="2:19" x14ac:dyDescent="0.25">
      <c r="B163" s="1">
        <f t="shared" si="24"/>
        <v>157</v>
      </c>
      <c r="C163" s="1">
        <v>255</v>
      </c>
      <c r="D163" s="13">
        <v>79.900000000000006</v>
      </c>
      <c r="E163" s="1" t="s">
        <v>11</v>
      </c>
      <c r="F163" s="2">
        <v>0.83</v>
      </c>
      <c r="G163" s="1" t="s">
        <v>12</v>
      </c>
      <c r="H163" s="1" t="s">
        <v>13</v>
      </c>
      <c r="I163" s="1" t="s">
        <v>14</v>
      </c>
      <c r="J163" s="14">
        <v>0.64187499999999997</v>
      </c>
      <c r="K163" s="15">
        <v>44751</v>
      </c>
      <c r="L163" s="15"/>
      <c r="M163" s="2">
        <v>0.80999999999999994</v>
      </c>
      <c r="O163" s="2">
        <f t="shared" si="19"/>
        <v>0.74</v>
      </c>
      <c r="P163" s="2">
        <f t="shared" si="20"/>
        <v>50.165714285714287</v>
      </c>
      <c r="Q163" s="2">
        <f t="shared" si="21"/>
        <v>0.39950000000000041</v>
      </c>
      <c r="R163" s="2">
        <f t="shared" si="22"/>
        <v>0.25094285714285181</v>
      </c>
      <c r="S163" s="2">
        <f t="shared" si="23"/>
        <v>0.14855714285714861</v>
      </c>
    </row>
    <row r="164" spans="2:19" x14ac:dyDescent="0.25">
      <c r="B164" s="1">
        <f t="shared" si="24"/>
        <v>158</v>
      </c>
      <c r="C164" s="1">
        <v>256</v>
      </c>
      <c r="D164" s="13">
        <v>79.900000000000006</v>
      </c>
      <c r="E164" s="1" t="s">
        <v>11</v>
      </c>
      <c r="F164" s="2">
        <v>0.83499999999999996</v>
      </c>
      <c r="G164" s="1" t="s">
        <v>12</v>
      </c>
      <c r="H164" s="1" t="s">
        <v>13</v>
      </c>
      <c r="I164" s="1" t="s">
        <v>14</v>
      </c>
      <c r="J164" s="14">
        <v>0.64187499999999997</v>
      </c>
      <c r="K164" s="15">
        <v>44751</v>
      </c>
      <c r="L164" s="15"/>
      <c r="M164" s="2">
        <v>0.81499999999999995</v>
      </c>
      <c r="O164" s="2">
        <f t="shared" si="19"/>
        <v>0.74499999999999988</v>
      </c>
      <c r="P164" s="2">
        <f t="shared" si="20"/>
        <v>50.21142857142857</v>
      </c>
      <c r="Q164" s="2">
        <f t="shared" si="21"/>
        <v>0.39925000000000033</v>
      </c>
      <c r="R164" s="2">
        <f t="shared" si="22"/>
        <v>0.25117142857143437</v>
      </c>
      <c r="S164" s="2">
        <f t="shared" si="23"/>
        <v>0.14807857142856595</v>
      </c>
    </row>
    <row r="165" spans="2:19" x14ac:dyDescent="0.25">
      <c r="B165" s="1">
        <f t="shared" si="24"/>
        <v>159</v>
      </c>
      <c r="C165" s="1">
        <v>257</v>
      </c>
      <c r="D165" s="13">
        <v>79.8</v>
      </c>
      <c r="E165" s="1" t="s">
        <v>11</v>
      </c>
      <c r="F165" s="2">
        <v>0.84</v>
      </c>
      <c r="G165" s="1" t="s">
        <v>12</v>
      </c>
      <c r="H165" s="1" t="s">
        <v>13</v>
      </c>
      <c r="I165" s="1" t="s">
        <v>14</v>
      </c>
      <c r="J165" s="14">
        <v>0.64187499999999997</v>
      </c>
      <c r="K165" s="15">
        <v>44751</v>
      </c>
      <c r="L165" s="15"/>
      <c r="M165" s="2">
        <v>0.82</v>
      </c>
      <c r="O165" s="2">
        <f t="shared" si="19"/>
        <v>0.75</v>
      </c>
      <c r="P165" s="2">
        <f t="shared" si="20"/>
        <v>50.25714285714286</v>
      </c>
      <c r="Q165" s="2">
        <f t="shared" si="21"/>
        <v>0.39950000000000041</v>
      </c>
      <c r="R165" s="2">
        <f t="shared" si="22"/>
        <v>0.25139999999999463</v>
      </c>
      <c r="S165" s="2">
        <f t="shared" si="23"/>
        <v>0.14810000000000578</v>
      </c>
    </row>
    <row r="166" spans="2:19" x14ac:dyDescent="0.25">
      <c r="B166" s="1">
        <f t="shared" si="24"/>
        <v>160</v>
      </c>
      <c r="C166" s="1">
        <v>258</v>
      </c>
      <c r="D166" s="13">
        <v>80</v>
      </c>
      <c r="E166" s="1" t="s">
        <v>11</v>
      </c>
      <c r="F166" s="2">
        <v>0.84499999999999997</v>
      </c>
      <c r="G166" s="1" t="s">
        <v>12</v>
      </c>
      <c r="H166" s="1" t="s">
        <v>13</v>
      </c>
      <c r="I166" s="1" t="s">
        <v>14</v>
      </c>
      <c r="J166" s="14">
        <v>0.64187499999999997</v>
      </c>
      <c r="K166" s="15">
        <v>44751</v>
      </c>
      <c r="L166" s="15"/>
      <c r="M166" s="2">
        <v>0.82499999999999996</v>
      </c>
      <c r="O166" s="2">
        <f t="shared" si="19"/>
        <v>0.75499999999999989</v>
      </c>
      <c r="P166" s="2">
        <f t="shared" si="20"/>
        <v>50.302857142857142</v>
      </c>
      <c r="Q166" s="2">
        <f t="shared" si="21"/>
        <v>0.40025000000000033</v>
      </c>
      <c r="R166" s="2">
        <f t="shared" si="22"/>
        <v>0.25162857142857725</v>
      </c>
      <c r="S166" s="2">
        <f t="shared" si="23"/>
        <v>0.14862142857142308</v>
      </c>
    </row>
    <row r="167" spans="2:19" x14ac:dyDescent="0.25">
      <c r="B167" s="1">
        <f t="shared" si="24"/>
        <v>161</v>
      </c>
      <c r="C167" s="1">
        <v>259</v>
      </c>
      <c r="D167" s="13">
        <v>80.099999999999994</v>
      </c>
      <c r="E167" s="1" t="s">
        <v>11</v>
      </c>
      <c r="F167" s="2">
        <v>0.85</v>
      </c>
      <c r="G167" s="1" t="s">
        <v>12</v>
      </c>
      <c r="H167" s="1" t="s">
        <v>13</v>
      </c>
      <c r="I167" s="1" t="s">
        <v>14</v>
      </c>
      <c r="J167" s="14">
        <v>0.64188657407407412</v>
      </c>
      <c r="K167" s="15">
        <v>44751</v>
      </c>
      <c r="L167" s="15"/>
      <c r="M167" s="2">
        <v>0.83</v>
      </c>
      <c r="O167" s="2">
        <f t="shared" si="19"/>
        <v>0.76</v>
      </c>
      <c r="P167" s="2">
        <f t="shared" si="20"/>
        <v>50.348571428571432</v>
      </c>
      <c r="Q167" s="2">
        <f t="shared" si="21"/>
        <v>0.40000000000000036</v>
      </c>
      <c r="R167" s="2">
        <f t="shared" si="22"/>
        <v>0.25185714285713751</v>
      </c>
      <c r="S167" s="2">
        <f t="shared" si="23"/>
        <v>0.14814285714286285</v>
      </c>
    </row>
    <row r="168" spans="2:19" x14ac:dyDescent="0.25">
      <c r="B168" s="1">
        <f t="shared" si="24"/>
        <v>162</v>
      </c>
      <c r="C168" s="1">
        <v>260</v>
      </c>
      <c r="D168" s="13">
        <v>79.900000000000006</v>
      </c>
      <c r="E168" s="1" t="s">
        <v>11</v>
      </c>
      <c r="F168" s="2">
        <v>0.85499999999999998</v>
      </c>
      <c r="G168" s="1" t="s">
        <v>12</v>
      </c>
      <c r="H168" s="1" t="s">
        <v>13</v>
      </c>
      <c r="I168" s="1" t="s">
        <v>14</v>
      </c>
      <c r="J168" s="14">
        <v>0.64188657407407412</v>
      </c>
      <c r="K168" s="15">
        <v>44751</v>
      </c>
      <c r="L168" s="15"/>
      <c r="M168" s="2">
        <v>0.83499999999999996</v>
      </c>
      <c r="O168" s="2">
        <f t="shared" si="19"/>
        <v>0.7649999999999999</v>
      </c>
      <c r="P168" s="2">
        <f t="shared" si="20"/>
        <v>50.394285714285715</v>
      </c>
      <c r="Q168" s="2">
        <f t="shared" si="21"/>
        <v>0.40000000000000036</v>
      </c>
      <c r="R168" s="2">
        <f t="shared" si="22"/>
        <v>0.25208571428572013</v>
      </c>
      <c r="S168" s="2">
        <f t="shared" si="23"/>
        <v>0.14791428571428022</v>
      </c>
    </row>
    <row r="169" spans="2:19" x14ac:dyDescent="0.25">
      <c r="B169" s="1">
        <f t="shared" si="24"/>
        <v>163</v>
      </c>
      <c r="C169" s="1">
        <v>262</v>
      </c>
      <c r="D169" s="13">
        <v>80.099999999999994</v>
      </c>
      <c r="E169" s="1" t="s">
        <v>11</v>
      </c>
      <c r="F169" s="2">
        <v>0.86</v>
      </c>
      <c r="G169" s="1" t="s">
        <v>12</v>
      </c>
      <c r="H169" s="1" t="s">
        <v>13</v>
      </c>
      <c r="I169" s="1" t="s">
        <v>14</v>
      </c>
      <c r="J169" s="14">
        <v>0.64188657407407412</v>
      </c>
      <c r="K169" s="15">
        <v>44751</v>
      </c>
      <c r="L169" s="15"/>
      <c r="M169" s="2">
        <v>0.84</v>
      </c>
      <c r="O169" s="2">
        <f t="shared" si="19"/>
        <v>0.77</v>
      </c>
      <c r="P169" s="2">
        <f t="shared" si="20"/>
        <v>50.44</v>
      </c>
      <c r="Q169" s="2">
        <f t="shared" si="21"/>
        <v>0.40175000000000033</v>
      </c>
      <c r="R169" s="2">
        <f t="shared" si="22"/>
        <v>0.25231428571428033</v>
      </c>
      <c r="S169" s="2">
        <f t="shared" si="23"/>
        <v>0.14943571428572</v>
      </c>
    </row>
    <row r="170" spans="2:19" x14ac:dyDescent="0.25">
      <c r="B170" s="1">
        <f t="shared" si="24"/>
        <v>164</v>
      </c>
      <c r="C170" s="1">
        <v>263</v>
      </c>
      <c r="D170" s="13">
        <v>80.599999999999994</v>
      </c>
      <c r="E170" s="1" t="s">
        <v>11</v>
      </c>
      <c r="F170" s="2">
        <v>0.86499999999999999</v>
      </c>
      <c r="G170" s="1" t="s">
        <v>12</v>
      </c>
      <c r="H170" s="1" t="s">
        <v>13</v>
      </c>
      <c r="I170" s="1" t="s">
        <v>14</v>
      </c>
      <c r="J170" s="14">
        <v>0.64188657407407412</v>
      </c>
      <c r="K170" s="15">
        <v>44751</v>
      </c>
      <c r="L170" s="15"/>
      <c r="M170" s="2">
        <v>0.84499999999999997</v>
      </c>
      <c r="O170" s="2">
        <f t="shared" si="19"/>
        <v>0.77499999999999991</v>
      </c>
      <c r="P170" s="2">
        <f t="shared" si="20"/>
        <v>50.485714285714288</v>
      </c>
      <c r="Q170" s="2">
        <f t="shared" si="21"/>
        <v>0.80450000000000055</v>
      </c>
      <c r="R170" s="2">
        <f t="shared" si="22"/>
        <v>0.50531428571428627</v>
      </c>
      <c r="S170" s="2">
        <f t="shared" si="23"/>
        <v>0.29918571428571428</v>
      </c>
    </row>
    <row r="171" spans="2:19" x14ac:dyDescent="0.25">
      <c r="B171" s="1">
        <f t="shared" si="24"/>
        <v>165</v>
      </c>
      <c r="C171" s="1">
        <v>264</v>
      </c>
      <c r="D171" s="13">
        <v>80.3</v>
      </c>
      <c r="E171" s="1" t="s">
        <v>11</v>
      </c>
      <c r="F171" s="2">
        <v>0.875</v>
      </c>
      <c r="G171" s="1" t="s">
        <v>12</v>
      </c>
      <c r="H171" s="1" t="s">
        <v>13</v>
      </c>
      <c r="I171" s="1" t="s">
        <v>14</v>
      </c>
      <c r="J171" s="14">
        <v>0.64188657407407412</v>
      </c>
      <c r="K171" s="15">
        <v>44751</v>
      </c>
      <c r="L171" s="15"/>
      <c r="M171" s="2">
        <v>0.85499999999999998</v>
      </c>
      <c r="O171" s="2">
        <f t="shared" si="19"/>
        <v>0.78499999999999992</v>
      </c>
      <c r="P171" s="2">
        <f t="shared" si="20"/>
        <v>50.57714285714286</v>
      </c>
      <c r="Q171" s="2">
        <f t="shared" si="21"/>
        <v>0.40125000000000033</v>
      </c>
      <c r="R171" s="2">
        <f t="shared" si="22"/>
        <v>0.25300000000000583</v>
      </c>
      <c r="S171" s="2">
        <f t="shared" si="23"/>
        <v>0.1482499999999945</v>
      </c>
    </row>
    <row r="172" spans="2:19" x14ac:dyDescent="0.25">
      <c r="B172" s="1">
        <f t="shared" si="24"/>
        <v>166</v>
      </c>
      <c r="C172" s="1">
        <v>265</v>
      </c>
      <c r="D172" s="13">
        <v>80.2</v>
      </c>
      <c r="E172" s="1" t="s">
        <v>11</v>
      </c>
      <c r="F172" s="2">
        <v>0.88</v>
      </c>
      <c r="G172" s="1" t="s">
        <v>12</v>
      </c>
      <c r="H172" s="1" t="s">
        <v>13</v>
      </c>
      <c r="I172" s="1" t="s">
        <v>14</v>
      </c>
      <c r="J172" s="14">
        <v>0.64188657407407412</v>
      </c>
      <c r="K172" s="15">
        <v>44751</v>
      </c>
      <c r="L172" s="15"/>
      <c r="M172" s="2">
        <v>0.86</v>
      </c>
      <c r="O172" s="2">
        <f t="shared" si="19"/>
        <v>0.79</v>
      </c>
      <c r="P172" s="2">
        <f t="shared" si="20"/>
        <v>50.622857142857143</v>
      </c>
      <c r="Q172" s="2">
        <f t="shared" si="21"/>
        <v>0.80150000000000077</v>
      </c>
      <c r="R172" s="2">
        <f t="shared" si="22"/>
        <v>0.50668571428571474</v>
      </c>
      <c r="S172" s="2">
        <f t="shared" si="23"/>
        <v>0.29481428571428603</v>
      </c>
    </row>
    <row r="173" spans="2:19" x14ac:dyDescent="0.25">
      <c r="B173" s="1">
        <f t="shared" si="24"/>
        <v>167</v>
      </c>
      <c r="C173" s="1">
        <v>266</v>
      </c>
      <c r="D173" s="13">
        <v>80.099999999999994</v>
      </c>
      <c r="E173" s="1" t="s">
        <v>11</v>
      </c>
      <c r="F173" s="2">
        <v>0.89</v>
      </c>
      <c r="G173" s="1" t="s">
        <v>12</v>
      </c>
      <c r="H173" s="1" t="s">
        <v>13</v>
      </c>
      <c r="I173" s="1" t="s">
        <v>14</v>
      </c>
      <c r="J173" s="14">
        <v>0.64188657407407412</v>
      </c>
      <c r="K173" s="15">
        <v>44751</v>
      </c>
      <c r="L173" s="15"/>
      <c r="M173" s="2">
        <v>0.87</v>
      </c>
      <c r="O173" s="2">
        <f t="shared" si="19"/>
        <v>0.8</v>
      </c>
      <c r="P173" s="2">
        <f t="shared" si="20"/>
        <v>50.714285714285715</v>
      </c>
      <c r="Q173" s="2">
        <f t="shared" si="21"/>
        <v>0.40075000000000038</v>
      </c>
      <c r="R173" s="2">
        <f t="shared" si="22"/>
        <v>0.25368571428570885</v>
      </c>
      <c r="S173" s="2">
        <f t="shared" si="23"/>
        <v>0.14706428571429153</v>
      </c>
    </row>
    <row r="174" spans="2:19" x14ac:dyDescent="0.25">
      <c r="B174" s="1">
        <f t="shared" si="24"/>
        <v>168</v>
      </c>
      <c r="C174" s="1">
        <v>267</v>
      </c>
      <c r="D174" s="13">
        <v>80.2</v>
      </c>
      <c r="E174" s="1" t="s">
        <v>11</v>
      </c>
      <c r="F174" s="2">
        <v>0.89500000000000002</v>
      </c>
      <c r="G174" s="1" t="s">
        <v>12</v>
      </c>
      <c r="H174" s="1" t="s">
        <v>13</v>
      </c>
      <c r="I174" s="1" t="s">
        <v>14</v>
      </c>
      <c r="J174" s="14">
        <v>0.64188657407407412</v>
      </c>
      <c r="K174" s="15">
        <v>44751</v>
      </c>
      <c r="L174" s="15"/>
      <c r="M174" s="2">
        <v>0.875</v>
      </c>
      <c r="O174" s="2">
        <f t="shared" si="19"/>
        <v>0.80499999999999994</v>
      </c>
      <c r="P174" s="2">
        <f t="shared" si="20"/>
        <v>50.76</v>
      </c>
      <c r="Q174" s="2">
        <f t="shared" si="21"/>
        <v>0.40175000000000033</v>
      </c>
      <c r="R174" s="2">
        <f t="shared" si="22"/>
        <v>0.25391428571429159</v>
      </c>
      <c r="S174" s="2">
        <f t="shared" si="23"/>
        <v>0.14783571428570874</v>
      </c>
    </row>
    <row r="175" spans="2:19" x14ac:dyDescent="0.25">
      <c r="B175" s="1">
        <f t="shared" si="24"/>
        <v>169</v>
      </c>
      <c r="C175" s="1">
        <v>268</v>
      </c>
      <c r="D175" s="13">
        <v>80.5</v>
      </c>
      <c r="E175" s="1" t="s">
        <v>11</v>
      </c>
      <c r="F175" s="2">
        <v>0.9</v>
      </c>
      <c r="G175" s="1" t="s">
        <v>12</v>
      </c>
      <c r="H175" s="1" t="s">
        <v>13</v>
      </c>
      <c r="I175" s="1" t="s">
        <v>14</v>
      </c>
      <c r="J175" s="14">
        <v>0.64188657407407412</v>
      </c>
      <c r="K175" s="15">
        <v>44751</v>
      </c>
      <c r="L175" s="15"/>
      <c r="M175" s="2">
        <v>0.88</v>
      </c>
      <c r="O175" s="2">
        <f t="shared" si="19"/>
        <v>0.81</v>
      </c>
      <c r="P175" s="2">
        <f t="shared" si="20"/>
        <v>50.805714285714288</v>
      </c>
      <c r="Q175" s="2">
        <f t="shared" si="21"/>
        <v>0.80550000000000066</v>
      </c>
      <c r="R175" s="2">
        <f t="shared" si="22"/>
        <v>0.50851428571428614</v>
      </c>
      <c r="S175" s="2">
        <f t="shared" si="23"/>
        <v>0.29698571428571452</v>
      </c>
    </row>
    <row r="176" spans="2:19" x14ac:dyDescent="0.25">
      <c r="B176" s="1">
        <f t="shared" si="24"/>
        <v>170</v>
      </c>
      <c r="C176" s="1">
        <v>269</v>
      </c>
      <c r="D176" s="13">
        <v>80.599999999999994</v>
      </c>
      <c r="E176" s="1" t="s">
        <v>11</v>
      </c>
      <c r="F176" s="2">
        <v>0.91</v>
      </c>
      <c r="G176" s="1" t="s">
        <v>12</v>
      </c>
      <c r="H176" s="1" t="s">
        <v>13</v>
      </c>
      <c r="I176" s="1" t="s">
        <v>14</v>
      </c>
      <c r="J176" s="14">
        <v>0.64189814814814816</v>
      </c>
      <c r="K176" s="15">
        <v>44751</v>
      </c>
      <c r="L176" s="15"/>
      <c r="M176" s="2">
        <v>0.89</v>
      </c>
      <c r="O176" s="2">
        <f t="shared" si="19"/>
        <v>0.82000000000000006</v>
      </c>
      <c r="P176" s="2">
        <f t="shared" si="20"/>
        <v>50.89714285714286</v>
      </c>
      <c r="Q176" s="2">
        <f t="shared" si="21"/>
        <v>0.40275000000000033</v>
      </c>
      <c r="R176" s="2">
        <f t="shared" si="22"/>
        <v>0.25459999999999461</v>
      </c>
      <c r="S176" s="2">
        <f t="shared" si="23"/>
        <v>0.14815000000000572</v>
      </c>
    </row>
    <row r="177" spans="2:19" x14ac:dyDescent="0.25">
      <c r="B177" s="1">
        <f t="shared" si="24"/>
        <v>171</v>
      </c>
      <c r="C177" s="1">
        <v>270</v>
      </c>
      <c r="D177" s="13">
        <v>80.5</v>
      </c>
      <c r="E177" s="1" t="s">
        <v>11</v>
      </c>
      <c r="F177" s="2">
        <v>0.91500000000000004</v>
      </c>
      <c r="G177" s="1" t="s">
        <v>12</v>
      </c>
      <c r="H177" s="1" t="s">
        <v>13</v>
      </c>
      <c r="I177" s="1" t="s">
        <v>14</v>
      </c>
      <c r="J177" s="14">
        <v>0.64189814814814816</v>
      </c>
      <c r="K177" s="15">
        <v>44751</v>
      </c>
      <c r="L177" s="15"/>
      <c r="M177" s="2">
        <v>0.89500000000000002</v>
      </c>
      <c r="O177" s="2">
        <f t="shared" si="19"/>
        <v>0.82499999999999996</v>
      </c>
      <c r="P177" s="2">
        <f t="shared" si="20"/>
        <v>50.942857142857143</v>
      </c>
      <c r="Q177" s="2">
        <f t="shared" si="21"/>
        <v>0.80550000000000066</v>
      </c>
      <c r="R177" s="2">
        <f t="shared" si="22"/>
        <v>0.50988571428571483</v>
      </c>
      <c r="S177" s="2">
        <f t="shared" si="23"/>
        <v>0.29561428571428583</v>
      </c>
    </row>
    <row r="178" spans="2:19" x14ac:dyDescent="0.25">
      <c r="B178" s="1">
        <f t="shared" si="24"/>
        <v>172</v>
      </c>
      <c r="C178" s="1">
        <v>271</v>
      </c>
      <c r="D178" s="13">
        <v>80.599999999999994</v>
      </c>
      <c r="E178" s="1" t="s">
        <v>11</v>
      </c>
      <c r="F178" s="2">
        <v>0.92500000000000004</v>
      </c>
      <c r="G178" s="1" t="s">
        <v>12</v>
      </c>
      <c r="H178" s="1" t="s">
        <v>13</v>
      </c>
      <c r="I178" s="1" t="s">
        <v>14</v>
      </c>
      <c r="J178" s="14">
        <v>0.64189814814814816</v>
      </c>
      <c r="K178" s="15">
        <v>44751</v>
      </c>
      <c r="L178" s="15"/>
      <c r="M178" s="2">
        <v>0.90500000000000003</v>
      </c>
      <c r="O178" s="2">
        <f t="shared" si="19"/>
        <v>0.83499999999999996</v>
      </c>
      <c r="P178" s="2">
        <f t="shared" si="20"/>
        <v>51.034285714285716</v>
      </c>
      <c r="Q178" s="2">
        <f t="shared" si="21"/>
        <v>0.4035000000000003</v>
      </c>
      <c r="R178" s="2">
        <f t="shared" si="22"/>
        <v>0.25528571428572017</v>
      </c>
      <c r="S178" s="2">
        <f t="shared" si="23"/>
        <v>0.14821428571428014</v>
      </c>
    </row>
    <row r="179" spans="2:19" x14ac:dyDescent="0.25">
      <c r="B179" s="1">
        <f t="shared" si="24"/>
        <v>173</v>
      </c>
      <c r="C179" s="1">
        <v>272</v>
      </c>
      <c r="D179" s="13">
        <v>80.8</v>
      </c>
      <c r="E179" s="1" t="s">
        <v>11</v>
      </c>
      <c r="F179" s="2">
        <v>0.93</v>
      </c>
      <c r="G179" s="1" t="s">
        <v>12</v>
      </c>
      <c r="H179" s="1" t="s">
        <v>13</v>
      </c>
      <c r="I179" s="1" t="s">
        <v>14</v>
      </c>
      <c r="J179" s="14">
        <v>0.64189814814814816</v>
      </c>
      <c r="K179" s="15">
        <v>44751</v>
      </c>
      <c r="L179" s="15"/>
      <c r="M179" s="2">
        <v>0.91</v>
      </c>
      <c r="O179" s="2">
        <f t="shared" si="19"/>
        <v>0.84000000000000008</v>
      </c>
      <c r="P179" s="2">
        <f t="shared" si="20"/>
        <v>51.08</v>
      </c>
      <c r="Q179" s="2">
        <f t="shared" si="21"/>
        <v>0.4035000000000003</v>
      </c>
      <c r="R179" s="2">
        <f t="shared" si="22"/>
        <v>0.25551428571428031</v>
      </c>
      <c r="S179" s="2">
        <f t="shared" si="23"/>
        <v>0.14798571428571999</v>
      </c>
    </row>
    <row r="180" spans="2:19" x14ac:dyDescent="0.25">
      <c r="B180" s="1">
        <f t="shared" si="24"/>
        <v>174</v>
      </c>
      <c r="C180" s="1">
        <v>273</v>
      </c>
      <c r="D180" s="13">
        <v>80.599999999999994</v>
      </c>
      <c r="E180" s="1" t="s">
        <v>11</v>
      </c>
      <c r="F180" s="2">
        <v>0.93500000000000005</v>
      </c>
      <c r="G180" s="1" t="s">
        <v>12</v>
      </c>
      <c r="H180" s="1" t="s">
        <v>13</v>
      </c>
      <c r="I180" s="1" t="s">
        <v>14</v>
      </c>
      <c r="J180" s="14">
        <v>0.64189814814814816</v>
      </c>
      <c r="K180" s="15">
        <v>44751</v>
      </c>
      <c r="L180" s="15"/>
      <c r="M180" s="2">
        <v>0.91500000000000004</v>
      </c>
      <c r="O180" s="2">
        <f t="shared" si="19"/>
        <v>0.84499999999999997</v>
      </c>
      <c r="P180" s="2">
        <f t="shared" si="20"/>
        <v>51.125714285714288</v>
      </c>
      <c r="Q180" s="2">
        <f t="shared" si="21"/>
        <v>0.40199999999999148</v>
      </c>
      <c r="R180" s="2">
        <f t="shared" si="22"/>
        <v>0.25574285714285172</v>
      </c>
      <c r="S180" s="2">
        <f t="shared" si="23"/>
        <v>0.14625714285713975</v>
      </c>
    </row>
    <row r="181" spans="2:19" x14ac:dyDescent="0.25">
      <c r="B181" s="1">
        <f t="shared" si="24"/>
        <v>175</v>
      </c>
      <c r="C181" s="1">
        <v>275</v>
      </c>
      <c r="D181" s="13">
        <v>80.2</v>
      </c>
      <c r="E181" s="1" t="s">
        <v>11</v>
      </c>
      <c r="F181" s="2">
        <v>0.94</v>
      </c>
      <c r="G181" s="1" t="s">
        <v>12</v>
      </c>
      <c r="H181" s="1" t="s">
        <v>13</v>
      </c>
      <c r="I181" s="1" t="s">
        <v>14</v>
      </c>
      <c r="J181" s="14">
        <v>0.64189814814814816</v>
      </c>
      <c r="K181" s="15">
        <v>44751</v>
      </c>
      <c r="L181" s="15"/>
      <c r="M181" s="2">
        <v>0.91999999999999993</v>
      </c>
      <c r="O181" s="2">
        <f t="shared" si="19"/>
        <v>0.84999999999999987</v>
      </c>
      <c r="P181" s="2">
        <f t="shared" si="20"/>
        <v>51.171428571428571</v>
      </c>
      <c r="Q181" s="2">
        <f t="shared" si="21"/>
        <v>0.40125000000000033</v>
      </c>
      <c r="R181" s="2">
        <f t="shared" si="22"/>
        <v>0.25597142857143446</v>
      </c>
      <c r="S181" s="2">
        <f t="shared" si="23"/>
        <v>0.14527857142856587</v>
      </c>
    </row>
    <row r="182" spans="2:19" x14ac:dyDescent="0.25">
      <c r="B182" s="1">
        <f t="shared" si="24"/>
        <v>176</v>
      </c>
      <c r="C182" s="1">
        <v>276</v>
      </c>
      <c r="D182" s="13">
        <v>80.3</v>
      </c>
      <c r="E182" s="1" t="s">
        <v>11</v>
      </c>
      <c r="F182" s="2">
        <v>0.94499999999999995</v>
      </c>
      <c r="G182" s="1" t="s">
        <v>12</v>
      </c>
      <c r="H182" s="1" t="s">
        <v>13</v>
      </c>
      <c r="I182" s="1" t="s">
        <v>14</v>
      </c>
      <c r="J182" s="14">
        <v>0.64189814814814816</v>
      </c>
      <c r="K182" s="15">
        <v>44751</v>
      </c>
      <c r="L182" s="15"/>
      <c r="M182" s="2">
        <v>0.92499999999999993</v>
      </c>
      <c r="O182" s="2">
        <f t="shared" si="19"/>
        <v>0.85499999999999998</v>
      </c>
      <c r="P182" s="2">
        <f t="shared" si="20"/>
        <v>51.217142857142861</v>
      </c>
      <c r="Q182" s="2">
        <f t="shared" si="21"/>
        <v>0.4010000000000003</v>
      </c>
      <c r="R182" s="2">
        <f t="shared" si="22"/>
        <v>0.25619999999999454</v>
      </c>
      <c r="S182" s="2">
        <f t="shared" si="23"/>
        <v>0.14480000000000576</v>
      </c>
    </row>
    <row r="183" spans="2:19" x14ac:dyDescent="0.25">
      <c r="B183" s="1">
        <f t="shared" si="24"/>
        <v>177</v>
      </c>
      <c r="C183" s="1">
        <v>277</v>
      </c>
      <c r="D183" s="13">
        <v>80.099999999999994</v>
      </c>
      <c r="E183" s="1" t="s">
        <v>11</v>
      </c>
      <c r="F183" s="2">
        <v>0.95</v>
      </c>
      <c r="G183" s="1" t="s">
        <v>12</v>
      </c>
      <c r="H183" s="1" t="s">
        <v>13</v>
      </c>
      <c r="I183" s="1" t="s">
        <v>14</v>
      </c>
      <c r="J183" s="14">
        <v>0.64189814814814816</v>
      </c>
      <c r="K183" s="15">
        <v>44751</v>
      </c>
      <c r="L183" s="15"/>
      <c r="M183" s="2">
        <v>0.92999999999999994</v>
      </c>
      <c r="O183" s="2">
        <f t="shared" si="19"/>
        <v>0.85999999999999988</v>
      </c>
      <c r="P183" s="2">
        <f t="shared" si="20"/>
        <v>51.262857142857143</v>
      </c>
      <c r="Q183" s="2">
        <f t="shared" si="21"/>
        <v>0.4005000000000003</v>
      </c>
      <c r="R183" s="2">
        <f t="shared" si="22"/>
        <v>0.25642857142857733</v>
      </c>
      <c r="S183" s="2">
        <f t="shared" si="23"/>
        <v>0.14407142857142297</v>
      </c>
    </row>
    <row r="184" spans="2:19" x14ac:dyDescent="0.25">
      <c r="B184" s="1">
        <f t="shared" si="24"/>
        <v>178</v>
      </c>
      <c r="C184" s="1">
        <v>278</v>
      </c>
      <c r="D184" s="13">
        <v>80.099999999999994</v>
      </c>
      <c r="E184" s="1" t="s">
        <v>11</v>
      </c>
      <c r="F184" s="2">
        <v>0.95499999999999996</v>
      </c>
      <c r="G184" s="1" t="s">
        <v>12</v>
      </c>
      <c r="H184" s="1" t="s">
        <v>13</v>
      </c>
      <c r="I184" s="1" t="s">
        <v>14</v>
      </c>
      <c r="J184" s="14">
        <v>0.64189814814814816</v>
      </c>
      <c r="K184" s="15">
        <v>44751</v>
      </c>
      <c r="L184" s="15"/>
      <c r="M184" s="2">
        <v>0.93499999999999994</v>
      </c>
      <c r="O184" s="2">
        <f t="shared" si="19"/>
        <v>0.86499999999999999</v>
      </c>
      <c r="P184" s="2">
        <f t="shared" si="20"/>
        <v>51.308571428571426</v>
      </c>
      <c r="Q184" s="2">
        <f t="shared" si="21"/>
        <v>0.4005000000000003</v>
      </c>
      <c r="R184" s="2">
        <f t="shared" si="22"/>
        <v>0.25665714285713742</v>
      </c>
      <c r="S184" s="2">
        <f t="shared" si="23"/>
        <v>0.14384285714286288</v>
      </c>
    </row>
    <row r="185" spans="2:19" x14ac:dyDescent="0.25">
      <c r="B185" s="1">
        <f t="shared" si="24"/>
        <v>179</v>
      </c>
      <c r="C185" s="1">
        <v>279</v>
      </c>
      <c r="D185" s="13">
        <v>80.099999999999994</v>
      </c>
      <c r="E185" s="1" t="s">
        <v>11</v>
      </c>
      <c r="F185" s="2">
        <v>0.96</v>
      </c>
      <c r="G185" s="1" t="s">
        <v>12</v>
      </c>
      <c r="H185" s="1" t="s">
        <v>13</v>
      </c>
      <c r="I185" s="1" t="s">
        <v>14</v>
      </c>
      <c r="J185" s="14">
        <v>0.6419097222222222</v>
      </c>
      <c r="K185" s="15">
        <v>44751</v>
      </c>
      <c r="L185" s="15"/>
      <c r="M185" s="2">
        <v>0.94</v>
      </c>
      <c r="O185" s="2">
        <f t="shared" si="19"/>
        <v>0.86999999999999988</v>
      </c>
      <c r="P185" s="2">
        <f t="shared" si="20"/>
        <v>51.354285714285716</v>
      </c>
      <c r="Q185" s="2">
        <f t="shared" si="21"/>
        <v>0.4005000000000003</v>
      </c>
      <c r="R185" s="2">
        <f t="shared" si="22"/>
        <v>0.25688571428572021</v>
      </c>
      <c r="S185" s="2">
        <f t="shared" si="23"/>
        <v>0.14361428571428009</v>
      </c>
    </row>
    <row r="186" spans="2:19" x14ac:dyDescent="0.25">
      <c r="B186" s="1">
        <f t="shared" si="24"/>
        <v>180</v>
      </c>
      <c r="C186" s="1">
        <v>280</v>
      </c>
      <c r="D186" s="13">
        <v>80.099999999999994</v>
      </c>
      <c r="E186" s="1" t="s">
        <v>11</v>
      </c>
      <c r="F186" s="2">
        <v>0.96499999999999997</v>
      </c>
      <c r="G186" s="1" t="s">
        <v>12</v>
      </c>
      <c r="H186" s="1" t="s">
        <v>13</v>
      </c>
      <c r="I186" s="1" t="s">
        <v>14</v>
      </c>
      <c r="J186" s="14">
        <v>0.6419097222222222</v>
      </c>
      <c r="K186" s="15">
        <v>44751</v>
      </c>
      <c r="L186" s="15"/>
      <c r="M186" s="2">
        <v>0.94499999999999995</v>
      </c>
      <c r="O186" s="2">
        <f t="shared" si="19"/>
        <v>0.875</v>
      </c>
      <c r="P186" s="2">
        <f t="shared" si="20"/>
        <v>51.400000000000006</v>
      </c>
      <c r="Q186" s="2">
        <f t="shared" si="21"/>
        <v>0.40000000000000036</v>
      </c>
      <c r="R186" s="2">
        <f t="shared" si="22"/>
        <v>0.25711428571428024</v>
      </c>
      <c r="S186" s="2">
        <f t="shared" si="23"/>
        <v>0.14288571428572011</v>
      </c>
    </row>
    <row r="187" spans="2:19" x14ac:dyDescent="0.25">
      <c r="B187" s="1">
        <f t="shared" si="24"/>
        <v>181</v>
      </c>
      <c r="C187" s="1">
        <v>281</v>
      </c>
      <c r="D187" s="13">
        <v>79.900000000000006</v>
      </c>
      <c r="E187" s="1" t="s">
        <v>11</v>
      </c>
      <c r="F187" s="2">
        <v>0.97</v>
      </c>
      <c r="G187" s="1" t="s">
        <v>12</v>
      </c>
      <c r="H187" s="1" t="s">
        <v>13</v>
      </c>
      <c r="I187" s="1" t="s">
        <v>14</v>
      </c>
      <c r="J187" s="14">
        <v>0.6419097222222222</v>
      </c>
      <c r="K187" s="15">
        <v>44751</v>
      </c>
      <c r="L187" s="15"/>
      <c r="M187" s="2">
        <v>0.95</v>
      </c>
      <c r="O187" s="2">
        <f t="shared" si="19"/>
        <v>0.87999999999999989</v>
      </c>
      <c r="P187" s="2">
        <f t="shared" si="20"/>
        <v>51.445714285714288</v>
      </c>
      <c r="Q187" s="2">
        <f t="shared" si="21"/>
        <v>0.39975000000000038</v>
      </c>
      <c r="R187" s="2">
        <f t="shared" si="22"/>
        <v>0.25734285714286309</v>
      </c>
      <c r="S187" s="2">
        <f t="shared" si="23"/>
        <v>0.14240714285713729</v>
      </c>
    </row>
    <row r="188" spans="2:19" x14ac:dyDescent="0.25">
      <c r="B188" s="1">
        <f t="shared" si="24"/>
        <v>182</v>
      </c>
      <c r="C188" s="1">
        <v>282</v>
      </c>
      <c r="D188" s="13">
        <v>80</v>
      </c>
      <c r="E188" s="1" t="s">
        <v>11</v>
      </c>
      <c r="F188" s="2">
        <v>0.97499999999999998</v>
      </c>
      <c r="G188" s="1" t="s">
        <v>12</v>
      </c>
      <c r="H188" s="1" t="s">
        <v>13</v>
      </c>
      <c r="I188" s="1" t="s">
        <v>14</v>
      </c>
      <c r="J188" s="14">
        <v>0.6419097222222222</v>
      </c>
      <c r="K188" s="15">
        <v>44751</v>
      </c>
      <c r="L188" s="15"/>
      <c r="M188" s="2">
        <v>0.95499999999999996</v>
      </c>
      <c r="O188" s="2">
        <f t="shared" si="19"/>
        <v>0.88500000000000001</v>
      </c>
      <c r="P188" s="2">
        <f t="shared" si="20"/>
        <v>51.491428571428571</v>
      </c>
      <c r="Q188" s="2">
        <f t="shared" si="21"/>
        <v>0.39975000000000038</v>
      </c>
      <c r="R188" s="2">
        <f t="shared" si="22"/>
        <v>0.25757142857142307</v>
      </c>
      <c r="S188" s="2">
        <f t="shared" si="23"/>
        <v>0.14217857142857732</v>
      </c>
    </row>
    <row r="189" spans="2:19" x14ac:dyDescent="0.25">
      <c r="B189" s="1">
        <f t="shared" si="24"/>
        <v>183</v>
      </c>
      <c r="C189" s="1">
        <v>283</v>
      </c>
      <c r="D189" s="13">
        <v>79.900000000000006</v>
      </c>
      <c r="E189" s="1" t="s">
        <v>11</v>
      </c>
      <c r="F189" s="2">
        <v>0.98</v>
      </c>
      <c r="G189" s="1" t="s">
        <v>12</v>
      </c>
      <c r="H189" s="1" t="s">
        <v>13</v>
      </c>
      <c r="I189" s="1" t="s">
        <v>14</v>
      </c>
      <c r="J189" s="14">
        <v>0.6419097222222222</v>
      </c>
      <c r="K189" s="15">
        <v>44751</v>
      </c>
      <c r="L189" s="15"/>
      <c r="M189" s="2">
        <v>0.96</v>
      </c>
      <c r="O189" s="2">
        <f t="shared" si="19"/>
        <v>0.8899999999999999</v>
      </c>
      <c r="P189" s="2">
        <f t="shared" si="20"/>
        <v>51.537142857142854</v>
      </c>
      <c r="Q189" s="2">
        <f t="shared" si="21"/>
        <v>0.39950000000000041</v>
      </c>
      <c r="R189" s="2">
        <f t="shared" si="22"/>
        <v>0.25780000000000597</v>
      </c>
      <c r="S189" s="2">
        <f t="shared" si="23"/>
        <v>0.14169999999999444</v>
      </c>
    </row>
    <row r="190" spans="2:19" x14ac:dyDescent="0.25">
      <c r="B190" s="1">
        <f t="shared" si="24"/>
        <v>184</v>
      </c>
      <c r="C190" s="1">
        <v>285</v>
      </c>
      <c r="D190" s="13">
        <v>79.900000000000006</v>
      </c>
      <c r="E190" s="1" t="s">
        <v>11</v>
      </c>
      <c r="F190" s="2">
        <v>0.98499999999999999</v>
      </c>
      <c r="G190" s="1" t="s">
        <v>12</v>
      </c>
      <c r="H190" s="1" t="s">
        <v>13</v>
      </c>
      <c r="I190" s="1" t="s">
        <v>14</v>
      </c>
      <c r="J190" s="14">
        <v>0.6419097222222222</v>
      </c>
      <c r="K190" s="15">
        <v>44751</v>
      </c>
      <c r="L190" s="15"/>
      <c r="M190" s="2">
        <v>0.96499999999999997</v>
      </c>
      <c r="O190" s="2">
        <f t="shared" si="19"/>
        <v>0.89500000000000002</v>
      </c>
      <c r="P190" s="2">
        <f t="shared" si="20"/>
        <v>51.582857142857144</v>
      </c>
      <c r="Q190" s="2">
        <f t="shared" si="21"/>
        <v>0.39850000000000035</v>
      </c>
      <c r="R190" s="2">
        <f t="shared" si="22"/>
        <v>0.25802857142856594</v>
      </c>
      <c r="S190" s="2">
        <f t="shared" si="23"/>
        <v>0.14047142857143441</v>
      </c>
    </row>
    <row r="191" spans="2:19" x14ac:dyDescent="0.25">
      <c r="B191" s="1">
        <f t="shared" si="24"/>
        <v>185</v>
      </c>
      <c r="C191" s="1">
        <v>286</v>
      </c>
      <c r="D191" s="13">
        <v>79.5</v>
      </c>
      <c r="E191" s="1" t="s">
        <v>11</v>
      </c>
      <c r="F191" s="2">
        <v>0.99</v>
      </c>
      <c r="G191" s="1" t="s">
        <v>12</v>
      </c>
      <c r="H191" s="1" t="s">
        <v>13</v>
      </c>
      <c r="I191" s="1" t="s">
        <v>14</v>
      </c>
      <c r="J191" s="14">
        <v>0.6419097222222222</v>
      </c>
      <c r="K191" s="15">
        <v>44751</v>
      </c>
      <c r="L191" s="15"/>
      <c r="M191" s="2">
        <v>0.97</v>
      </c>
      <c r="O191" s="2">
        <f t="shared" si="19"/>
        <v>0.89999999999999991</v>
      </c>
      <c r="P191" s="2">
        <f t="shared" si="20"/>
        <v>51.628571428571433</v>
      </c>
      <c r="Q191" s="2">
        <f t="shared" si="21"/>
        <v>0.39825000000000038</v>
      </c>
      <c r="R191" s="2">
        <f t="shared" si="22"/>
        <v>0.25825714285714885</v>
      </c>
      <c r="S191" s="2">
        <f t="shared" si="23"/>
        <v>0.13999285714285153</v>
      </c>
    </row>
    <row r="192" spans="2:19" x14ac:dyDescent="0.25">
      <c r="B192" s="1">
        <f t="shared" si="24"/>
        <v>186</v>
      </c>
      <c r="C192" s="1">
        <v>287</v>
      </c>
      <c r="D192" s="13">
        <v>79.8</v>
      </c>
      <c r="E192" s="1" t="s">
        <v>11</v>
      </c>
      <c r="F192" s="2">
        <v>0.995</v>
      </c>
      <c r="G192" s="1" t="s">
        <v>12</v>
      </c>
      <c r="H192" s="1" t="s">
        <v>13</v>
      </c>
      <c r="I192" s="1" t="s">
        <v>14</v>
      </c>
      <c r="J192" s="14">
        <v>0.6419097222222222</v>
      </c>
      <c r="K192" s="15">
        <v>44751</v>
      </c>
      <c r="L192" s="15"/>
      <c r="M192" s="2">
        <v>0.97499999999999998</v>
      </c>
      <c r="O192" s="2">
        <f t="shared" si="19"/>
        <v>0.90500000000000003</v>
      </c>
      <c r="P192" s="2">
        <f t="shared" si="20"/>
        <v>51.674285714285716</v>
      </c>
      <c r="Q192" s="2">
        <f t="shared" si="21"/>
        <v>0.39975000000000027</v>
      </c>
      <c r="R192" s="2">
        <f t="shared" si="22"/>
        <v>0.25848571428570877</v>
      </c>
      <c r="S192" s="2">
        <f t="shared" si="23"/>
        <v>0.1412642857142915</v>
      </c>
    </row>
    <row r="193" spans="2:19" x14ac:dyDescent="0.25">
      <c r="B193" s="1">
        <f t="shared" si="24"/>
        <v>187</v>
      </c>
      <c r="C193" s="1">
        <v>288</v>
      </c>
      <c r="D193" s="13">
        <v>80.099999999999994</v>
      </c>
      <c r="E193" s="1" t="s">
        <v>11</v>
      </c>
      <c r="F193" s="2">
        <v>1</v>
      </c>
      <c r="G193" s="1" t="s">
        <v>12</v>
      </c>
      <c r="H193" s="1" t="s">
        <v>13</v>
      </c>
      <c r="I193" s="1" t="s">
        <v>14</v>
      </c>
      <c r="J193" s="14">
        <v>0.6419097222222222</v>
      </c>
      <c r="K193" s="15">
        <v>44751</v>
      </c>
      <c r="L193" s="15"/>
      <c r="M193" s="2">
        <v>0.98</v>
      </c>
      <c r="O193" s="2">
        <f t="shared" si="19"/>
        <v>0.90999999999999992</v>
      </c>
      <c r="P193" s="2">
        <f t="shared" si="20"/>
        <v>51.72</v>
      </c>
      <c r="Q193" s="2">
        <f t="shared" si="21"/>
        <v>0.3987499999999915</v>
      </c>
      <c r="R193" s="2">
        <f t="shared" si="22"/>
        <v>0.25871428571428018</v>
      </c>
      <c r="S193" s="2">
        <f t="shared" si="23"/>
        <v>0.14003571428571132</v>
      </c>
    </row>
    <row r="194" spans="2:19" x14ac:dyDescent="0.25">
      <c r="B194" s="1">
        <f t="shared" si="24"/>
        <v>188</v>
      </c>
      <c r="C194" s="1">
        <v>290</v>
      </c>
      <c r="D194" s="13">
        <v>79.400000000000006</v>
      </c>
      <c r="E194" s="1" t="s">
        <v>11</v>
      </c>
      <c r="F194" s="2">
        <v>1.0049999999999999</v>
      </c>
      <c r="G194" s="1" t="s">
        <v>12</v>
      </c>
      <c r="H194" s="1" t="s">
        <v>13</v>
      </c>
      <c r="I194" s="1" t="s">
        <v>14</v>
      </c>
      <c r="J194" s="14">
        <v>0.64192129629629624</v>
      </c>
      <c r="K194" s="15">
        <v>44751</v>
      </c>
      <c r="L194" s="15"/>
      <c r="M194" s="2">
        <v>0.98499999999999988</v>
      </c>
      <c r="O194" s="2">
        <f t="shared" si="19"/>
        <v>0.91499999999999981</v>
      </c>
      <c r="P194" s="2">
        <f t="shared" si="20"/>
        <v>51.765714285714282</v>
      </c>
      <c r="Q194" s="2">
        <f t="shared" si="21"/>
        <v>0.39725000000000921</v>
      </c>
      <c r="R194" s="2">
        <f t="shared" si="22"/>
        <v>0.25894285714286314</v>
      </c>
      <c r="S194" s="2">
        <f t="shared" si="23"/>
        <v>0.13830714285714607</v>
      </c>
    </row>
    <row r="195" spans="2:19" x14ac:dyDescent="0.25">
      <c r="B195" s="1">
        <f t="shared" si="24"/>
        <v>189</v>
      </c>
      <c r="C195" s="1">
        <v>291</v>
      </c>
      <c r="D195" s="13">
        <v>79.5</v>
      </c>
      <c r="E195" s="1" t="s">
        <v>11</v>
      </c>
      <c r="F195" s="2">
        <v>1.01</v>
      </c>
      <c r="G195" s="1" t="s">
        <v>12</v>
      </c>
      <c r="H195" s="1" t="s">
        <v>13</v>
      </c>
      <c r="I195" s="1" t="s">
        <v>14</v>
      </c>
      <c r="J195" s="14">
        <v>0.64192129629629624</v>
      </c>
      <c r="K195" s="15">
        <v>44751</v>
      </c>
      <c r="L195" s="15"/>
      <c r="M195" s="2">
        <v>0.99</v>
      </c>
      <c r="O195" s="2">
        <f t="shared" si="19"/>
        <v>0.91999999999999993</v>
      </c>
      <c r="P195" s="2">
        <f t="shared" si="20"/>
        <v>51.811428571428571</v>
      </c>
      <c r="Q195" s="2">
        <f t="shared" si="21"/>
        <v>0.79400000000000082</v>
      </c>
      <c r="R195" s="2">
        <f t="shared" si="22"/>
        <v>0.51857142857142913</v>
      </c>
      <c r="S195" s="2">
        <f t="shared" si="23"/>
        <v>0.27542857142857169</v>
      </c>
    </row>
    <row r="196" spans="2:19" x14ac:dyDescent="0.25">
      <c r="B196" s="1">
        <f t="shared" si="24"/>
        <v>190</v>
      </c>
      <c r="C196" s="1">
        <v>292</v>
      </c>
      <c r="D196" s="13">
        <v>79.3</v>
      </c>
      <c r="E196" s="1" t="s">
        <v>11</v>
      </c>
      <c r="F196" s="2">
        <v>1.02</v>
      </c>
      <c r="G196" s="1" t="s">
        <v>12</v>
      </c>
      <c r="H196" s="1" t="s">
        <v>13</v>
      </c>
      <c r="I196" s="1" t="s">
        <v>14</v>
      </c>
      <c r="J196" s="14">
        <v>0.64192129629629624</v>
      </c>
      <c r="K196" s="15">
        <v>44751</v>
      </c>
      <c r="L196" s="15"/>
      <c r="M196" s="2">
        <v>1</v>
      </c>
      <c r="O196" s="2">
        <f t="shared" si="19"/>
        <v>0.92999999999999994</v>
      </c>
      <c r="P196" s="2">
        <f t="shared" si="20"/>
        <v>51.902857142857144</v>
      </c>
      <c r="Q196" s="2">
        <f t="shared" si="21"/>
        <v>0.39549999999999153</v>
      </c>
      <c r="R196" s="2">
        <f t="shared" si="22"/>
        <v>0.25962857142856588</v>
      </c>
      <c r="S196" s="2">
        <f t="shared" si="23"/>
        <v>0.13587142857142565</v>
      </c>
    </row>
    <row r="197" spans="2:19" x14ac:dyDescent="0.25">
      <c r="B197" s="1">
        <f t="shared" si="24"/>
        <v>191</v>
      </c>
      <c r="C197" s="1">
        <v>293</v>
      </c>
      <c r="D197" s="13">
        <v>78.900000000000006</v>
      </c>
      <c r="E197" s="1" t="s">
        <v>11</v>
      </c>
      <c r="F197" s="2">
        <v>1.0249999999999999</v>
      </c>
      <c r="G197" s="1" t="s">
        <v>12</v>
      </c>
      <c r="H197" s="1" t="s">
        <v>13</v>
      </c>
      <c r="I197" s="1" t="s">
        <v>14</v>
      </c>
      <c r="J197" s="14">
        <v>0.64192129629629624</v>
      </c>
      <c r="K197" s="15">
        <v>44751</v>
      </c>
      <c r="L197" s="15"/>
      <c r="M197" s="2">
        <v>1.0049999999999999</v>
      </c>
      <c r="O197" s="2">
        <f t="shared" si="19"/>
        <v>0.93499999999999983</v>
      </c>
      <c r="P197" s="2">
        <f t="shared" si="20"/>
        <v>51.948571428571427</v>
      </c>
      <c r="Q197" s="2">
        <f t="shared" si="21"/>
        <v>0.78800000000000081</v>
      </c>
      <c r="R197" s="2">
        <f t="shared" si="22"/>
        <v>0.5199428571428576</v>
      </c>
      <c r="S197" s="2">
        <f t="shared" si="23"/>
        <v>0.26805714285714322</v>
      </c>
    </row>
    <row r="198" spans="2:19" x14ac:dyDescent="0.25">
      <c r="B198" s="1">
        <f t="shared" si="24"/>
        <v>192</v>
      </c>
      <c r="C198" s="1">
        <v>294</v>
      </c>
      <c r="D198" s="13">
        <v>78.7</v>
      </c>
      <c r="E198" s="1" t="s">
        <v>11</v>
      </c>
      <c r="F198" s="2">
        <v>1.0349999999999999</v>
      </c>
      <c r="G198" s="1" t="s">
        <v>12</v>
      </c>
      <c r="H198" s="1" t="s">
        <v>13</v>
      </c>
      <c r="I198" s="1" t="s">
        <v>14</v>
      </c>
      <c r="J198" s="14">
        <v>0.64192129629629624</v>
      </c>
      <c r="K198" s="15">
        <v>44751</v>
      </c>
      <c r="L198" s="15"/>
      <c r="M198" s="2">
        <v>1.0149999999999999</v>
      </c>
      <c r="O198" s="2">
        <f t="shared" si="19"/>
        <v>0.94499999999999984</v>
      </c>
      <c r="P198" s="2">
        <f t="shared" si="20"/>
        <v>52.04</v>
      </c>
      <c r="Q198" s="2">
        <f t="shared" si="21"/>
        <v>0.39275000000000915</v>
      </c>
      <c r="R198" s="2">
        <f t="shared" si="22"/>
        <v>0.26031428571429172</v>
      </c>
      <c r="S198" s="2">
        <f t="shared" si="23"/>
        <v>0.13243571428571743</v>
      </c>
    </row>
    <row r="199" spans="2:19" x14ac:dyDescent="0.25">
      <c r="B199" s="1">
        <f t="shared" si="24"/>
        <v>193</v>
      </c>
      <c r="C199" s="1">
        <v>295</v>
      </c>
      <c r="D199" s="13">
        <v>78.400000000000006</v>
      </c>
      <c r="E199" s="1" t="s">
        <v>11</v>
      </c>
      <c r="F199" s="2">
        <v>1.04</v>
      </c>
      <c r="G199" s="1" t="s">
        <v>12</v>
      </c>
      <c r="H199" s="1" t="s">
        <v>13</v>
      </c>
      <c r="I199" s="1" t="s">
        <v>14</v>
      </c>
      <c r="J199" s="14">
        <v>0.64192129629629624</v>
      </c>
      <c r="K199" s="15">
        <v>44751</v>
      </c>
      <c r="L199" s="15"/>
      <c r="M199" s="2">
        <v>1.02</v>
      </c>
      <c r="O199" s="2">
        <f t="shared" si="19"/>
        <v>0.95</v>
      </c>
      <c r="P199" s="2">
        <f t="shared" si="20"/>
        <v>52.085714285714289</v>
      </c>
      <c r="Q199" s="2">
        <f t="shared" si="21"/>
        <v>0.39199999999999169</v>
      </c>
      <c r="R199" s="2">
        <f t="shared" si="22"/>
        <v>0.26054285714285158</v>
      </c>
      <c r="S199" s="2">
        <f t="shared" si="23"/>
        <v>0.13145714285714011</v>
      </c>
    </row>
    <row r="200" spans="2:19" x14ac:dyDescent="0.25">
      <c r="B200" s="1">
        <f t="shared" si="24"/>
        <v>194</v>
      </c>
      <c r="C200" s="1">
        <v>296</v>
      </c>
      <c r="D200" s="13">
        <v>78.400000000000006</v>
      </c>
      <c r="E200" s="1" t="s">
        <v>11</v>
      </c>
      <c r="F200" s="2">
        <v>1.0449999999999999</v>
      </c>
      <c r="G200" s="1" t="s">
        <v>12</v>
      </c>
      <c r="H200" s="1" t="s">
        <v>13</v>
      </c>
      <c r="I200" s="1" t="s">
        <v>14</v>
      </c>
      <c r="J200" s="14">
        <v>0.64192129629629624</v>
      </c>
      <c r="K200" s="15">
        <v>44751</v>
      </c>
      <c r="L200" s="15"/>
      <c r="M200" s="2">
        <v>1.0249999999999999</v>
      </c>
      <c r="O200" s="2">
        <f t="shared" ref="O200:O263" si="25">M200-$X$23</f>
        <v>0.95499999999999985</v>
      </c>
      <c r="P200" s="2">
        <f t="shared" ref="P200:P263" si="26">O200*$AC$21+$Y$23</f>
        <v>52.131428571428572</v>
      </c>
      <c r="Q200" s="2">
        <f t="shared" ref="Q200:Q263" si="27">((D200+D201)/2)*(M201-M200)</f>
        <v>0.39200000000000906</v>
      </c>
      <c r="R200" s="2">
        <f t="shared" ref="R200:R263" si="28">((P200+P201)/2)*(O201-O200)</f>
        <v>0.26077142857143459</v>
      </c>
      <c r="S200" s="2">
        <f t="shared" ref="S200:S263" si="29">Q200-R200</f>
        <v>0.13122857142857447</v>
      </c>
    </row>
    <row r="201" spans="2:19" x14ac:dyDescent="0.25">
      <c r="B201" s="1">
        <f t="shared" ref="B201:B264" si="30">B200+1</f>
        <v>195</v>
      </c>
      <c r="C201" s="1">
        <v>297</v>
      </c>
      <c r="D201" s="13">
        <v>78.400000000000006</v>
      </c>
      <c r="E201" s="1" t="s">
        <v>11</v>
      </c>
      <c r="F201" s="2">
        <v>1.05</v>
      </c>
      <c r="G201" s="1" t="s">
        <v>12</v>
      </c>
      <c r="H201" s="1" t="s">
        <v>13</v>
      </c>
      <c r="I201" s="1" t="s">
        <v>14</v>
      </c>
      <c r="J201" s="14">
        <v>0.64192129629629624</v>
      </c>
      <c r="K201" s="15">
        <v>44751</v>
      </c>
      <c r="L201" s="15"/>
      <c r="M201" s="2">
        <v>1.03</v>
      </c>
      <c r="O201" s="2">
        <f t="shared" si="25"/>
        <v>0.96</v>
      </c>
      <c r="P201" s="2">
        <f t="shared" si="26"/>
        <v>52.177142857142854</v>
      </c>
      <c r="Q201" s="2">
        <f t="shared" si="27"/>
        <v>0.39224999999999166</v>
      </c>
      <c r="R201" s="2">
        <f t="shared" si="28"/>
        <v>0.26099999999999446</v>
      </c>
      <c r="S201" s="2">
        <f t="shared" si="29"/>
        <v>0.1312499999999972</v>
      </c>
    </row>
    <row r="202" spans="2:19" x14ac:dyDescent="0.25">
      <c r="B202" s="1">
        <f t="shared" si="30"/>
        <v>196</v>
      </c>
      <c r="C202" s="1">
        <v>298</v>
      </c>
      <c r="D202" s="13">
        <v>78.5</v>
      </c>
      <c r="E202" s="1" t="s">
        <v>11</v>
      </c>
      <c r="F202" s="2">
        <v>1.0549999999999999</v>
      </c>
      <c r="G202" s="1" t="s">
        <v>12</v>
      </c>
      <c r="H202" s="1" t="s">
        <v>13</v>
      </c>
      <c r="I202" s="1" t="s">
        <v>14</v>
      </c>
      <c r="J202" s="14">
        <v>0.64192129629629624</v>
      </c>
      <c r="K202" s="15">
        <v>44751</v>
      </c>
      <c r="L202" s="15"/>
      <c r="M202" s="2">
        <v>1.0349999999999999</v>
      </c>
      <c r="O202" s="2">
        <f t="shared" si="25"/>
        <v>0.96499999999999986</v>
      </c>
      <c r="P202" s="2">
        <f t="shared" si="26"/>
        <v>52.222857142857144</v>
      </c>
      <c r="Q202" s="2">
        <f t="shared" si="27"/>
        <v>0.39350000000000912</v>
      </c>
      <c r="R202" s="2">
        <f t="shared" si="28"/>
        <v>0.26122857142857747</v>
      </c>
      <c r="S202" s="2">
        <f t="shared" si="29"/>
        <v>0.13227142857143165</v>
      </c>
    </row>
    <row r="203" spans="2:19" x14ac:dyDescent="0.25">
      <c r="B203" s="1">
        <f t="shared" si="30"/>
        <v>197</v>
      </c>
      <c r="C203" s="1">
        <v>299</v>
      </c>
      <c r="D203" s="13">
        <v>78.900000000000006</v>
      </c>
      <c r="E203" s="1" t="s">
        <v>11</v>
      </c>
      <c r="F203" s="2">
        <v>1.06</v>
      </c>
      <c r="G203" s="1" t="s">
        <v>12</v>
      </c>
      <c r="H203" s="1" t="s">
        <v>13</v>
      </c>
      <c r="I203" s="1" t="s">
        <v>14</v>
      </c>
      <c r="J203" s="14">
        <v>0.64193287037037039</v>
      </c>
      <c r="K203" s="15">
        <v>44751</v>
      </c>
      <c r="L203" s="15"/>
      <c r="M203" s="2">
        <v>1.04</v>
      </c>
      <c r="O203" s="2">
        <f t="shared" si="25"/>
        <v>0.97</v>
      </c>
      <c r="P203" s="2">
        <f t="shared" si="26"/>
        <v>52.268571428571434</v>
      </c>
      <c r="Q203" s="2">
        <f t="shared" si="27"/>
        <v>0.39424999999999155</v>
      </c>
      <c r="R203" s="2">
        <f t="shared" si="28"/>
        <v>0.26145714285713728</v>
      </c>
      <c r="S203" s="2">
        <f t="shared" si="29"/>
        <v>0.13279285714285427</v>
      </c>
    </row>
    <row r="204" spans="2:19" x14ac:dyDescent="0.25">
      <c r="B204" s="1">
        <f t="shared" si="30"/>
        <v>198</v>
      </c>
      <c r="C204" s="1">
        <v>300</v>
      </c>
      <c r="D204" s="13">
        <v>78.8</v>
      </c>
      <c r="E204" s="1" t="s">
        <v>11</v>
      </c>
      <c r="F204" s="2">
        <v>1.0649999999999999</v>
      </c>
      <c r="G204" s="1" t="s">
        <v>12</v>
      </c>
      <c r="H204" s="1" t="s">
        <v>13</v>
      </c>
      <c r="I204" s="1" t="s">
        <v>14</v>
      </c>
      <c r="J204" s="14">
        <v>0.64193287037037039</v>
      </c>
      <c r="K204" s="15">
        <v>44751</v>
      </c>
      <c r="M204" s="2">
        <v>1.0449999999999999</v>
      </c>
      <c r="O204" s="2">
        <f t="shared" si="25"/>
        <v>0.97499999999999987</v>
      </c>
      <c r="P204" s="2">
        <f t="shared" si="26"/>
        <v>52.314285714285717</v>
      </c>
      <c r="Q204" s="2">
        <f t="shared" si="27"/>
        <v>0.39450000000000912</v>
      </c>
      <c r="R204" s="2">
        <f t="shared" si="28"/>
        <v>0.26168571428572035</v>
      </c>
      <c r="S204" s="2">
        <f t="shared" si="29"/>
        <v>0.13281428571428877</v>
      </c>
    </row>
    <row r="205" spans="2:19" x14ac:dyDescent="0.25">
      <c r="B205" s="1">
        <f t="shared" si="30"/>
        <v>199</v>
      </c>
      <c r="C205" s="1">
        <v>301</v>
      </c>
      <c r="D205" s="13">
        <v>79</v>
      </c>
      <c r="E205" s="1" t="s">
        <v>11</v>
      </c>
      <c r="F205" s="2">
        <v>1.07</v>
      </c>
      <c r="G205" s="1" t="s">
        <v>12</v>
      </c>
      <c r="H205" s="1" t="s">
        <v>13</v>
      </c>
      <c r="I205" s="1" t="s">
        <v>14</v>
      </c>
      <c r="J205" s="14">
        <v>0.64193287037037039</v>
      </c>
      <c r="K205" s="15">
        <v>44751</v>
      </c>
      <c r="M205" s="2">
        <v>1.05</v>
      </c>
      <c r="O205" s="2">
        <f t="shared" si="25"/>
        <v>0.98</v>
      </c>
      <c r="P205" s="2">
        <f t="shared" si="26"/>
        <v>52.36</v>
      </c>
      <c r="Q205" s="2">
        <f t="shared" si="27"/>
        <v>0.39449999999999164</v>
      </c>
      <c r="R205" s="2">
        <f t="shared" si="28"/>
        <v>0.2619142857142801</v>
      </c>
      <c r="S205" s="2">
        <f t="shared" si="29"/>
        <v>0.13258571428571153</v>
      </c>
    </row>
    <row r="206" spans="2:19" x14ac:dyDescent="0.25">
      <c r="B206" s="1">
        <f t="shared" si="30"/>
        <v>200</v>
      </c>
      <c r="C206" s="1">
        <v>302</v>
      </c>
      <c r="D206" s="13">
        <v>78.8</v>
      </c>
      <c r="E206" s="1" t="s">
        <v>11</v>
      </c>
      <c r="F206" s="2">
        <v>1.075</v>
      </c>
      <c r="G206" s="1" t="s">
        <v>12</v>
      </c>
      <c r="H206" s="1" t="s">
        <v>13</v>
      </c>
      <c r="I206" s="1" t="s">
        <v>14</v>
      </c>
      <c r="J206" s="14">
        <v>0.64193287037037039</v>
      </c>
      <c r="K206" s="15">
        <v>44751</v>
      </c>
      <c r="M206" s="2">
        <v>1.0549999999999999</v>
      </c>
      <c r="O206" s="2">
        <f t="shared" si="25"/>
        <v>0.98499999999999988</v>
      </c>
      <c r="P206" s="2">
        <f t="shared" si="26"/>
        <v>52.405714285714282</v>
      </c>
      <c r="Q206" s="2">
        <f t="shared" si="27"/>
        <v>0.7880000000000007</v>
      </c>
      <c r="R206" s="2">
        <f t="shared" si="28"/>
        <v>0.52451428571428615</v>
      </c>
      <c r="S206" s="2">
        <f t="shared" si="29"/>
        <v>0.26348571428571455</v>
      </c>
    </row>
    <row r="207" spans="2:19" x14ac:dyDescent="0.25">
      <c r="B207" s="1">
        <f t="shared" si="30"/>
        <v>201</v>
      </c>
      <c r="C207" s="1">
        <v>303</v>
      </c>
      <c r="D207" s="13">
        <v>78.8</v>
      </c>
      <c r="E207" s="1" t="s">
        <v>11</v>
      </c>
      <c r="F207" s="2">
        <v>1.085</v>
      </c>
      <c r="G207" s="1" t="s">
        <v>12</v>
      </c>
      <c r="H207" s="1" t="s">
        <v>13</v>
      </c>
      <c r="I207" s="1" t="s">
        <v>14</v>
      </c>
      <c r="J207" s="14">
        <v>0.64193287037037039</v>
      </c>
      <c r="K207" s="15">
        <v>44751</v>
      </c>
      <c r="M207" s="2">
        <v>1.0649999999999999</v>
      </c>
      <c r="O207" s="2">
        <f t="shared" si="25"/>
        <v>0.99499999999999988</v>
      </c>
      <c r="P207" s="2">
        <f t="shared" si="26"/>
        <v>52.497142857142862</v>
      </c>
      <c r="Q207" s="2">
        <f t="shared" si="27"/>
        <v>0.39350000000000901</v>
      </c>
      <c r="R207" s="2">
        <f t="shared" si="28"/>
        <v>0.26260000000000611</v>
      </c>
      <c r="S207" s="2">
        <f t="shared" si="29"/>
        <v>0.1309000000000029</v>
      </c>
    </row>
    <row r="208" spans="2:19" x14ac:dyDescent="0.25">
      <c r="B208" s="1">
        <f t="shared" si="30"/>
        <v>202</v>
      </c>
      <c r="C208" s="1">
        <v>304</v>
      </c>
      <c r="D208" s="13">
        <v>78.599999999999994</v>
      </c>
      <c r="E208" s="1" t="s">
        <v>11</v>
      </c>
      <c r="F208" s="2">
        <v>1.0900000000000001</v>
      </c>
      <c r="G208" s="1" t="s">
        <v>12</v>
      </c>
      <c r="H208" s="1" t="s">
        <v>13</v>
      </c>
      <c r="I208" s="1" t="s">
        <v>14</v>
      </c>
      <c r="J208" s="14">
        <v>0.64193287037037039</v>
      </c>
      <c r="K208" s="15">
        <v>44751</v>
      </c>
      <c r="M208" s="2">
        <v>1.07</v>
      </c>
      <c r="O208" s="2">
        <f t="shared" si="25"/>
        <v>1</v>
      </c>
      <c r="P208" s="2">
        <f t="shared" si="26"/>
        <v>52.542857142857144</v>
      </c>
      <c r="Q208" s="2">
        <f t="shared" si="27"/>
        <v>0.39274999999999161</v>
      </c>
      <c r="R208" s="2">
        <f t="shared" si="28"/>
        <v>0.2628285714285658</v>
      </c>
      <c r="S208" s="2">
        <f t="shared" si="29"/>
        <v>0.1299214285714258</v>
      </c>
    </row>
    <row r="209" spans="2:19" x14ac:dyDescent="0.25">
      <c r="B209" s="1">
        <f t="shared" si="30"/>
        <v>203</v>
      </c>
      <c r="C209" s="1">
        <v>305</v>
      </c>
      <c r="D209" s="13">
        <v>78.5</v>
      </c>
      <c r="E209" s="1" t="s">
        <v>11</v>
      </c>
      <c r="F209" s="2">
        <v>1.095</v>
      </c>
      <c r="G209" s="1" t="s">
        <v>12</v>
      </c>
      <c r="H209" s="1" t="s">
        <v>13</v>
      </c>
      <c r="I209" s="1" t="s">
        <v>14</v>
      </c>
      <c r="J209" s="14">
        <v>0.64193287037037039</v>
      </c>
      <c r="K209" s="15">
        <v>44751</v>
      </c>
      <c r="M209" s="2">
        <v>1.075</v>
      </c>
      <c r="O209" s="2">
        <f t="shared" si="25"/>
        <v>1.0049999999999999</v>
      </c>
      <c r="P209" s="2">
        <f t="shared" si="26"/>
        <v>52.588571428571427</v>
      </c>
      <c r="Q209" s="2">
        <f t="shared" si="27"/>
        <v>0.39275000000000904</v>
      </c>
      <c r="R209" s="2">
        <f t="shared" si="28"/>
        <v>0.26305714285714893</v>
      </c>
      <c r="S209" s="2">
        <f t="shared" si="29"/>
        <v>0.12969285714286011</v>
      </c>
    </row>
    <row r="210" spans="2:19" x14ac:dyDescent="0.25">
      <c r="B210" s="1">
        <f t="shared" si="30"/>
        <v>204</v>
      </c>
      <c r="C210" s="1">
        <v>306</v>
      </c>
      <c r="D210" s="13">
        <v>78.599999999999994</v>
      </c>
      <c r="E210" s="1" t="s">
        <v>11</v>
      </c>
      <c r="F210" s="2">
        <v>1.1000000000000001</v>
      </c>
      <c r="G210" s="1" t="s">
        <v>12</v>
      </c>
      <c r="H210" s="1" t="s">
        <v>13</v>
      </c>
      <c r="I210" s="1" t="s">
        <v>14</v>
      </c>
      <c r="J210" s="14">
        <v>0.64193287037037039</v>
      </c>
      <c r="K210" s="15">
        <v>44751</v>
      </c>
      <c r="M210" s="2">
        <v>1.08</v>
      </c>
      <c r="O210" s="2">
        <f t="shared" si="25"/>
        <v>1.01</v>
      </c>
      <c r="P210" s="2">
        <f t="shared" si="26"/>
        <v>52.634285714285717</v>
      </c>
      <c r="Q210" s="2">
        <f t="shared" si="27"/>
        <v>0.39274999999999161</v>
      </c>
      <c r="R210" s="2">
        <f t="shared" si="28"/>
        <v>0.26328571428570868</v>
      </c>
      <c r="S210" s="2">
        <f t="shared" si="29"/>
        <v>0.12946428571428292</v>
      </c>
    </row>
    <row r="211" spans="2:19" x14ac:dyDescent="0.25">
      <c r="B211" s="1">
        <f t="shared" si="30"/>
        <v>205</v>
      </c>
      <c r="C211" s="1">
        <v>307</v>
      </c>
      <c r="D211" s="13">
        <v>78.5</v>
      </c>
      <c r="E211" s="1" t="s">
        <v>11</v>
      </c>
      <c r="F211" s="2">
        <v>1.105</v>
      </c>
      <c r="G211" s="1" t="s">
        <v>12</v>
      </c>
      <c r="H211" s="1" t="s">
        <v>13</v>
      </c>
      <c r="I211" s="1" t="s">
        <v>14</v>
      </c>
      <c r="J211" s="14">
        <v>0.64193287037037039</v>
      </c>
      <c r="K211" s="15">
        <v>44751</v>
      </c>
      <c r="M211" s="2">
        <v>1.085</v>
      </c>
      <c r="O211" s="2">
        <f t="shared" si="25"/>
        <v>1.0149999999999999</v>
      </c>
      <c r="P211" s="2">
        <f t="shared" si="26"/>
        <v>52.68</v>
      </c>
      <c r="Q211" s="2">
        <f t="shared" si="27"/>
        <v>0.39250000000000906</v>
      </c>
      <c r="R211" s="2">
        <f t="shared" si="28"/>
        <v>0.26351428571429181</v>
      </c>
      <c r="S211" s="2">
        <f t="shared" si="29"/>
        <v>0.12898571428571726</v>
      </c>
    </row>
    <row r="212" spans="2:19" x14ac:dyDescent="0.25">
      <c r="B212" s="1">
        <f t="shared" si="30"/>
        <v>206</v>
      </c>
      <c r="C212" s="1">
        <v>308</v>
      </c>
      <c r="D212" s="13">
        <v>78.5</v>
      </c>
      <c r="E212" s="1" t="s">
        <v>11</v>
      </c>
      <c r="F212" s="2">
        <v>1.1100000000000001</v>
      </c>
      <c r="G212" s="1" t="s">
        <v>12</v>
      </c>
      <c r="H212" s="1" t="s">
        <v>13</v>
      </c>
      <c r="I212" s="1" t="s">
        <v>14</v>
      </c>
      <c r="J212" s="14">
        <v>0.64193287037037039</v>
      </c>
      <c r="K212" s="15">
        <v>44751</v>
      </c>
      <c r="M212" s="2">
        <v>1.0900000000000001</v>
      </c>
      <c r="O212" s="2">
        <f t="shared" si="25"/>
        <v>1.02</v>
      </c>
      <c r="P212" s="2">
        <f t="shared" si="26"/>
        <v>52.72571428571429</v>
      </c>
      <c r="Q212" s="2">
        <f t="shared" si="27"/>
        <v>0.39324999999999166</v>
      </c>
      <c r="R212" s="2">
        <f t="shared" si="28"/>
        <v>0.26374285714285151</v>
      </c>
      <c r="S212" s="2">
        <f t="shared" si="29"/>
        <v>0.12950714285714016</v>
      </c>
    </row>
    <row r="213" spans="2:19" x14ac:dyDescent="0.25">
      <c r="B213" s="1">
        <f t="shared" si="30"/>
        <v>207</v>
      </c>
      <c r="C213" s="1">
        <v>309</v>
      </c>
      <c r="D213" s="13">
        <v>78.8</v>
      </c>
      <c r="E213" s="1" t="s">
        <v>11</v>
      </c>
      <c r="F213" s="2">
        <v>1.115</v>
      </c>
      <c r="G213" s="1" t="s">
        <v>12</v>
      </c>
      <c r="H213" s="1" t="s">
        <v>13</v>
      </c>
      <c r="I213" s="1" t="s">
        <v>14</v>
      </c>
      <c r="J213" s="14">
        <v>0.64194444444444443</v>
      </c>
      <c r="K213" s="15">
        <v>44751</v>
      </c>
      <c r="M213" s="2">
        <v>1.095</v>
      </c>
      <c r="O213" s="2">
        <f t="shared" si="25"/>
        <v>1.0249999999999999</v>
      </c>
      <c r="P213" s="2">
        <f t="shared" si="26"/>
        <v>52.771428571428572</v>
      </c>
      <c r="Q213" s="2">
        <f t="shared" si="27"/>
        <v>0.7880000000000007</v>
      </c>
      <c r="R213" s="2">
        <f t="shared" si="28"/>
        <v>0.52817142857142907</v>
      </c>
      <c r="S213" s="2">
        <f t="shared" si="29"/>
        <v>0.25982857142857163</v>
      </c>
    </row>
    <row r="214" spans="2:19" x14ac:dyDescent="0.25">
      <c r="B214" s="1">
        <f t="shared" si="30"/>
        <v>208</v>
      </c>
      <c r="C214" s="1">
        <v>310</v>
      </c>
      <c r="D214" s="13">
        <v>78.8</v>
      </c>
      <c r="E214" s="1" t="s">
        <v>11</v>
      </c>
      <c r="F214" s="2">
        <v>1.125</v>
      </c>
      <c r="G214" s="1" t="s">
        <v>12</v>
      </c>
      <c r="H214" s="1" t="s">
        <v>13</v>
      </c>
      <c r="I214" s="1" t="s">
        <v>14</v>
      </c>
      <c r="J214" s="14">
        <v>0.64194444444444443</v>
      </c>
      <c r="K214" s="15">
        <v>44751</v>
      </c>
      <c r="M214" s="2">
        <v>1.105</v>
      </c>
      <c r="O214" s="2">
        <f t="shared" si="25"/>
        <v>1.0349999999999999</v>
      </c>
      <c r="P214" s="2">
        <f t="shared" si="26"/>
        <v>52.862857142857145</v>
      </c>
      <c r="Q214" s="2">
        <f t="shared" si="27"/>
        <v>0.39374999999999161</v>
      </c>
      <c r="R214" s="2">
        <f t="shared" si="28"/>
        <v>0.2644285714285658</v>
      </c>
      <c r="S214" s="2">
        <f t="shared" si="29"/>
        <v>0.12932142857142581</v>
      </c>
    </row>
    <row r="215" spans="2:19" x14ac:dyDescent="0.25">
      <c r="B215" s="1">
        <f t="shared" si="30"/>
        <v>209</v>
      </c>
      <c r="C215" s="1">
        <v>311</v>
      </c>
      <c r="D215" s="13">
        <v>78.7</v>
      </c>
      <c r="E215" s="1" t="s">
        <v>11</v>
      </c>
      <c r="F215" s="2">
        <v>1.1299999999999999</v>
      </c>
      <c r="G215" s="1" t="s">
        <v>12</v>
      </c>
      <c r="H215" s="1" t="s">
        <v>13</v>
      </c>
      <c r="I215" s="1" t="s">
        <v>14</v>
      </c>
      <c r="J215" s="14">
        <v>0.64194444444444443</v>
      </c>
      <c r="K215" s="15">
        <v>44751</v>
      </c>
      <c r="M215" s="2">
        <v>1.1099999999999999</v>
      </c>
      <c r="O215" s="2">
        <f t="shared" si="25"/>
        <v>1.0399999999999998</v>
      </c>
      <c r="P215" s="2">
        <f t="shared" si="26"/>
        <v>52.908571428571427</v>
      </c>
      <c r="Q215" s="2">
        <f t="shared" si="27"/>
        <v>0.39325000000000909</v>
      </c>
      <c r="R215" s="2">
        <f t="shared" si="28"/>
        <v>0.26465714285714897</v>
      </c>
      <c r="S215" s="2">
        <f t="shared" si="29"/>
        <v>0.12859285714286012</v>
      </c>
    </row>
    <row r="216" spans="2:19" x14ac:dyDescent="0.25">
      <c r="B216" s="1">
        <f t="shared" si="30"/>
        <v>210</v>
      </c>
      <c r="C216" s="1">
        <v>312</v>
      </c>
      <c r="D216" s="13">
        <v>78.599999999999994</v>
      </c>
      <c r="E216" s="1" t="s">
        <v>11</v>
      </c>
      <c r="F216" s="2">
        <v>1.135</v>
      </c>
      <c r="G216" s="1" t="s">
        <v>12</v>
      </c>
      <c r="H216" s="1" t="s">
        <v>13</v>
      </c>
      <c r="I216" s="1" t="s">
        <v>14</v>
      </c>
      <c r="J216" s="14">
        <v>0.64194444444444443</v>
      </c>
      <c r="K216" s="15">
        <v>44751</v>
      </c>
      <c r="M216" s="2">
        <v>1.115</v>
      </c>
      <c r="O216" s="2">
        <f t="shared" si="25"/>
        <v>1.0449999999999999</v>
      </c>
      <c r="P216" s="2">
        <f t="shared" si="26"/>
        <v>52.954285714285717</v>
      </c>
      <c r="Q216" s="2">
        <f t="shared" si="27"/>
        <v>0.39349999999999158</v>
      </c>
      <c r="R216" s="2">
        <f t="shared" si="28"/>
        <v>0.26488571428570867</v>
      </c>
      <c r="S216" s="2">
        <f t="shared" si="29"/>
        <v>0.12861428571428291</v>
      </c>
    </row>
    <row r="217" spans="2:19" x14ac:dyDescent="0.25">
      <c r="B217" s="1">
        <f t="shared" si="30"/>
        <v>211</v>
      </c>
      <c r="C217" s="1">
        <v>313</v>
      </c>
      <c r="D217" s="13">
        <v>78.8</v>
      </c>
      <c r="E217" s="1" t="s">
        <v>11</v>
      </c>
      <c r="F217" s="2">
        <v>1.1399999999999999</v>
      </c>
      <c r="G217" s="1" t="s">
        <v>12</v>
      </c>
      <c r="H217" s="1" t="s">
        <v>13</v>
      </c>
      <c r="I217" s="1" t="s">
        <v>14</v>
      </c>
      <c r="J217" s="14">
        <v>0.64194444444444443</v>
      </c>
      <c r="K217" s="15">
        <v>44751</v>
      </c>
      <c r="M217" s="2">
        <v>1.1199999999999999</v>
      </c>
      <c r="O217" s="2">
        <f t="shared" si="25"/>
        <v>1.0499999999999998</v>
      </c>
      <c r="P217" s="2">
        <f t="shared" si="26"/>
        <v>53</v>
      </c>
      <c r="Q217" s="2">
        <f t="shared" si="27"/>
        <v>0.39400000000000907</v>
      </c>
      <c r="R217" s="2">
        <f t="shared" si="28"/>
        <v>0.26511428571429185</v>
      </c>
      <c r="S217" s="2">
        <f t="shared" si="29"/>
        <v>0.12888571428571721</v>
      </c>
    </row>
    <row r="218" spans="2:19" x14ac:dyDescent="0.25">
      <c r="B218" s="1">
        <f t="shared" si="30"/>
        <v>212</v>
      </c>
      <c r="C218" s="1">
        <v>314</v>
      </c>
      <c r="D218" s="13">
        <v>78.8</v>
      </c>
      <c r="E218" s="1" t="s">
        <v>11</v>
      </c>
      <c r="F218" s="2">
        <v>1.145</v>
      </c>
      <c r="G218" s="1" t="s">
        <v>12</v>
      </c>
      <c r="H218" s="1" t="s">
        <v>13</v>
      </c>
      <c r="I218" s="1" t="s">
        <v>14</v>
      </c>
      <c r="J218" s="14">
        <v>0.64194444444444443</v>
      </c>
      <c r="K218" s="15">
        <v>44751</v>
      </c>
      <c r="M218" s="2">
        <v>1.125</v>
      </c>
      <c r="O218" s="2">
        <f t="shared" si="25"/>
        <v>1.0549999999999999</v>
      </c>
      <c r="P218" s="2">
        <f t="shared" si="26"/>
        <v>53.045714285714283</v>
      </c>
      <c r="Q218" s="2">
        <f t="shared" si="27"/>
        <v>0.39349999999999158</v>
      </c>
      <c r="R218" s="2">
        <f t="shared" si="28"/>
        <v>0.2653428571428515</v>
      </c>
      <c r="S218" s="2">
        <f t="shared" si="29"/>
        <v>0.12815714285714008</v>
      </c>
    </row>
    <row r="219" spans="2:19" x14ac:dyDescent="0.25">
      <c r="B219" s="1">
        <f t="shared" si="30"/>
        <v>213</v>
      </c>
      <c r="C219" s="1">
        <v>315</v>
      </c>
      <c r="D219" s="13">
        <v>78.599999999999994</v>
      </c>
      <c r="E219" s="1" t="s">
        <v>11</v>
      </c>
      <c r="F219" s="2">
        <v>1.1499999999999999</v>
      </c>
      <c r="G219" s="1" t="s">
        <v>12</v>
      </c>
      <c r="H219" s="1" t="s">
        <v>13</v>
      </c>
      <c r="I219" s="1" t="s">
        <v>14</v>
      </c>
      <c r="J219" s="14">
        <v>0.64194444444444443</v>
      </c>
      <c r="K219" s="15">
        <v>44751</v>
      </c>
      <c r="M219" s="2">
        <v>1.1299999999999999</v>
      </c>
      <c r="O219" s="2">
        <f t="shared" si="25"/>
        <v>1.0599999999999998</v>
      </c>
      <c r="P219" s="2">
        <f t="shared" si="26"/>
        <v>53.091428571428573</v>
      </c>
      <c r="Q219" s="2">
        <f t="shared" si="27"/>
        <v>0.39350000000000901</v>
      </c>
      <c r="R219" s="2">
        <f t="shared" si="28"/>
        <v>0.26557142857143468</v>
      </c>
      <c r="S219" s="2">
        <f t="shared" si="29"/>
        <v>0.12792857142857433</v>
      </c>
    </row>
    <row r="220" spans="2:19" x14ac:dyDescent="0.25">
      <c r="B220" s="1">
        <f t="shared" si="30"/>
        <v>214</v>
      </c>
      <c r="C220" s="1">
        <v>316</v>
      </c>
      <c r="D220" s="13">
        <v>78.8</v>
      </c>
      <c r="E220" s="1" t="s">
        <v>11</v>
      </c>
      <c r="F220" s="2">
        <v>1.155</v>
      </c>
      <c r="G220" s="1" t="s">
        <v>12</v>
      </c>
      <c r="H220" s="1" t="s">
        <v>13</v>
      </c>
      <c r="I220" s="1" t="s">
        <v>14</v>
      </c>
      <c r="J220" s="14">
        <v>0.64194444444444443</v>
      </c>
      <c r="K220" s="15">
        <v>44751</v>
      </c>
      <c r="M220" s="2">
        <v>1.135</v>
      </c>
      <c r="O220" s="2">
        <f t="shared" si="25"/>
        <v>1.0649999999999999</v>
      </c>
      <c r="P220" s="2">
        <f t="shared" si="26"/>
        <v>53.137142857142862</v>
      </c>
      <c r="Q220" s="2">
        <f t="shared" si="27"/>
        <v>0.39424999999999155</v>
      </c>
      <c r="R220" s="2">
        <f t="shared" si="28"/>
        <v>0.26579999999999437</v>
      </c>
      <c r="S220" s="2">
        <f t="shared" si="29"/>
        <v>0.12844999999999718</v>
      </c>
    </row>
    <row r="221" spans="2:19" x14ac:dyDescent="0.25">
      <c r="B221" s="1">
        <f t="shared" si="30"/>
        <v>215</v>
      </c>
      <c r="C221" s="1">
        <v>318</v>
      </c>
      <c r="D221" s="13">
        <v>78.900000000000006</v>
      </c>
      <c r="E221" s="1" t="s">
        <v>11</v>
      </c>
      <c r="F221" s="2">
        <v>1.1599999999999999</v>
      </c>
      <c r="G221" s="1" t="s">
        <v>12</v>
      </c>
      <c r="H221" s="1" t="s">
        <v>13</v>
      </c>
      <c r="I221" s="1" t="s">
        <v>14</v>
      </c>
      <c r="J221" s="14">
        <v>0.64194444444444443</v>
      </c>
      <c r="K221" s="15">
        <v>44751</v>
      </c>
      <c r="M221" s="2">
        <v>1.1399999999999999</v>
      </c>
      <c r="O221" s="2">
        <f t="shared" si="25"/>
        <v>1.0699999999999998</v>
      </c>
      <c r="P221" s="2">
        <f t="shared" si="26"/>
        <v>53.182857142857145</v>
      </c>
      <c r="Q221" s="2">
        <f t="shared" si="27"/>
        <v>0.39425000000000909</v>
      </c>
      <c r="R221" s="2">
        <f t="shared" si="28"/>
        <v>0.26602857142857755</v>
      </c>
      <c r="S221" s="2">
        <f t="shared" si="29"/>
        <v>0.12822142857143154</v>
      </c>
    </row>
    <row r="222" spans="2:19" x14ac:dyDescent="0.25">
      <c r="B222" s="1">
        <f t="shared" si="30"/>
        <v>216</v>
      </c>
      <c r="C222" s="1">
        <v>319</v>
      </c>
      <c r="D222" s="13">
        <v>78.8</v>
      </c>
      <c r="E222" s="1" t="s">
        <v>11</v>
      </c>
      <c r="F222" s="2">
        <v>1.165</v>
      </c>
      <c r="G222" s="1" t="s">
        <v>12</v>
      </c>
      <c r="H222" s="1" t="s">
        <v>13</v>
      </c>
      <c r="I222" s="1" t="s">
        <v>14</v>
      </c>
      <c r="J222" s="14">
        <v>0.64195601851851858</v>
      </c>
      <c r="K222" s="15">
        <v>44751</v>
      </c>
      <c r="M222" s="2">
        <v>1.145</v>
      </c>
      <c r="O222" s="2">
        <f t="shared" si="25"/>
        <v>1.075</v>
      </c>
      <c r="P222" s="2">
        <f t="shared" si="26"/>
        <v>53.228571428571428</v>
      </c>
      <c r="Q222" s="2">
        <f t="shared" si="27"/>
        <v>0.39349999999999158</v>
      </c>
      <c r="R222" s="2">
        <f t="shared" si="28"/>
        <v>0.2662571428571372</v>
      </c>
      <c r="S222" s="2">
        <f t="shared" si="29"/>
        <v>0.12724285714285438</v>
      </c>
    </row>
    <row r="223" spans="2:19" x14ac:dyDescent="0.25">
      <c r="B223" s="1">
        <f t="shared" si="30"/>
        <v>217</v>
      </c>
      <c r="C223" s="1">
        <v>320</v>
      </c>
      <c r="D223" s="13">
        <v>78.599999999999994</v>
      </c>
      <c r="E223" s="1" t="s">
        <v>11</v>
      </c>
      <c r="F223" s="2">
        <v>1.17</v>
      </c>
      <c r="G223" s="1" t="s">
        <v>12</v>
      </c>
      <c r="H223" s="1" t="s">
        <v>13</v>
      </c>
      <c r="I223" s="1" t="s">
        <v>14</v>
      </c>
      <c r="J223" s="14">
        <v>0.64195601851851858</v>
      </c>
      <c r="K223" s="15">
        <v>44751</v>
      </c>
      <c r="M223" s="2">
        <v>1.1499999999999999</v>
      </c>
      <c r="O223" s="2">
        <f t="shared" si="25"/>
        <v>1.0799999999999998</v>
      </c>
      <c r="P223" s="2">
        <f t="shared" si="26"/>
        <v>53.27428571428571</v>
      </c>
      <c r="Q223" s="2">
        <f t="shared" si="27"/>
        <v>0.39300000000000906</v>
      </c>
      <c r="R223" s="2">
        <f t="shared" si="28"/>
        <v>0.26648571428572043</v>
      </c>
      <c r="S223" s="2">
        <f t="shared" si="29"/>
        <v>0.12651428571428863</v>
      </c>
    </row>
    <row r="224" spans="2:19" x14ac:dyDescent="0.25">
      <c r="B224" s="1">
        <f t="shared" si="30"/>
        <v>218</v>
      </c>
      <c r="C224" s="1">
        <v>321</v>
      </c>
      <c r="D224" s="13">
        <v>78.599999999999994</v>
      </c>
      <c r="E224" s="1" t="s">
        <v>11</v>
      </c>
      <c r="F224" s="2">
        <v>1.175</v>
      </c>
      <c r="G224" s="1" t="s">
        <v>12</v>
      </c>
      <c r="H224" s="1" t="s">
        <v>13</v>
      </c>
      <c r="I224" s="1" t="s">
        <v>14</v>
      </c>
      <c r="J224" s="14">
        <v>0.64195601851851858</v>
      </c>
      <c r="K224" s="15">
        <v>44751</v>
      </c>
      <c r="M224" s="2">
        <v>1.155</v>
      </c>
      <c r="O224" s="2">
        <f t="shared" si="25"/>
        <v>1.085</v>
      </c>
      <c r="P224" s="2">
        <f t="shared" si="26"/>
        <v>53.32</v>
      </c>
      <c r="Q224" s="2">
        <f t="shared" si="27"/>
        <v>0.39249999999999163</v>
      </c>
      <c r="R224" s="2">
        <f t="shared" si="28"/>
        <v>0.26671428571428002</v>
      </c>
      <c r="S224" s="2">
        <f t="shared" si="29"/>
        <v>0.12578571428571161</v>
      </c>
    </row>
    <row r="225" spans="2:19" x14ac:dyDescent="0.25">
      <c r="B225" s="1">
        <f t="shared" si="30"/>
        <v>219</v>
      </c>
      <c r="C225" s="1">
        <v>322</v>
      </c>
      <c r="D225" s="13">
        <v>78.400000000000006</v>
      </c>
      <c r="E225" s="1" t="s">
        <v>11</v>
      </c>
      <c r="F225" s="2">
        <v>1.18</v>
      </c>
      <c r="G225" s="1" t="s">
        <v>12</v>
      </c>
      <c r="H225" s="1" t="s">
        <v>13</v>
      </c>
      <c r="I225" s="1" t="s">
        <v>14</v>
      </c>
      <c r="J225" s="14">
        <v>0.64195601851851858</v>
      </c>
      <c r="K225" s="15">
        <v>44751</v>
      </c>
      <c r="M225" s="2">
        <v>1.1599999999999999</v>
      </c>
      <c r="O225" s="2">
        <f t="shared" si="25"/>
        <v>1.0899999999999999</v>
      </c>
      <c r="P225" s="2">
        <f t="shared" si="26"/>
        <v>53.36571428571429</v>
      </c>
      <c r="Q225" s="2">
        <f t="shared" si="27"/>
        <v>0.39150000000000912</v>
      </c>
      <c r="R225" s="2">
        <f t="shared" si="28"/>
        <v>0.26694285714286331</v>
      </c>
      <c r="S225" s="2">
        <f t="shared" si="29"/>
        <v>0.12455714285714581</v>
      </c>
    </row>
    <row r="226" spans="2:19" x14ac:dyDescent="0.25">
      <c r="B226" s="1">
        <f t="shared" si="30"/>
        <v>220</v>
      </c>
      <c r="C226" s="1">
        <v>323</v>
      </c>
      <c r="D226" s="13">
        <v>78.2</v>
      </c>
      <c r="E226" s="1" t="s">
        <v>11</v>
      </c>
      <c r="F226" s="2">
        <v>1.1850000000000001</v>
      </c>
      <c r="G226" s="1" t="s">
        <v>12</v>
      </c>
      <c r="H226" s="1" t="s">
        <v>13</v>
      </c>
      <c r="I226" s="1" t="s">
        <v>14</v>
      </c>
      <c r="J226" s="14">
        <v>0.64195601851851858</v>
      </c>
      <c r="K226" s="15">
        <v>44751</v>
      </c>
      <c r="M226" s="2">
        <v>1.165</v>
      </c>
      <c r="O226" s="2">
        <f t="shared" si="25"/>
        <v>1.095</v>
      </c>
      <c r="P226" s="2">
        <f t="shared" si="26"/>
        <v>53.411428571428573</v>
      </c>
      <c r="Q226" s="2">
        <f t="shared" si="27"/>
        <v>0.39049999999999163</v>
      </c>
      <c r="R226" s="2">
        <f t="shared" si="28"/>
        <v>0.2671714285714229</v>
      </c>
      <c r="S226" s="2">
        <f t="shared" si="29"/>
        <v>0.12332857142856873</v>
      </c>
    </row>
    <row r="227" spans="2:19" x14ac:dyDescent="0.25">
      <c r="B227" s="1">
        <f t="shared" si="30"/>
        <v>221</v>
      </c>
      <c r="C227" s="1">
        <v>325</v>
      </c>
      <c r="D227" s="13">
        <v>78</v>
      </c>
      <c r="E227" s="1" t="s">
        <v>11</v>
      </c>
      <c r="F227" s="2">
        <v>1.19</v>
      </c>
      <c r="G227" s="1" t="s">
        <v>12</v>
      </c>
      <c r="H227" s="1" t="s">
        <v>13</v>
      </c>
      <c r="I227" s="1" t="s">
        <v>14</v>
      </c>
      <c r="J227" s="14">
        <v>0.64195601851851858</v>
      </c>
      <c r="K227" s="15">
        <v>44751</v>
      </c>
      <c r="M227" s="2">
        <v>1.17</v>
      </c>
      <c r="O227" s="2">
        <f t="shared" si="25"/>
        <v>1.0999999999999999</v>
      </c>
      <c r="P227" s="2">
        <f t="shared" si="26"/>
        <v>53.457142857142856</v>
      </c>
      <c r="Q227" s="2">
        <f t="shared" si="27"/>
        <v>0.38925000000000898</v>
      </c>
      <c r="R227" s="2">
        <f t="shared" si="28"/>
        <v>0.26740000000000619</v>
      </c>
      <c r="S227" s="2">
        <f t="shared" si="29"/>
        <v>0.12185000000000279</v>
      </c>
    </row>
    <row r="228" spans="2:19" x14ac:dyDescent="0.25">
      <c r="B228" s="1">
        <f t="shared" si="30"/>
        <v>222</v>
      </c>
      <c r="C228" s="1">
        <v>326</v>
      </c>
      <c r="D228" s="13">
        <v>77.7</v>
      </c>
      <c r="E228" s="1" t="s">
        <v>11</v>
      </c>
      <c r="F228" s="2">
        <v>1.1950000000000001</v>
      </c>
      <c r="G228" s="1" t="s">
        <v>12</v>
      </c>
      <c r="H228" s="1" t="s">
        <v>13</v>
      </c>
      <c r="I228" s="1" t="s">
        <v>14</v>
      </c>
      <c r="J228" s="14">
        <v>0.64195601851851858</v>
      </c>
      <c r="K228" s="15">
        <v>44751</v>
      </c>
      <c r="M228" s="2">
        <v>1.175</v>
      </c>
      <c r="O228" s="2">
        <f t="shared" si="25"/>
        <v>1.105</v>
      </c>
      <c r="P228" s="2">
        <f t="shared" si="26"/>
        <v>53.502857142857145</v>
      </c>
      <c r="Q228" s="2">
        <f t="shared" si="27"/>
        <v>0.38924999999999166</v>
      </c>
      <c r="R228" s="2">
        <f t="shared" si="28"/>
        <v>0.26762857142856572</v>
      </c>
      <c r="S228" s="2">
        <f t="shared" si="29"/>
        <v>0.12162142857142594</v>
      </c>
    </row>
    <row r="229" spans="2:19" x14ac:dyDescent="0.25">
      <c r="B229" s="1">
        <f t="shared" si="30"/>
        <v>223</v>
      </c>
      <c r="C229" s="1">
        <v>327</v>
      </c>
      <c r="D229" s="13">
        <v>78</v>
      </c>
      <c r="E229" s="1" t="s">
        <v>11</v>
      </c>
      <c r="F229" s="2">
        <v>1.2</v>
      </c>
      <c r="G229" s="1" t="s">
        <v>12</v>
      </c>
      <c r="H229" s="1" t="s">
        <v>13</v>
      </c>
      <c r="I229" s="1" t="s">
        <v>14</v>
      </c>
      <c r="J229" s="14">
        <v>0.64195601851851858</v>
      </c>
      <c r="K229" s="15">
        <v>44751</v>
      </c>
      <c r="M229" s="2">
        <v>1.18</v>
      </c>
      <c r="O229" s="2">
        <f t="shared" si="25"/>
        <v>1.1099999999999999</v>
      </c>
      <c r="P229" s="2">
        <f t="shared" si="26"/>
        <v>53.548571428571428</v>
      </c>
      <c r="Q229" s="2">
        <f t="shared" si="27"/>
        <v>0.38925000000000898</v>
      </c>
      <c r="R229" s="2">
        <f t="shared" si="28"/>
        <v>0.26785714285714901</v>
      </c>
      <c r="S229" s="2">
        <f t="shared" si="29"/>
        <v>0.12139285714285997</v>
      </c>
    </row>
    <row r="230" spans="2:19" x14ac:dyDescent="0.25">
      <c r="B230" s="1">
        <f t="shared" si="30"/>
        <v>224</v>
      </c>
      <c r="C230" s="1">
        <v>328</v>
      </c>
      <c r="D230" s="13">
        <v>77.7</v>
      </c>
      <c r="E230" s="1" t="s">
        <v>11</v>
      </c>
      <c r="F230" s="2">
        <v>1.2050000000000001</v>
      </c>
      <c r="G230" s="1" t="s">
        <v>12</v>
      </c>
      <c r="H230" s="1" t="s">
        <v>13</v>
      </c>
      <c r="I230" s="1" t="s">
        <v>14</v>
      </c>
      <c r="J230" s="14">
        <v>0.64195601851851858</v>
      </c>
      <c r="K230" s="15">
        <v>44751</v>
      </c>
      <c r="M230" s="2">
        <v>1.1850000000000001</v>
      </c>
      <c r="O230" s="2">
        <f t="shared" si="25"/>
        <v>1.115</v>
      </c>
      <c r="P230" s="2">
        <f t="shared" si="26"/>
        <v>53.594285714285718</v>
      </c>
      <c r="Q230" s="2">
        <f t="shared" si="27"/>
        <v>0.38799999999999168</v>
      </c>
      <c r="R230" s="2">
        <f t="shared" si="28"/>
        <v>0.2680857142857086</v>
      </c>
      <c r="S230" s="2">
        <f t="shared" si="29"/>
        <v>0.11991428571428309</v>
      </c>
    </row>
    <row r="231" spans="2:19" x14ac:dyDescent="0.25">
      <c r="B231" s="1">
        <f t="shared" si="30"/>
        <v>225</v>
      </c>
      <c r="C231" s="1">
        <v>329</v>
      </c>
      <c r="D231" s="13">
        <v>77.5</v>
      </c>
      <c r="E231" s="1" t="s">
        <v>11</v>
      </c>
      <c r="F231" s="2">
        <v>1.21</v>
      </c>
      <c r="G231" s="1" t="s">
        <v>12</v>
      </c>
      <c r="H231" s="1" t="s">
        <v>13</v>
      </c>
      <c r="I231" s="1" t="s">
        <v>14</v>
      </c>
      <c r="J231" s="14">
        <v>0.64196759259259262</v>
      </c>
      <c r="K231" s="15">
        <v>44751</v>
      </c>
      <c r="M231" s="2">
        <v>1.19</v>
      </c>
      <c r="O231" s="2">
        <f t="shared" si="25"/>
        <v>1.1199999999999999</v>
      </c>
      <c r="P231" s="2">
        <f t="shared" si="26"/>
        <v>53.64</v>
      </c>
      <c r="Q231" s="2">
        <f t="shared" si="27"/>
        <v>0.77350000000000063</v>
      </c>
      <c r="R231" s="2">
        <f t="shared" si="28"/>
        <v>0.53685714285714325</v>
      </c>
      <c r="S231" s="2">
        <f t="shared" si="29"/>
        <v>0.23664285714285738</v>
      </c>
    </row>
    <row r="232" spans="2:19" x14ac:dyDescent="0.25">
      <c r="B232" s="1">
        <f t="shared" si="30"/>
        <v>226</v>
      </c>
      <c r="C232" s="1">
        <v>331</v>
      </c>
      <c r="D232" s="13">
        <v>77.2</v>
      </c>
      <c r="E232" s="1" t="s">
        <v>11</v>
      </c>
      <c r="F232" s="2">
        <v>1.22</v>
      </c>
      <c r="G232" s="1" t="s">
        <v>12</v>
      </c>
      <c r="H232" s="1" t="s">
        <v>13</v>
      </c>
      <c r="I232" s="1" t="s">
        <v>14</v>
      </c>
      <c r="J232" s="14">
        <v>0.64196759259259262</v>
      </c>
      <c r="K232" s="15">
        <v>44751</v>
      </c>
      <c r="M232" s="2">
        <v>1.2</v>
      </c>
      <c r="O232" s="2">
        <f t="shared" si="25"/>
        <v>1.1299999999999999</v>
      </c>
      <c r="P232" s="2">
        <f t="shared" si="26"/>
        <v>53.731428571428573</v>
      </c>
      <c r="Q232" s="2">
        <f t="shared" si="27"/>
        <v>0.38600000000000895</v>
      </c>
      <c r="R232" s="2">
        <f t="shared" si="28"/>
        <v>0.26877142857143477</v>
      </c>
      <c r="S232" s="2">
        <f t="shared" si="29"/>
        <v>0.11722857142857418</v>
      </c>
    </row>
    <row r="233" spans="2:19" x14ac:dyDescent="0.25">
      <c r="B233" s="1">
        <f t="shared" si="30"/>
        <v>227</v>
      </c>
      <c r="C233" s="1">
        <v>332</v>
      </c>
      <c r="D233" s="13">
        <v>77.2</v>
      </c>
      <c r="E233" s="1" t="s">
        <v>11</v>
      </c>
      <c r="F233" s="2">
        <v>1.2250000000000001</v>
      </c>
      <c r="G233" s="1" t="s">
        <v>12</v>
      </c>
      <c r="H233" s="1" t="s">
        <v>13</v>
      </c>
      <c r="I233" s="1" t="s">
        <v>14</v>
      </c>
      <c r="J233" s="14">
        <v>0.64196759259259262</v>
      </c>
      <c r="K233" s="15">
        <v>44751</v>
      </c>
      <c r="M233" s="2">
        <v>1.2050000000000001</v>
      </c>
      <c r="O233" s="2">
        <f t="shared" si="25"/>
        <v>1.135</v>
      </c>
      <c r="P233" s="2">
        <f t="shared" si="26"/>
        <v>53.777142857142863</v>
      </c>
      <c r="Q233" s="2">
        <f t="shared" si="27"/>
        <v>0.38574999999999182</v>
      </c>
      <c r="R233" s="2">
        <f t="shared" si="28"/>
        <v>0.2689999999999943</v>
      </c>
      <c r="S233" s="2">
        <f t="shared" si="29"/>
        <v>0.11674999999999752</v>
      </c>
    </row>
    <row r="234" spans="2:19" x14ac:dyDescent="0.25">
      <c r="B234" s="1">
        <f t="shared" si="30"/>
        <v>228</v>
      </c>
      <c r="C234" s="1">
        <v>333</v>
      </c>
      <c r="D234" s="13">
        <v>77.099999999999994</v>
      </c>
      <c r="E234" s="1" t="s">
        <v>11</v>
      </c>
      <c r="F234" s="2">
        <v>1.23</v>
      </c>
      <c r="G234" s="1" t="s">
        <v>12</v>
      </c>
      <c r="H234" s="1" t="s">
        <v>13</v>
      </c>
      <c r="I234" s="1" t="s">
        <v>14</v>
      </c>
      <c r="J234" s="14">
        <v>0.64196759259259262</v>
      </c>
      <c r="K234" s="15">
        <v>44751</v>
      </c>
      <c r="M234" s="2">
        <v>1.21</v>
      </c>
      <c r="O234" s="2">
        <f t="shared" si="25"/>
        <v>1.1399999999999999</v>
      </c>
      <c r="P234" s="2">
        <f t="shared" si="26"/>
        <v>53.822857142857146</v>
      </c>
      <c r="Q234" s="2">
        <f t="shared" si="27"/>
        <v>0.38575000000000892</v>
      </c>
      <c r="R234" s="2">
        <f t="shared" si="28"/>
        <v>0.26922857142857765</v>
      </c>
      <c r="S234" s="2">
        <f t="shared" si="29"/>
        <v>0.11652142857143127</v>
      </c>
    </row>
    <row r="235" spans="2:19" x14ac:dyDescent="0.25">
      <c r="B235" s="1">
        <f t="shared" si="30"/>
        <v>229</v>
      </c>
      <c r="C235" s="1">
        <v>334</v>
      </c>
      <c r="D235" s="13">
        <v>77.2</v>
      </c>
      <c r="E235" s="1" t="s">
        <v>11</v>
      </c>
      <c r="F235" s="2">
        <v>1.2350000000000001</v>
      </c>
      <c r="G235" s="1" t="s">
        <v>12</v>
      </c>
      <c r="H235" s="1" t="s">
        <v>13</v>
      </c>
      <c r="I235" s="1" t="s">
        <v>14</v>
      </c>
      <c r="J235" s="14">
        <v>0.64196759259259262</v>
      </c>
      <c r="K235" s="15">
        <v>44751</v>
      </c>
      <c r="M235" s="2">
        <v>1.2150000000000001</v>
      </c>
      <c r="O235" s="2">
        <f t="shared" si="25"/>
        <v>1.145</v>
      </c>
      <c r="P235" s="2">
        <f t="shared" si="26"/>
        <v>53.868571428571428</v>
      </c>
      <c r="Q235" s="2">
        <f t="shared" si="27"/>
        <v>0.38599999999999179</v>
      </c>
      <c r="R235" s="2">
        <f t="shared" si="28"/>
        <v>0.26945714285713712</v>
      </c>
      <c r="S235" s="2">
        <f t="shared" si="29"/>
        <v>0.11654285714285467</v>
      </c>
    </row>
    <row r="236" spans="2:19" x14ac:dyDescent="0.25">
      <c r="B236" s="1">
        <f t="shared" si="30"/>
        <v>230</v>
      </c>
      <c r="C236" s="1">
        <v>335</v>
      </c>
      <c r="D236" s="13">
        <v>77.2</v>
      </c>
      <c r="E236" s="1" t="s">
        <v>11</v>
      </c>
      <c r="F236" s="2">
        <v>1.24</v>
      </c>
      <c r="G236" s="1" t="s">
        <v>12</v>
      </c>
      <c r="H236" s="1" t="s">
        <v>13</v>
      </c>
      <c r="I236" s="1" t="s">
        <v>14</v>
      </c>
      <c r="J236" s="14">
        <v>0.64196759259259262</v>
      </c>
      <c r="K236" s="15">
        <v>44751</v>
      </c>
      <c r="M236" s="2">
        <v>1.22</v>
      </c>
      <c r="O236" s="2">
        <f t="shared" si="25"/>
        <v>1.1499999999999999</v>
      </c>
      <c r="P236" s="2">
        <f t="shared" si="26"/>
        <v>53.914285714285718</v>
      </c>
      <c r="Q236" s="2">
        <f t="shared" si="27"/>
        <v>0.38600000000000895</v>
      </c>
      <c r="R236" s="2">
        <f t="shared" si="28"/>
        <v>0.26968571428572052</v>
      </c>
      <c r="S236" s="2">
        <f t="shared" si="29"/>
        <v>0.11631428571428842</v>
      </c>
    </row>
    <row r="237" spans="2:19" x14ac:dyDescent="0.25">
      <c r="B237" s="1">
        <f t="shared" si="30"/>
        <v>231</v>
      </c>
      <c r="C237" s="1">
        <v>337</v>
      </c>
      <c r="D237" s="13">
        <v>77.2</v>
      </c>
      <c r="E237" s="1" t="s">
        <v>11</v>
      </c>
      <c r="F237" s="2">
        <v>1.2450000000000001</v>
      </c>
      <c r="G237" s="1" t="s">
        <v>12</v>
      </c>
      <c r="H237" s="1" t="s">
        <v>13</v>
      </c>
      <c r="I237" s="1" t="s">
        <v>14</v>
      </c>
      <c r="J237" s="14">
        <v>0.64196759259259262</v>
      </c>
      <c r="K237" s="15">
        <v>44751</v>
      </c>
      <c r="M237" s="2">
        <v>1.2250000000000001</v>
      </c>
      <c r="O237" s="2">
        <f t="shared" si="25"/>
        <v>1.155</v>
      </c>
      <c r="P237" s="2">
        <f t="shared" si="26"/>
        <v>53.96</v>
      </c>
      <c r="Q237" s="2">
        <f t="shared" si="27"/>
        <v>0.38599999999999179</v>
      </c>
      <c r="R237" s="2">
        <f t="shared" si="28"/>
        <v>0.26991428571427994</v>
      </c>
      <c r="S237" s="2">
        <f t="shared" si="29"/>
        <v>0.11608571428571185</v>
      </c>
    </row>
    <row r="238" spans="2:19" x14ac:dyDescent="0.25">
      <c r="B238" s="1">
        <f t="shared" si="30"/>
        <v>232</v>
      </c>
      <c r="C238" s="1">
        <v>338</v>
      </c>
      <c r="D238" s="13">
        <v>77.2</v>
      </c>
      <c r="E238" s="1" t="s">
        <v>11</v>
      </c>
      <c r="F238" s="2">
        <v>1.25</v>
      </c>
      <c r="G238" s="1" t="s">
        <v>12</v>
      </c>
      <c r="H238" s="1" t="s">
        <v>13</v>
      </c>
      <c r="I238" s="1" t="s">
        <v>14</v>
      </c>
      <c r="J238" s="14">
        <v>0.64196759259259262</v>
      </c>
      <c r="K238" s="15">
        <v>44751</v>
      </c>
      <c r="M238" s="2">
        <v>1.23</v>
      </c>
      <c r="O238" s="2">
        <f t="shared" si="25"/>
        <v>1.1599999999999999</v>
      </c>
      <c r="P238" s="2">
        <f t="shared" si="26"/>
        <v>54.005714285714291</v>
      </c>
      <c r="Q238" s="2">
        <f t="shared" si="27"/>
        <v>0.38574999999999182</v>
      </c>
      <c r="R238" s="2">
        <f t="shared" si="28"/>
        <v>0.27014285714285141</v>
      </c>
      <c r="S238" s="2">
        <f t="shared" si="29"/>
        <v>0.11560714285714041</v>
      </c>
    </row>
    <row r="239" spans="2:19" x14ac:dyDescent="0.25">
      <c r="B239" s="1">
        <f t="shared" si="30"/>
        <v>233</v>
      </c>
      <c r="C239" s="1">
        <v>340</v>
      </c>
      <c r="D239" s="13">
        <v>77.099999999999994</v>
      </c>
      <c r="E239" s="1" t="s">
        <v>11</v>
      </c>
      <c r="F239" s="2">
        <v>1.2549999999999999</v>
      </c>
      <c r="G239" s="1" t="s">
        <v>12</v>
      </c>
      <c r="H239" s="1" t="s">
        <v>13</v>
      </c>
      <c r="I239" s="1" t="s">
        <v>14</v>
      </c>
      <c r="J239" s="14">
        <v>0.64197916666666666</v>
      </c>
      <c r="K239" s="15">
        <v>44751</v>
      </c>
      <c r="M239" s="2">
        <v>1.2349999999999999</v>
      </c>
      <c r="O239" s="2">
        <f t="shared" si="25"/>
        <v>1.1649999999999998</v>
      </c>
      <c r="P239" s="2">
        <f t="shared" si="26"/>
        <v>54.051428571428573</v>
      </c>
      <c r="Q239" s="2">
        <f t="shared" si="27"/>
        <v>0.38575000000000892</v>
      </c>
      <c r="R239" s="2">
        <f t="shared" si="28"/>
        <v>0.27037142857143481</v>
      </c>
      <c r="S239" s="2">
        <f t="shared" si="29"/>
        <v>0.11537857142857411</v>
      </c>
    </row>
    <row r="240" spans="2:19" x14ac:dyDescent="0.25">
      <c r="B240" s="1">
        <f t="shared" si="30"/>
        <v>234</v>
      </c>
      <c r="C240" s="1">
        <v>341</v>
      </c>
      <c r="D240" s="13">
        <v>77.2</v>
      </c>
      <c r="E240" s="1" t="s">
        <v>11</v>
      </c>
      <c r="F240" s="2">
        <v>1.26</v>
      </c>
      <c r="G240" s="1" t="s">
        <v>12</v>
      </c>
      <c r="H240" s="1" t="s">
        <v>13</v>
      </c>
      <c r="I240" s="1" t="s">
        <v>14</v>
      </c>
      <c r="J240" s="14">
        <v>0.64197916666666666</v>
      </c>
      <c r="K240" s="15">
        <v>44751</v>
      </c>
      <c r="M240" s="2">
        <v>1.24</v>
      </c>
      <c r="O240" s="2">
        <f t="shared" si="25"/>
        <v>1.17</v>
      </c>
      <c r="P240" s="2">
        <f t="shared" si="26"/>
        <v>54.097142857142856</v>
      </c>
      <c r="Q240" s="2">
        <f t="shared" si="27"/>
        <v>0.38599999999999179</v>
      </c>
      <c r="R240" s="2">
        <f t="shared" si="28"/>
        <v>0.27059999999999423</v>
      </c>
      <c r="S240" s="2">
        <f t="shared" si="29"/>
        <v>0.11539999999999756</v>
      </c>
    </row>
    <row r="241" spans="2:19" x14ac:dyDescent="0.25">
      <c r="B241" s="1">
        <f t="shared" si="30"/>
        <v>235</v>
      </c>
      <c r="C241" s="1">
        <v>342</v>
      </c>
      <c r="D241" s="13">
        <v>77.2</v>
      </c>
      <c r="E241" s="1" t="s">
        <v>11</v>
      </c>
      <c r="F241" s="2">
        <v>1.2649999999999999</v>
      </c>
      <c r="G241" s="1" t="s">
        <v>12</v>
      </c>
      <c r="H241" s="1" t="s">
        <v>13</v>
      </c>
      <c r="I241" s="1" t="s">
        <v>14</v>
      </c>
      <c r="J241" s="14">
        <v>0.64197916666666666</v>
      </c>
      <c r="K241" s="15">
        <v>44751</v>
      </c>
      <c r="M241" s="2">
        <v>1.2449999999999999</v>
      </c>
      <c r="O241" s="2">
        <f t="shared" si="25"/>
        <v>1.1749999999999998</v>
      </c>
      <c r="P241" s="2">
        <f t="shared" si="26"/>
        <v>54.142857142857146</v>
      </c>
      <c r="Q241" s="2">
        <f t="shared" si="27"/>
        <v>0.38450000000000889</v>
      </c>
      <c r="R241" s="2">
        <f t="shared" si="28"/>
        <v>0.27082857142857769</v>
      </c>
      <c r="S241" s="2">
        <f t="shared" si="29"/>
        <v>0.1136714285714312</v>
      </c>
    </row>
    <row r="242" spans="2:19" x14ac:dyDescent="0.25">
      <c r="B242" s="1">
        <f t="shared" si="30"/>
        <v>236</v>
      </c>
      <c r="C242" s="1">
        <v>343</v>
      </c>
      <c r="D242" s="13">
        <v>76.599999999999994</v>
      </c>
      <c r="E242" s="1" t="s">
        <v>11</v>
      </c>
      <c r="F242" s="2">
        <v>1.27</v>
      </c>
      <c r="G242" s="1" t="s">
        <v>12</v>
      </c>
      <c r="H242" s="1" t="s">
        <v>13</v>
      </c>
      <c r="I242" s="1" t="s">
        <v>14</v>
      </c>
      <c r="J242" s="14">
        <v>0.64197916666666666</v>
      </c>
      <c r="K242" s="15">
        <v>44751</v>
      </c>
      <c r="M242" s="2">
        <v>1.25</v>
      </c>
      <c r="O242" s="2">
        <f t="shared" si="25"/>
        <v>1.18</v>
      </c>
      <c r="P242" s="2">
        <f t="shared" si="26"/>
        <v>54.188571428571429</v>
      </c>
      <c r="Q242" s="2">
        <f t="shared" si="27"/>
        <v>0.76450000000000051</v>
      </c>
      <c r="R242" s="2">
        <f t="shared" si="28"/>
        <v>0.54234285714285768</v>
      </c>
      <c r="S242" s="2">
        <f t="shared" si="29"/>
        <v>0.22215714285714283</v>
      </c>
    </row>
    <row r="243" spans="2:19" x14ac:dyDescent="0.25">
      <c r="B243" s="1">
        <f t="shared" si="30"/>
        <v>237</v>
      </c>
      <c r="C243" s="1">
        <v>344</v>
      </c>
      <c r="D243" s="13">
        <v>76.3</v>
      </c>
      <c r="E243" s="1" t="s">
        <v>11</v>
      </c>
      <c r="F243" s="2">
        <v>1.28</v>
      </c>
      <c r="G243" s="1" t="s">
        <v>12</v>
      </c>
      <c r="H243" s="1" t="s">
        <v>13</v>
      </c>
      <c r="I243" s="1" t="s">
        <v>14</v>
      </c>
      <c r="J243" s="14">
        <v>0.64197916666666666</v>
      </c>
      <c r="K243" s="15">
        <v>44751</v>
      </c>
      <c r="M243" s="2">
        <v>1.26</v>
      </c>
      <c r="O243" s="2">
        <f t="shared" si="25"/>
        <v>1.19</v>
      </c>
      <c r="P243" s="2">
        <f t="shared" si="26"/>
        <v>54.28</v>
      </c>
      <c r="Q243" s="2">
        <f t="shared" si="27"/>
        <v>0.38149999999999185</v>
      </c>
      <c r="R243" s="2">
        <f t="shared" si="28"/>
        <v>0.27151428571427993</v>
      </c>
      <c r="S243" s="2">
        <f t="shared" si="29"/>
        <v>0.10998571428571191</v>
      </c>
    </row>
    <row r="244" spans="2:19" x14ac:dyDescent="0.25">
      <c r="B244" s="1">
        <f t="shared" si="30"/>
        <v>238</v>
      </c>
      <c r="C244" s="1">
        <v>345</v>
      </c>
      <c r="D244" s="13">
        <v>76.3</v>
      </c>
      <c r="E244" s="1" t="s">
        <v>11</v>
      </c>
      <c r="F244" s="2">
        <v>1.2849999999999999</v>
      </c>
      <c r="G244" s="1" t="s">
        <v>12</v>
      </c>
      <c r="H244" s="1" t="s">
        <v>13</v>
      </c>
      <c r="I244" s="1" t="s">
        <v>14</v>
      </c>
      <c r="J244" s="14">
        <v>0.64197916666666666</v>
      </c>
      <c r="K244" s="15">
        <v>44751</v>
      </c>
      <c r="M244" s="2">
        <v>1.2649999999999999</v>
      </c>
      <c r="O244" s="2">
        <f t="shared" si="25"/>
        <v>1.1949999999999998</v>
      </c>
      <c r="P244" s="2">
        <f t="shared" si="26"/>
        <v>54.325714285714284</v>
      </c>
      <c r="Q244" s="2">
        <f t="shared" si="27"/>
        <v>0.38100000000000872</v>
      </c>
      <c r="R244" s="2">
        <f t="shared" si="28"/>
        <v>0.27174285714286345</v>
      </c>
      <c r="S244" s="2">
        <f t="shared" si="29"/>
        <v>0.10925714285714527</v>
      </c>
    </row>
    <row r="245" spans="2:19" x14ac:dyDescent="0.25">
      <c r="B245" s="1">
        <f t="shared" si="30"/>
        <v>239</v>
      </c>
      <c r="C245" s="1">
        <v>346</v>
      </c>
      <c r="D245" s="13">
        <v>76.099999999999994</v>
      </c>
      <c r="E245" s="1" t="s">
        <v>11</v>
      </c>
      <c r="F245" s="2">
        <v>1.29</v>
      </c>
      <c r="G245" s="1" t="s">
        <v>12</v>
      </c>
      <c r="H245" s="1" t="s">
        <v>13</v>
      </c>
      <c r="I245" s="1" t="s">
        <v>14</v>
      </c>
      <c r="J245" s="14">
        <v>0.64197916666666666</v>
      </c>
      <c r="K245" s="15">
        <v>44751</v>
      </c>
      <c r="M245" s="2">
        <v>1.27</v>
      </c>
      <c r="O245" s="2">
        <f t="shared" si="25"/>
        <v>1.2</v>
      </c>
      <c r="P245" s="2">
        <f t="shared" si="26"/>
        <v>54.371428571428574</v>
      </c>
      <c r="Q245" s="2">
        <f t="shared" si="27"/>
        <v>0.75950000000000051</v>
      </c>
      <c r="R245" s="2">
        <f t="shared" si="28"/>
        <v>0.54417142857142908</v>
      </c>
      <c r="S245" s="2">
        <f t="shared" si="29"/>
        <v>0.21532857142857142</v>
      </c>
    </row>
    <row r="246" spans="2:19" x14ac:dyDescent="0.25">
      <c r="B246" s="1">
        <f t="shared" si="30"/>
        <v>240</v>
      </c>
      <c r="C246" s="1">
        <v>347</v>
      </c>
      <c r="D246" s="13">
        <v>75.8</v>
      </c>
      <c r="E246" s="1" t="s">
        <v>11</v>
      </c>
      <c r="F246" s="2">
        <v>1.3</v>
      </c>
      <c r="G246" s="1" t="s">
        <v>12</v>
      </c>
      <c r="H246" s="1" t="s">
        <v>13</v>
      </c>
      <c r="I246" s="1" t="s">
        <v>14</v>
      </c>
      <c r="J246" s="14">
        <v>0.64197916666666666</v>
      </c>
      <c r="K246" s="15">
        <v>44751</v>
      </c>
      <c r="M246" s="2">
        <v>1.28</v>
      </c>
      <c r="O246" s="2">
        <f t="shared" si="25"/>
        <v>1.21</v>
      </c>
      <c r="P246" s="2">
        <f t="shared" si="26"/>
        <v>54.462857142857146</v>
      </c>
      <c r="Q246" s="2">
        <f t="shared" si="27"/>
        <v>0.75800000000000067</v>
      </c>
      <c r="R246" s="2">
        <f t="shared" si="28"/>
        <v>0.54508571428571473</v>
      </c>
      <c r="S246" s="2">
        <f t="shared" si="29"/>
        <v>0.21291428571428594</v>
      </c>
    </row>
    <row r="247" spans="2:19" x14ac:dyDescent="0.25">
      <c r="B247" s="1">
        <f t="shared" si="30"/>
        <v>241</v>
      </c>
      <c r="C247" s="1">
        <v>348</v>
      </c>
      <c r="D247" s="13">
        <v>75.8</v>
      </c>
      <c r="E247" s="1" t="s">
        <v>11</v>
      </c>
      <c r="F247" s="2">
        <v>1.31</v>
      </c>
      <c r="G247" s="1" t="s">
        <v>12</v>
      </c>
      <c r="H247" s="1" t="s">
        <v>13</v>
      </c>
      <c r="I247" s="1" t="s">
        <v>14</v>
      </c>
      <c r="J247" s="14">
        <v>0.64197916666666666</v>
      </c>
      <c r="K247" s="15">
        <v>44751</v>
      </c>
      <c r="M247" s="2">
        <v>1.29</v>
      </c>
      <c r="O247" s="2">
        <f t="shared" si="25"/>
        <v>1.22</v>
      </c>
      <c r="P247" s="2">
        <f t="shared" si="26"/>
        <v>54.554285714285719</v>
      </c>
      <c r="Q247" s="2">
        <f t="shared" si="27"/>
        <v>0.37949999999999195</v>
      </c>
      <c r="R247" s="2">
        <f t="shared" si="28"/>
        <v>0.27288571428570846</v>
      </c>
      <c r="S247" s="2">
        <f t="shared" si="29"/>
        <v>0.1066142857142835</v>
      </c>
    </row>
    <row r="248" spans="2:19" x14ac:dyDescent="0.25">
      <c r="B248" s="1">
        <f t="shared" si="30"/>
        <v>242</v>
      </c>
      <c r="C248" s="1">
        <v>349</v>
      </c>
      <c r="D248" s="13">
        <v>76</v>
      </c>
      <c r="E248" s="1" t="s">
        <v>11</v>
      </c>
      <c r="F248" s="2">
        <v>1.3149999999999999</v>
      </c>
      <c r="G248" s="1" t="s">
        <v>12</v>
      </c>
      <c r="H248" s="1" t="s">
        <v>13</v>
      </c>
      <c r="I248" s="1" t="s">
        <v>14</v>
      </c>
      <c r="J248" s="14">
        <v>0.6419907407407407</v>
      </c>
      <c r="K248" s="15">
        <v>44751</v>
      </c>
      <c r="M248" s="2">
        <v>1.2949999999999999</v>
      </c>
      <c r="O248" s="2">
        <f t="shared" si="25"/>
        <v>1.2249999999999999</v>
      </c>
      <c r="P248" s="2">
        <f t="shared" si="26"/>
        <v>54.6</v>
      </c>
      <c r="Q248" s="2">
        <f t="shared" si="27"/>
        <v>0.37950000000000877</v>
      </c>
      <c r="R248" s="2">
        <f t="shared" si="28"/>
        <v>0.27311428571429203</v>
      </c>
      <c r="S248" s="2">
        <f t="shared" si="29"/>
        <v>0.10638571428571675</v>
      </c>
    </row>
    <row r="249" spans="2:19" x14ac:dyDescent="0.25">
      <c r="B249" s="1">
        <f t="shared" si="30"/>
        <v>243</v>
      </c>
      <c r="C249" s="1">
        <v>350</v>
      </c>
      <c r="D249" s="13">
        <v>75.8</v>
      </c>
      <c r="E249" s="1" t="s">
        <v>11</v>
      </c>
      <c r="F249" s="2">
        <v>1.32</v>
      </c>
      <c r="G249" s="1" t="s">
        <v>12</v>
      </c>
      <c r="H249" s="1" t="s">
        <v>13</v>
      </c>
      <c r="I249" s="1" t="s">
        <v>14</v>
      </c>
      <c r="J249" s="14">
        <v>0.6419907407407407</v>
      </c>
      <c r="K249" s="15">
        <v>44751</v>
      </c>
      <c r="M249" s="2">
        <v>1.3</v>
      </c>
      <c r="O249" s="2">
        <f t="shared" si="25"/>
        <v>1.23</v>
      </c>
      <c r="P249" s="2">
        <f t="shared" si="26"/>
        <v>54.645714285714291</v>
      </c>
      <c r="Q249" s="2">
        <f t="shared" si="27"/>
        <v>0.37874999999999193</v>
      </c>
      <c r="R249" s="2">
        <f t="shared" si="28"/>
        <v>0.27334285714285134</v>
      </c>
      <c r="S249" s="2">
        <f t="shared" si="29"/>
        <v>0.10540714285714059</v>
      </c>
    </row>
    <row r="250" spans="2:19" x14ac:dyDescent="0.25">
      <c r="B250" s="1">
        <f t="shared" si="30"/>
        <v>244</v>
      </c>
      <c r="C250" s="1">
        <v>351</v>
      </c>
      <c r="D250" s="13">
        <v>75.7</v>
      </c>
      <c r="E250" s="1" t="s">
        <v>11</v>
      </c>
      <c r="F250" s="2">
        <v>1.325</v>
      </c>
      <c r="G250" s="1" t="s">
        <v>12</v>
      </c>
      <c r="H250" s="1" t="s">
        <v>13</v>
      </c>
      <c r="I250" s="1" t="s">
        <v>14</v>
      </c>
      <c r="J250" s="14">
        <v>0.6419907407407407</v>
      </c>
      <c r="K250" s="15">
        <v>44751</v>
      </c>
      <c r="M250" s="2">
        <v>1.3049999999999999</v>
      </c>
      <c r="O250" s="2">
        <f t="shared" si="25"/>
        <v>1.2349999999999999</v>
      </c>
      <c r="P250" s="2">
        <f t="shared" si="26"/>
        <v>54.691428571428574</v>
      </c>
      <c r="Q250" s="2">
        <f t="shared" si="27"/>
        <v>0.75550000000000084</v>
      </c>
      <c r="R250" s="2">
        <f t="shared" si="28"/>
        <v>0.54737142857142906</v>
      </c>
      <c r="S250" s="2">
        <f t="shared" si="29"/>
        <v>0.20812857142857177</v>
      </c>
    </row>
    <row r="251" spans="2:19" x14ac:dyDescent="0.25">
      <c r="B251" s="1">
        <f t="shared" si="30"/>
        <v>245</v>
      </c>
      <c r="C251" s="1">
        <v>352</v>
      </c>
      <c r="D251" s="13">
        <v>75.400000000000006</v>
      </c>
      <c r="E251" s="1" t="s">
        <v>11</v>
      </c>
      <c r="F251" s="2">
        <v>1.335</v>
      </c>
      <c r="G251" s="1" t="s">
        <v>12</v>
      </c>
      <c r="H251" s="1" t="s">
        <v>13</v>
      </c>
      <c r="I251" s="1" t="s">
        <v>14</v>
      </c>
      <c r="J251" s="14">
        <v>0.6419907407407407</v>
      </c>
      <c r="K251" s="15">
        <v>44751</v>
      </c>
      <c r="M251" s="2">
        <v>1.3149999999999999</v>
      </c>
      <c r="O251" s="2">
        <f t="shared" si="25"/>
        <v>1.2449999999999999</v>
      </c>
      <c r="P251" s="2">
        <f t="shared" si="26"/>
        <v>54.782857142857146</v>
      </c>
      <c r="Q251" s="2">
        <f t="shared" si="27"/>
        <v>0.37550000000000866</v>
      </c>
      <c r="R251" s="2">
        <f t="shared" si="28"/>
        <v>0.27402857142857778</v>
      </c>
      <c r="S251" s="2">
        <f t="shared" si="29"/>
        <v>0.10147142857143088</v>
      </c>
    </row>
    <row r="252" spans="2:19" x14ac:dyDescent="0.25">
      <c r="B252" s="1">
        <f t="shared" si="30"/>
        <v>246</v>
      </c>
      <c r="C252" s="1">
        <v>353</v>
      </c>
      <c r="D252" s="13">
        <v>74.8</v>
      </c>
      <c r="E252" s="1" t="s">
        <v>11</v>
      </c>
      <c r="F252" s="2">
        <v>1.34</v>
      </c>
      <c r="G252" s="1" t="s">
        <v>12</v>
      </c>
      <c r="H252" s="1" t="s">
        <v>13</v>
      </c>
      <c r="I252" s="1" t="s">
        <v>14</v>
      </c>
      <c r="J252" s="14">
        <v>0.6419907407407407</v>
      </c>
      <c r="K252" s="15">
        <v>44751</v>
      </c>
      <c r="M252" s="2">
        <v>1.32</v>
      </c>
      <c r="O252" s="2">
        <f t="shared" si="25"/>
        <v>1.25</v>
      </c>
      <c r="P252" s="2">
        <f t="shared" si="26"/>
        <v>54.828571428571429</v>
      </c>
      <c r="Q252" s="2">
        <f t="shared" si="27"/>
        <v>0.37374999999999203</v>
      </c>
      <c r="R252" s="2">
        <f t="shared" si="28"/>
        <v>0.27425714285713698</v>
      </c>
      <c r="S252" s="2">
        <f t="shared" si="29"/>
        <v>9.9492857142855051E-2</v>
      </c>
    </row>
    <row r="253" spans="2:19" x14ac:dyDescent="0.25">
      <c r="B253" s="1">
        <f t="shared" si="30"/>
        <v>247</v>
      </c>
      <c r="C253" s="1">
        <v>354</v>
      </c>
      <c r="D253" s="13">
        <v>74.7</v>
      </c>
      <c r="E253" s="1" t="s">
        <v>11</v>
      </c>
      <c r="F253" s="2">
        <v>1.345</v>
      </c>
      <c r="G253" s="1" t="s">
        <v>12</v>
      </c>
      <c r="H253" s="1" t="s">
        <v>13</v>
      </c>
      <c r="I253" s="1" t="s">
        <v>14</v>
      </c>
      <c r="J253" s="14">
        <v>0.6419907407407407</v>
      </c>
      <c r="K253" s="15">
        <v>44751</v>
      </c>
      <c r="M253" s="2">
        <v>1.325</v>
      </c>
      <c r="O253" s="2">
        <f t="shared" si="25"/>
        <v>1.2549999999999999</v>
      </c>
      <c r="P253" s="2">
        <f t="shared" si="26"/>
        <v>54.874285714285719</v>
      </c>
      <c r="Q253" s="2">
        <f t="shared" si="27"/>
        <v>0.37325000000000863</v>
      </c>
      <c r="R253" s="2">
        <f t="shared" si="28"/>
        <v>0.27448571428572066</v>
      </c>
      <c r="S253" s="2">
        <f t="shared" si="29"/>
        <v>9.8764285714287969E-2</v>
      </c>
    </row>
    <row r="254" spans="2:19" x14ac:dyDescent="0.25">
      <c r="B254" s="1">
        <f t="shared" si="30"/>
        <v>248</v>
      </c>
      <c r="C254" s="1">
        <v>356</v>
      </c>
      <c r="D254" s="13">
        <v>74.599999999999994</v>
      </c>
      <c r="E254" s="1" t="s">
        <v>11</v>
      </c>
      <c r="F254" s="2">
        <v>1.35</v>
      </c>
      <c r="G254" s="1" t="s">
        <v>12</v>
      </c>
      <c r="H254" s="1" t="s">
        <v>13</v>
      </c>
      <c r="I254" s="1" t="s">
        <v>14</v>
      </c>
      <c r="J254" s="14">
        <v>0.6419907407407407</v>
      </c>
      <c r="K254" s="15">
        <v>44751</v>
      </c>
      <c r="M254" s="2">
        <v>1.33</v>
      </c>
      <c r="O254" s="2">
        <f t="shared" si="25"/>
        <v>1.26</v>
      </c>
      <c r="P254" s="2">
        <f t="shared" si="26"/>
        <v>54.92</v>
      </c>
      <c r="Q254" s="2">
        <f t="shared" si="27"/>
        <v>0.37224999999999203</v>
      </c>
      <c r="R254" s="2">
        <f t="shared" si="28"/>
        <v>0.27471428571427986</v>
      </c>
      <c r="S254" s="2">
        <f t="shared" si="29"/>
        <v>9.7535714285712172E-2</v>
      </c>
    </row>
    <row r="255" spans="2:19" x14ac:dyDescent="0.25">
      <c r="B255" s="1">
        <f t="shared" si="30"/>
        <v>249</v>
      </c>
      <c r="C255" s="1">
        <v>357</v>
      </c>
      <c r="D255" s="13">
        <v>74.3</v>
      </c>
      <c r="E255" s="1" t="s">
        <v>11</v>
      </c>
      <c r="F255" s="2">
        <v>1.355</v>
      </c>
      <c r="G255" s="1" t="s">
        <v>12</v>
      </c>
      <c r="H255" s="1" t="s">
        <v>13</v>
      </c>
      <c r="I255" s="1" t="s">
        <v>14</v>
      </c>
      <c r="J255" s="14">
        <v>0.6419907407407407</v>
      </c>
      <c r="K255" s="15">
        <v>44751</v>
      </c>
      <c r="M255" s="2">
        <v>1.335</v>
      </c>
      <c r="O255" s="2">
        <f t="shared" si="25"/>
        <v>1.2649999999999999</v>
      </c>
      <c r="P255" s="2">
        <f t="shared" si="26"/>
        <v>54.965714285714284</v>
      </c>
      <c r="Q255" s="2">
        <f t="shared" si="27"/>
        <v>0.37125000000000857</v>
      </c>
      <c r="R255" s="2">
        <f t="shared" si="28"/>
        <v>0.27494285714286354</v>
      </c>
      <c r="S255" s="2">
        <f t="shared" si="29"/>
        <v>9.6307142857145034E-2</v>
      </c>
    </row>
    <row r="256" spans="2:19" x14ac:dyDescent="0.25">
      <c r="B256" s="1">
        <f t="shared" si="30"/>
        <v>250</v>
      </c>
      <c r="C256" s="1">
        <v>358</v>
      </c>
      <c r="D256" s="13">
        <v>74.2</v>
      </c>
      <c r="E256" s="1" t="s">
        <v>11</v>
      </c>
      <c r="F256" s="2">
        <v>1.36</v>
      </c>
      <c r="G256" s="1" t="s">
        <v>12</v>
      </c>
      <c r="H256" s="1" t="s">
        <v>13</v>
      </c>
      <c r="I256" s="1" t="s">
        <v>14</v>
      </c>
      <c r="J256" s="14">
        <v>0.6419907407407407</v>
      </c>
      <c r="K256" s="15">
        <v>44751</v>
      </c>
      <c r="M256" s="2">
        <v>1.34</v>
      </c>
      <c r="O256" s="2">
        <f t="shared" si="25"/>
        <v>1.27</v>
      </c>
      <c r="P256" s="2">
        <f t="shared" si="26"/>
        <v>55.011428571428574</v>
      </c>
      <c r="Q256" s="2">
        <f t="shared" si="27"/>
        <v>0.37074999999999214</v>
      </c>
      <c r="R256" s="2">
        <f t="shared" si="28"/>
        <v>0.27517142857142274</v>
      </c>
      <c r="S256" s="2">
        <f t="shared" si="29"/>
        <v>9.5578571428569403E-2</v>
      </c>
    </row>
    <row r="257" spans="2:19" x14ac:dyDescent="0.25">
      <c r="B257" s="1">
        <f t="shared" si="30"/>
        <v>251</v>
      </c>
      <c r="C257" s="1">
        <v>359</v>
      </c>
      <c r="D257" s="13">
        <v>74.099999999999994</v>
      </c>
      <c r="E257" s="1" t="s">
        <v>11</v>
      </c>
      <c r="F257" s="2">
        <v>1.365</v>
      </c>
      <c r="G257" s="1" t="s">
        <v>12</v>
      </c>
      <c r="H257" s="1" t="s">
        <v>13</v>
      </c>
      <c r="I257" s="1" t="s">
        <v>14</v>
      </c>
      <c r="J257" s="14">
        <v>0.64200231481481485</v>
      </c>
      <c r="K257" s="15">
        <v>44751</v>
      </c>
      <c r="M257" s="2">
        <v>1.345</v>
      </c>
      <c r="O257" s="2">
        <f t="shared" si="25"/>
        <v>1.2749999999999999</v>
      </c>
      <c r="P257" s="2">
        <f t="shared" si="26"/>
        <v>55.057142857142857</v>
      </c>
      <c r="Q257" s="2">
        <f t="shared" si="27"/>
        <v>0.37000000000000854</v>
      </c>
      <c r="R257" s="2">
        <f t="shared" si="28"/>
        <v>0.27540000000000636</v>
      </c>
      <c r="S257" s="2">
        <f t="shared" si="29"/>
        <v>9.4600000000002182E-2</v>
      </c>
    </row>
    <row r="258" spans="2:19" x14ac:dyDescent="0.25">
      <c r="B258" s="1">
        <f t="shared" si="30"/>
        <v>252</v>
      </c>
      <c r="C258" s="1">
        <v>360</v>
      </c>
      <c r="D258" s="13">
        <v>73.900000000000006</v>
      </c>
      <c r="E258" s="1" t="s">
        <v>11</v>
      </c>
      <c r="F258" s="2">
        <v>1.37</v>
      </c>
      <c r="G258" s="1" t="s">
        <v>12</v>
      </c>
      <c r="H258" s="1" t="s">
        <v>13</v>
      </c>
      <c r="I258" s="1" t="s">
        <v>14</v>
      </c>
      <c r="J258" s="14">
        <v>0.64200231481481485</v>
      </c>
      <c r="K258" s="15">
        <v>44751</v>
      </c>
      <c r="M258" s="2">
        <v>1.35</v>
      </c>
      <c r="O258" s="2">
        <f t="shared" si="25"/>
        <v>1.28</v>
      </c>
      <c r="P258" s="2">
        <f t="shared" si="26"/>
        <v>55.102857142857147</v>
      </c>
      <c r="Q258" s="2">
        <f t="shared" si="27"/>
        <v>0.36949999999999217</v>
      </c>
      <c r="R258" s="2">
        <f t="shared" si="28"/>
        <v>0.27562857142856556</v>
      </c>
      <c r="S258" s="2">
        <f t="shared" si="29"/>
        <v>9.3871428571426607E-2</v>
      </c>
    </row>
    <row r="259" spans="2:19" x14ac:dyDescent="0.25">
      <c r="B259" s="1">
        <f t="shared" si="30"/>
        <v>253</v>
      </c>
      <c r="C259" s="1">
        <v>361</v>
      </c>
      <c r="D259" s="13">
        <v>73.900000000000006</v>
      </c>
      <c r="E259" s="1" t="s">
        <v>11</v>
      </c>
      <c r="F259" s="2">
        <v>1.375</v>
      </c>
      <c r="G259" s="1" t="s">
        <v>12</v>
      </c>
      <c r="H259" s="1" t="s">
        <v>13</v>
      </c>
      <c r="I259" s="1" t="s">
        <v>14</v>
      </c>
      <c r="J259" s="14">
        <v>0.64200231481481485</v>
      </c>
      <c r="K259" s="15">
        <v>44751</v>
      </c>
      <c r="M259" s="2">
        <v>1.355</v>
      </c>
      <c r="O259" s="2">
        <f t="shared" si="25"/>
        <v>1.2849999999999999</v>
      </c>
      <c r="P259" s="2">
        <f t="shared" si="26"/>
        <v>55.148571428571429</v>
      </c>
      <c r="Q259" s="2">
        <f t="shared" si="27"/>
        <v>0.36874999999999214</v>
      </c>
      <c r="R259" s="2">
        <f t="shared" si="28"/>
        <v>0.27585714285713697</v>
      </c>
      <c r="S259" s="2">
        <f t="shared" si="29"/>
        <v>9.2892857142855167E-2</v>
      </c>
    </row>
    <row r="260" spans="2:19" x14ac:dyDescent="0.25">
      <c r="B260" s="1">
        <f t="shared" si="30"/>
        <v>254</v>
      </c>
      <c r="C260" s="1">
        <v>362</v>
      </c>
      <c r="D260" s="13">
        <v>73.599999999999994</v>
      </c>
      <c r="E260" s="1" t="s">
        <v>11</v>
      </c>
      <c r="F260" s="2">
        <v>1.38</v>
      </c>
      <c r="G260" s="1" t="s">
        <v>12</v>
      </c>
      <c r="H260" s="1" t="s">
        <v>13</v>
      </c>
      <c r="I260" s="1" t="s">
        <v>14</v>
      </c>
      <c r="J260" s="14">
        <v>0.64200231481481485</v>
      </c>
      <c r="K260" s="15">
        <v>44751</v>
      </c>
      <c r="M260" s="2">
        <v>1.3599999999999999</v>
      </c>
      <c r="O260" s="2">
        <f t="shared" si="25"/>
        <v>1.2899999999999998</v>
      </c>
      <c r="P260" s="2">
        <f t="shared" si="26"/>
        <v>55.194285714285712</v>
      </c>
      <c r="Q260" s="2">
        <f t="shared" si="27"/>
        <v>0.3672500000000084</v>
      </c>
      <c r="R260" s="2">
        <f t="shared" si="28"/>
        <v>0.27608571428572065</v>
      </c>
      <c r="S260" s="2">
        <f t="shared" si="29"/>
        <v>9.1164285714287752E-2</v>
      </c>
    </row>
    <row r="261" spans="2:19" x14ac:dyDescent="0.25">
      <c r="B261" s="1">
        <f t="shared" si="30"/>
        <v>255</v>
      </c>
      <c r="C261" s="1">
        <v>363</v>
      </c>
      <c r="D261" s="13">
        <v>73.3</v>
      </c>
      <c r="E261" s="1" t="s">
        <v>11</v>
      </c>
      <c r="F261" s="2">
        <v>1.385</v>
      </c>
      <c r="G261" s="1" t="s">
        <v>12</v>
      </c>
      <c r="H261" s="1" t="s">
        <v>13</v>
      </c>
      <c r="I261" s="1" t="s">
        <v>14</v>
      </c>
      <c r="J261" s="14">
        <v>0.64200231481481485</v>
      </c>
      <c r="K261" s="15">
        <v>44751</v>
      </c>
      <c r="M261" s="2">
        <v>1.365</v>
      </c>
      <c r="O261" s="2">
        <f t="shared" si="25"/>
        <v>1.2949999999999999</v>
      </c>
      <c r="P261" s="2">
        <f t="shared" si="26"/>
        <v>55.24</v>
      </c>
      <c r="Q261" s="2">
        <f t="shared" si="27"/>
        <v>0.36574999999999225</v>
      </c>
      <c r="R261" s="2">
        <f t="shared" si="28"/>
        <v>0.27631428571427985</v>
      </c>
      <c r="S261" s="2">
        <f t="shared" si="29"/>
        <v>8.9435714285712398E-2</v>
      </c>
    </row>
    <row r="262" spans="2:19" x14ac:dyDescent="0.25">
      <c r="B262" s="1">
        <f t="shared" si="30"/>
        <v>256</v>
      </c>
      <c r="C262" s="1">
        <v>364</v>
      </c>
      <c r="D262" s="13">
        <v>73</v>
      </c>
      <c r="E262" s="1" t="s">
        <v>11</v>
      </c>
      <c r="F262" s="2">
        <v>1.39</v>
      </c>
      <c r="G262" s="1" t="s">
        <v>12</v>
      </c>
      <c r="H262" s="1" t="s">
        <v>13</v>
      </c>
      <c r="I262" s="1" t="s">
        <v>14</v>
      </c>
      <c r="J262" s="14">
        <v>0.64200231481481485</v>
      </c>
      <c r="K262" s="15">
        <v>44751</v>
      </c>
      <c r="M262" s="2">
        <v>1.3699999999999999</v>
      </c>
      <c r="O262" s="2">
        <f t="shared" si="25"/>
        <v>1.2999999999999998</v>
      </c>
      <c r="P262" s="2">
        <f t="shared" si="26"/>
        <v>55.285714285714285</v>
      </c>
      <c r="Q262" s="2">
        <f t="shared" si="27"/>
        <v>0.3642500000000084</v>
      </c>
      <c r="R262" s="2">
        <f t="shared" si="28"/>
        <v>0.27654285714286353</v>
      </c>
      <c r="S262" s="2">
        <f t="shared" si="29"/>
        <v>8.7707142857144871E-2</v>
      </c>
    </row>
    <row r="263" spans="2:19" x14ac:dyDescent="0.25">
      <c r="B263" s="1">
        <f t="shared" si="30"/>
        <v>257</v>
      </c>
      <c r="C263" s="1">
        <v>365</v>
      </c>
      <c r="D263" s="13">
        <v>72.7</v>
      </c>
      <c r="E263" s="1" t="s">
        <v>11</v>
      </c>
      <c r="F263" s="2">
        <v>1.395</v>
      </c>
      <c r="G263" s="1" t="s">
        <v>12</v>
      </c>
      <c r="H263" s="1" t="s">
        <v>13</v>
      </c>
      <c r="I263" s="1" t="s">
        <v>14</v>
      </c>
      <c r="J263" s="14">
        <v>0.64200231481481485</v>
      </c>
      <c r="K263" s="15">
        <v>44751</v>
      </c>
      <c r="M263" s="2">
        <v>1.375</v>
      </c>
      <c r="O263" s="2">
        <f t="shared" si="25"/>
        <v>1.3049999999999999</v>
      </c>
      <c r="P263" s="2">
        <f t="shared" si="26"/>
        <v>55.331428571428575</v>
      </c>
      <c r="Q263" s="2">
        <f t="shared" si="27"/>
        <v>0.36349999999999227</v>
      </c>
      <c r="R263" s="2">
        <f t="shared" si="28"/>
        <v>0.27677142857142267</v>
      </c>
      <c r="S263" s="2">
        <f t="shared" si="29"/>
        <v>8.6728571428569601E-2</v>
      </c>
    </row>
    <row r="264" spans="2:19" x14ac:dyDescent="0.25">
      <c r="B264" s="1">
        <f t="shared" si="30"/>
        <v>258</v>
      </c>
      <c r="C264" s="1">
        <v>366</v>
      </c>
      <c r="D264" s="13">
        <v>72.7</v>
      </c>
      <c r="E264" s="1" t="s">
        <v>11</v>
      </c>
      <c r="F264" s="2">
        <v>1.4</v>
      </c>
      <c r="G264" s="1" t="s">
        <v>12</v>
      </c>
      <c r="H264" s="1" t="s">
        <v>13</v>
      </c>
      <c r="I264" s="1" t="s">
        <v>14</v>
      </c>
      <c r="J264" s="14">
        <v>0.64200231481481485</v>
      </c>
      <c r="K264" s="15">
        <v>44751</v>
      </c>
      <c r="M264" s="2">
        <v>1.38</v>
      </c>
      <c r="O264" s="2">
        <f t="shared" ref="O264:O327" si="31">M264-$X$23</f>
        <v>1.3099999999999998</v>
      </c>
      <c r="P264" s="2">
        <f t="shared" ref="P264:P327" si="32">O264*$AC$21+$Y$23</f>
        <v>55.377142857142857</v>
      </c>
      <c r="Q264" s="2">
        <f t="shared" ref="Q264:Q327" si="33">((D264+D265)/2)*(M265-M264)</f>
        <v>0.36300000000000837</v>
      </c>
      <c r="R264" s="2">
        <f t="shared" ref="R264:R327" si="34">((P264+P265)/2)*(O265-O264)</f>
        <v>0.27700000000000641</v>
      </c>
      <c r="S264" s="2">
        <f t="shared" ref="S264:S327" si="35">Q264-R264</f>
        <v>8.6000000000001964E-2</v>
      </c>
    </row>
    <row r="265" spans="2:19" x14ac:dyDescent="0.25">
      <c r="B265" s="1">
        <f t="shared" ref="B265:B328" si="36">B264+1</f>
        <v>259</v>
      </c>
      <c r="C265" s="1">
        <v>367</v>
      </c>
      <c r="D265" s="13">
        <v>72.5</v>
      </c>
      <c r="E265" s="1" t="s">
        <v>11</v>
      </c>
      <c r="F265" s="2">
        <v>1.405</v>
      </c>
      <c r="G265" s="1" t="s">
        <v>12</v>
      </c>
      <c r="H265" s="1" t="s">
        <v>13</v>
      </c>
      <c r="I265" s="1" t="s">
        <v>14</v>
      </c>
      <c r="J265" s="14">
        <v>0.64200231481481485</v>
      </c>
      <c r="K265" s="15">
        <v>44751</v>
      </c>
      <c r="M265" s="2">
        <v>1.385</v>
      </c>
      <c r="O265" s="2">
        <f t="shared" si="31"/>
        <v>1.3149999999999999</v>
      </c>
      <c r="P265" s="2">
        <f t="shared" si="32"/>
        <v>55.422857142857147</v>
      </c>
      <c r="Q265" s="2">
        <f t="shared" si="33"/>
        <v>0.36149999999999227</v>
      </c>
      <c r="R265" s="2">
        <f t="shared" si="34"/>
        <v>0.27722857142856555</v>
      </c>
      <c r="S265" s="2">
        <f t="shared" si="35"/>
        <v>8.4271428571426721E-2</v>
      </c>
    </row>
    <row r="266" spans="2:19" x14ac:dyDescent="0.25">
      <c r="B266" s="1">
        <f t="shared" si="36"/>
        <v>260</v>
      </c>
      <c r="C266" s="1">
        <v>368</v>
      </c>
      <c r="D266" s="13">
        <v>72.099999999999994</v>
      </c>
      <c r="E266" s="1" t="s">
        <v>11</v>
      </c>
      <c r="F266" s="2">
        <v>1.41</v>
      </c>
      <c r="G266" s="1" t="s">
        <v>12</v>
      </c>
      <c r="H266" s="1" t="s">
        <v>13</v>
      </c>
      <c r="I266" s="1" t="s">
        <v>14</v>
      </c>
      <c r="J266" s="14">
        <v>0.64200231481481485</v>
      </c>
      <c r="K266" s="15">
        <v>44751</v>
      </c>
      <c r="M266" s="2">
        <v>1.39</v>
      </c>
      <c r="O266" s="2">
        <f t="shared" si="31"/>
        <v>1.3199999999999998</v>
      </c>
      <c r="P266" s="2">
        <f t="shared" si="32"/>
        <v>55.46857142857143</v>
      </c>
      <c r="Q266" s="2">
        <f t="shared" si="33"/>
        <v>0.35975000000000823</v>
      </c>
      <c r="R266" s="2">
        <f t="shared" si="34"/>
        <v>0.27745714285714929</v>
      </c>
      <c r="S266" s="2">
        <f t="shared" si="35"/>
        <v>8.2292857142858944E-2</v>
      </c>
    </row>
    <row r="267" spans="2:19" x14ac:dyDescent="0.25">
      <c r="B267" s="1">
        <f t="shared" si="36"/>
        <v>261</v>
      </c>
      <c r="C267" s="1">
        <v>369</v>
      </c>
      <c r="D267" s="13">
        <v>71.8</v>
      </c>
      <c r="E267" s="1" t="s">
        <v>11</v>
      </c>
      <c r="F267" s="2">
        <v>1.415</v>
      </c>
      <c r="G267" s="1" t="s">
        <v>12</v>
      </c>
      <c r="H267" s="1" t="s">
        <v>13</v>
      </c>
      <c r="I267" s="1" t="s">
        <v>14</v>
      </c>
      <c r="J267" s="14">
        <v>0.64201388888888888</v>
      </c>
      <c r="K267" s="15">
        <v>44751</v>
      </c>
      <c r="M267" s="2">
        <v>1.395</v>
      </c>
      <c r="O267" s="2">
        <f t="shared" si="31"/>
        <v>1.325</v>
      </c>
      <c r="P267" s="2">
        <f t="shared" si="32"/>
        <v>55.51428571428572</v>
      </c>
      <c r="Q267" s="2">
        <f t="shared" si="33"/>
        <v>0.35899999999999233</v>
      </c>
      <c r="R267" s="2">
        <f t="shared" si="34"/>
        <v>0.27768571428570837</v>
      </c>
      <c r="S267" s="2">
        <f t="shared" si="35"/>
        <v>8.1314285714283951E-2</v>
      </c>
    </row>
    <row r="268" spans="2:19" x14ac:dyDescent="0.25">
      <c r="B268" s="1">
        <f t="shared" si="36"/>
        <v>262</v>
      </c>
      <c r="C268" s="1">
        <v>370</v>
      </c>
      <c r="D268" s="13">
        <v>71.8</v>
      </c>
      <c r="E268" s="1" t="s">
        <v>11</v>
      </c>
      <c r="F268" s="2">
        <v>1.42</v>
      </c>
      <c r="G268" s="1" t="s">
        <v>12</v>
      </c>
      <c r="H268" s="1" t="s">
        <v>13</v>
      </c>
      <c r="I268" s="1" t="s">
        <v>14</v>
      </c>
      <c r="J268" s="14">
        <v>0.64201388888888888</v>
      </c>
      <c r="K268" s="15">
        <v>44751</v>
      </c>
      <c r="M268" s="2">
        <v>1.4</v>
      </c>
      <c r="O268" s="2">
        <f t="shared" si="31"/>
        <v>1.3299999999999998</v>
      </c>
      <c r="P268" s="2">
        <f t="shared" si="32"/>
        <v>55.56</v>
      </c>
      <c r="Q268" s="2">
        <f t="shared" si="33"/>
        <v>0.35900000000000826</v>
      </c>
      <c r="R268" s="2">
        <f t="shared" si="34"/>
        <v>0.27791428571429211</v>
      </c>
      <c r="S268" s="2">
        <f t="shared" si="35"/>
        <v>8.1085714285716148E-2</v>
      </c>
    </row>
    <row r="269" spans="2:19" x14ac:dyDescent="0.25">
      <c r="B269" s="1">
        <f t="shared" si="36"/>
        <v>263</v>
      </c>
      <c r="C269" s="1">
        <v>371</v>
      </c>
      <c r="D269" s="13">
        <v>71.8</v>
      </c>
      <c r="E269" s="1" t="s">
        <v>11</v>
      </c>
      <c r="F269" s="2">
        <v>1.425</v>
      </c>
      <c r="G269" s="1" t="s">
        <v>12</v>
      </c>
      <c r="H269" s="1" t="s">
        <v>13</v>
      </c>
      <c r="I269" s="1" t="s">
        <v>14</v>
      </c>
      <c r="J269" s="14">
        <v>0.64201388888888888</v>
      </c>
      <c r="K269" s="15">
        <v>44751</v>
      </c>
      <c r="M269" s="2">
        <v>1.405</v>
      </c>
      <c r="O269" s="2">
        <f t="shared" si="31"/>
        <v>1.335</v>
      </c>
      <c r="P269" s="2">
        <f t="shared" si="32"/>
        <v>55.605714285714285</v>
      </c>
      <c r="Q269" s="2">
        <f t="shared" si="33"/>
        <v>0.35949999999999238</v>
      </c>
      <c r="R269" s="2">
        <f t="shared" si="34"/>
        <v>0.27814285714285125</v>
      </c>
      <c r="S269" s="2">
        <f t="shared" si="35"/>
        <v>8.1357142857141129E-2</v>
      </c>
    </row>
    <row r="270" spans="2:19" x14ac:dyDescent="0.25">
      <c r="B270" s="1">
        <f t="shared" si="36"/>
        <v>264</v>
      </c>
      <c r="C270" s="1">
        <v>372</v>
      </c>
      <c r="D270" s="13">
        <v>72</v>
      </c>
      <c r="E270" s="1" t="s">
        <v>11</v>
      </c>
      <c r="F270" s="2">
        <v>1.43</v>
      </c>
      <c r="G270" s="1" t="s">
        <v>12</v>
      </c>
      <c r="H270" s="1" t="s">
        <v>13</v>
      </c>
      <c r="I270" s="1" t="s">
        <v>14</v>
      </c>
      <c r="J270" s="14">
        <v>0.64201388888888888</v>
      </c>
      <c r="K270" s="15">
        <v>44751</v>
      </c>
      <c r="M270" s="2">
        <v>1.41</v>
      </c>
      <c r="O270" s="2">
        <f t="shared" si="31"/>
        <v>1.3399999999999999</v>
      </c>
      <c r="P270" s="2">
        <f t="shared" si="32"/>
        <v>55.651428571428575</v>
      </c>
      <c r="Q270" s="2">
        <f t="shared" si="33"/>
        <v>0.36025000000000829</v>
      </c>
      <c r="R270" s="2">
        <f t="shared" si="34"/>
        <v>0.27837142857143499</v>
      </c>
      <c r="S270" s="2">
        <f t="shared" si="35"/>
        <v>8.1878571428573299E-2</v>
      </c>
    </row>
    <row r="271" spans="2:19" x14ac:dyDescent="0.25">
      <c r="B271" s="1">
        <f t="shared" si="36"/>
        <v>265</v>
      </c>
      <c r="C271" s="1">
        <v>373</v>
      </c>
      <c r="D271" s="13">
        <v>72.099999999999994</v>
      </c>
      <c r="E271" s="1" t="s">
        <v>11</v>
      </c>
      <c r="F271" s="2">
        <v>1.4350000000000001</v>
      </c>
      <c r="G271" s="1" t="s">
        <v>12</v>
      </c>
      <c r="H271" s="1" t="s">
        <v>13</v>
      </c>
      <c r="I271" s="1" t="s">
        <v>14</v>
      </c>
      <c r="J271" s="14">
        <v>0.64201388888888888</v>
      </c>
      <c r="K271" s="15">
        <v>44751</v>
      </c>
      <c r="M271" s="2">
        <v>1.415</v>
      </c>
      <c r="O271" s="2">
        <f t="shared" si="31"/>
        <v>1.345</v>
      </c>
      <c r="P271" s="2">
        <f t="shared" si="32"/>
        <v>55.697142857142858</v>
      </c>
      <c r="Q271" s="2">
        <f t="shared" si="33"/>
        <v>0.36074999999999235</v>
      </c>
      <c r="R271" s="2">
        <f t="shared" si="34"/>
        <v>0.27859999999999407</v>
      </c>
      <c r="S271" s="2">
        <f t="shared" si="35"/>
        <v>8.214999999999828E-2</v>
      </c>
    </row>
    <row r="272" spans="2:19" x14ac:dyDescent="0.25">
      <c r="B272" s="1">
        <f t="shared" si="36"/>
        <v>266</v>
      </c>
      <c r="C272" s="1">
        <v>374</v>
      </c>
      <c r="D272" s="13">
        <v>72.2</v>
      </c>
      <c r="E272" s="1" t="s">
        <v>11</v>
      </c>
      <c r="F272" s="2">
        <v>1.44</v>
      </c>
      <c r="G272" s="1" t="s">
        <v>12</v>
      </c>
      <c r="H272" s="1" t="s">
        <v>13</v>
      </c>
      <c r="I272" s="1" t="s">
        <v>14</v>
      </c>
      <c r="J272" s="14">
        <v>0.64201388888888888</v>
      </c>
      <c r="K272" s="15">
        <v>44751</v>
      </c>
      <c r="M272" s="2">
        <v>1.42</v>
      </c>
      <c r="O272" s="2">
        <f t="shared" si="31"/>
        <v>1.3499999999999999</v>
      </c>
      <c r="P272" s="2">
        <f t="shared" si="32"/>
        <v>55.742857142857147</v>
      </c>
      <c r="Q272" s="2">
        <f t="shared" si="33"/>
        <v>0.36100000000000837</v>
      </c>
      <c r="R272" s="2">
        <f t="shared" si="34"/>
        <v>0.27882857142857786</v>
      </c>
      <c r="S272" s="2">
        <f t="shared" si="35"/>
        <v>8.2171428571430505E-2</v>
      </c>
    </row>
    <row r="273" spans="2:19" x14ac:dyDescent="0.25">
      <c r="B273" s="1">
        <f t="shared" si="36"/>
        <v>267</v>
      </c>
      <c r="C273" s="1">
        <v>375</v>
      </c>
      <c r="D273" s="13">
        <v>72.2</v>
      </c>
      <c r="E273" s="1" t="s">
        <v>11</v>
      </c>
      <c r="F273" s="2">
        <v>1.4450000000000001</v>
      </c>
      <c r="G273" s="1" t="s">
        <v>12</v>
      </c>
      <c r="H273" s="1" t="s">
        <v>13</v>
      </c>
      <c r="I273" s="1" t="s">
        <v>14</v>
      </c>
      <c r="J273" s="14">
        <v>0.64201388888888888</v>
      </c>
      <c r="K273" s="15">
        <v>44751</v>
      </c>
      <c r="M273" s="2">
        <v>1.425</v>
      </c>
      <c r="O273" s="2">
        <f t="shared" si="31"/>
        <v>1.355</v>
      </c>
      <c r="P273" s="2">
        <f t="shared" si="32"/>
        <v>55.78857142857143</v>
      </c>
      <c r="Q273" s="2">
        <f t="shared" si="33"/>
        <v>0.7215000000000007</v>
      </c>
      <c r="R273" s="2">
        <f t="shared" si="34"/>
        <v>0.55834285714285758</v>
      </c>
      <c r="S273" s="2">
        <f t="shared" si="35"/>
        <v>0.16315714285714311</v>
      </c>
    </row>
    <row r="274" spans="2:19" x14ac:dyDescent="0.25">
      <c r="B274" s="1">
        <f t="shared" si="36"/>
        <v>268</v>
      </c>
      <c r="C274" s="1">
        <v>376</v>
      </c>
      <c r="D274" s="13">
        <v>72.099999999999994</v>
      </c>
      <c r="E274" s="1" t="s">
        <v>11</v>
      </c>
      <c r="F274" s="2">
        <v>1.4550000000000001</v>
      </c>
      <c r="G274" s="1" t="s">
        <v>12</v>
      </c>
      <c r="H274" s="1" t="s">
        <v>13</v>
      </c>
      <c r="I274" s="1" t="s">
        <v>14</v>
      </c>
      <c r="J274" s="14">
        <v>0.64201388888888888</v>
      </c>
      <c r="K274" s="15">
        <v>44751</v>
      </c>
      <c r="M274" s="2">
        <v>1.4350000000000001</v>
      </c>
      <c r="O274" s="2">
        <f t="shared" si="31"/>
        <v>1.365</v>
      </c>
      <c r="P274" s="2">
        <f t="shared" si="32"/>
        <v>55.88</v>
      </c>
      <c r="Q274" s="2">
        <f t="shared" si="33"/>
        <v>0.35949999999999238</v>
      </c>
      <c r="R274" s="2">
        <f t="shared" si="34"/>
        <v>0.27951428571427978</v>
      </c>
      <c r="S274" s="2">
        <f t="shared" si="35"/>
        <v>7.9985714285712606E-2</v>
      </c>
    </row>
    <row r="275" spans="2:19" x14ac:dyDescent="0.25">
      <c r="B275" s="1">
        <f t="shared" si="36"/>
        <v>269</v>
      </c>
      <c r="C275" s="1">
        <v>377</v>
      </c>
      <c r="D275" s="13">
        <v>71.7</v>
      </c>
      <c r="E275" s="1" t="s">
        <v>11</v>
      </c>
      <c r="F275" s="2">
        <v>1.46</v>
      </c>
      <c r="G275" s="1" t="s">
        <v>12</v>
      </c>
      <c r="H275" s="1" t="s">
        <v>13</v>
      </c>
      <c r="I275" s="1" t="s">
        <v>14</v>
      </c>
      <c r="J275" s="14">
        <v>0.64201388888888888</v>
      </c>
      <c r="K275" s="15">
        <v>44751</v>
      </c>
      <c r="M275" s="2">
        <v>1.44</v>
      </c>
      <c r="O275" s="2">
        <f t="shared" si="31"/>
        <v>1.3699999999999999</v>
      </c>
      <c r="P275" s="2">
        <f t="shared" si="32"/>
        <v>55.925714285714285</v>
      </c>
      <c r="Q275" s="2">
        <f t="shared" si="33"/>
        <v>0.35750000000000826</v>
      </c>
      <c r="R275" s="2">
        <f t="shared" si="34"/>
        <v>0.27974285714286357</v>
      </c>
      <c r="S275" s="2">
        <f t="shared" si="35"/>
        <v>7.775714285714469E-2</v>
      </c>
    </row>
    <row r="276" spans="2:19" x14ac:dyDescent="0.25">
      <c r="B276" s="1">
        <f t="shared" si="36"/>
        <v>270</v>
      </c>
      <c r="C276" s="1">
        <v>378</v>
      </c>
      <c r="D276" s="13">
        <v>71.3</v>
      </c>
      <c r="E276" s="1" t="s">
        <v>11</v>
      </c>
      <c r="F276" s="2">
        <v>1.4650000000000001</v>
      </c>
      <c r="G276" s="1" t="s">
        <v>12</v>
      </c>
      <c r="H276" s="1" t="s">
        <v>13</v>
      </c>
      <c r="I276" s="1" t="s">
        <v>14</v>
      </c>
      <c r="J276" s="14">
        <v>0.64201388888888888</v>
      </c>
      <c r="K276" s="15">
        <v>44751</v>
      </c>
      <c r="M276" s="2">
        <v>1.4450000000000001</v>
      </c>
      <c r="O276" s="2">
        <f t="shared" si="31"/>
        <v>1.375</v>
      </c>
      <c r="P276" s="2">
        <f t="shared" si="32"/>
        <v>55.971428571428575</v>
      </c>
      <c r="Q276" s="2">
        <f t="shared" si="33"/>
        <v>0.70950000000000046</v>
      </c>
      <c r="R276" s="2">
        <f t="shared" si="34"/>
        <v>0.5601714285714291</v>
      </c>
      <c r="S276" s="2">
        <f t="shared" si="35"/>
        <v>0.14932857142857137</v>
      </c>
    </row>
    <row r="277" spans="2:19" x14ac:dyDescent="0.25">
      <c r="B277" s="1">
        <f t="shared" si="36"/>
        <v>271</v>
      </c>
      <c r="C277" s="1">
        <v>379</v>
      </c>
      <c r="D277" s="13">
        <v>70.599999999999994</v>
      </c>
      <c r="E277" s="1" t="s">
        <v>11</v>
      </c>
      <c r="F277" s="2">
        <v>1.4750000000000001</v>
      </c>
      <c r="G277" s="1" t="s">
        <v>12</v>
      </c>
      <c r="H277" s="1" t="s">
        <v>13</v>
      </c>
      <c r="I277" s="1" t="s">
        <v>14</v>
      </c>
      <c r="J277" s="14">
        <v>0.64202546296296303</v>
      </c>
      <c r="K277" s="15">
        <v>44751</v>
      </c>
      <c r="M277" s="2">
        <v>1.4550000000000001</v>
      </c>
      <c r="O277" s="2">
        <f t="shared" si="31"/>
        <v>1.385</v>
      </c>
      <c r="P277" s="2">
        <f t="shared" si="32"/>
        <v>56.062857142857148</v>
      </c>
      <c r="Q277" s="2">
        <f t="shared" si="33"/>
        <v>0.35199999999999254</v>
      </c>
      <c r="R277" s="2">
        <f t="shared" si="34"/>
        <v>0.28042857142856548</v>
      </c>
      <c r="S277" s="2">
        <f t="shared" si="35"/>
        <v>7.1571428571427065E-2</v>
      </c>
    </row>
    <row r="278" spans="2:19" x14ac:dyDescent="0.25">
      <c r="B278" s="1">
        <f t="shared" si="36"/>
        <v>272</v>
      </c>
      <c r="C278" s="1">
        <v>380</v>
      </c>
      <c r="D278" s="13">
        <v>70.2</v>
      </c>
      <c r="E278" s="1" t="s">
        <v>11</v>
      </c>
      <c r="F278" s="2">
        <v>1.48</v>
      </c>
      <c r="G278" s="1" t="s">
        <v>12</v>
      </c>
      <c r="H278" s="1" t="s">
        <v>13</v>
      </c>
      <c r="I278" s="1" t="s">
        <v>14</v>
      </c>
      <c r="J278" s="14">
        <v>0.64202546296296303</v>
      </c>
      <c r="K278" s="15">
        <v>44751</v>
      </c>
      <c r="M278" s="2">
        <v>1.46</v>
      </c>
      <c r="O278" s="2">
        <f t="shared" si="31"/>
        <v>1.39</v>
      </c>
      <c r="P278" s="2">
        <f t="shared" si="32"/>
        <v>56.10857142857143</v>
      </c>
      <c r="Q278" s="2">
        <f t="shared" si="33"/>
        <v>0.35050000000000808</v>
      </c>
      <c r="R278" s="2">
        <f t="shared" si="34"/>
        <v>0.28065714285714932</v>
      </c>
      <c r="S278" s="2">
        <f t="shared" si="35"/>
        <v>6.9842857142858761E-2</v>
      </c>
    </row>
    <row r="279" spans="2:19" x14ac:dyDescent="0.25">
      <c r="B279" s="1">
        <f t="shared" si="36"/>
        <v>273</v>
      </c>
      <c r="C279" s="1">
        <v>381</v>
      </c>
      <c r="D279" s="13">
        <v>70</v>
      </c>
      <c r="E279" s="1" t="s">
        <v>11</v>
      </c>
      <c r="F279" s="2">
        <v>1.4850000000000001</v>
      </c>
      <c r="G279" s="1" t="s">
        <v>12</v>
      </c>
      <c r="H279" s="1" t="s">
        <v>13</v>
      </c>
      <c r="I279" s="1" t="s">
        <v>14</v>
      </c>
      <c r="J279" s="14">
        <v>0.64202546296296303</v>
      </c>
      <c r="K279" s="15">
        <v>44751</v>
      </c>
      <c r="M279" s="2">
        <v>1.4650000000000001</v>
      </c>
      <c r="O279" s="2">
        <f t="shared" si="31"/>
        <v>1.395</v>
      </c>
      <c r="P279" s="2">
        <f t="shared" si="32"/>
        <v>56.15428571428572</v>
      </c>
      <c r="Q279" s="2">
        <f t="shared" si="33"/>
        <v>0.34924999999999251</v>
      </c>
      <c r="R279" s="2">
        <f t="shared" si="34"/>
        <v>0.2808857142857083</v>
      </c>
      <c r="S279" s="2">
        <f t="shared" si="35"/>
        <v>6.8364285714284212E-2</v>
      </c>
    </row>
    <row r="280" spans="2:19" x14ac:dyDescent="0.25">
      <c r="B280" s="1">
        <f t="shared" si="36"/>
        <v>274</v>
      </c>
      <c r="C280" s="1">
        <v>382</v>
      </c>
      <c r="D280" s="13">
        <v>69.7</v>
      </c>
      <c r="E280" s="1" t="s">
        <v>11</v>
      </c>
      <c r="F280" s="2">
        <v>1.49</v>
      </c>
      <c r="G280" s="1" t="s">
        <v>12</v>
      </c>
      <c r="H280" s="1" t="s">
        <v>13</v>
      </c>
      <c r="I280" s="1" t="s">
        <v>14</v>
      </c>
      <c r="J280" s="14">
        <v>0.64202546296296303</v>
      </c>
      <c r="K280" s="15">
        <v>44751</v>
      </c>
      <c r="M280" s="2">
        <v>1.47</v>
      </c>
      <c r="O280" s="2">
        <f t="shared" si="31"/>
        <v>1.4</v>
      </c>
      <c r="P280" s="2">
        <f t="shared" si="32"/>
        <v>56.2</v>
      </c>
      <c r="Q280" s="2">
        <f t="shared" si="33"/>
        <v>0.34850000000000808</v>
      </c>
      <c r="R280" s="2">
        <f t="shared" si="34"/>
        <v>0.2811142857142922</v>
      </c>
      <c r="S280" s="2">
        <f t="shared" si="35"/>
        <v>6.7385714285715881E-2</v>
      </c>
    </row>
    <row r="281" spans="2:19" x14ac:dyDescent="0.25">
      <c r="B281" s="1">
        <f t="shared" si="36"/>
        <v>275</v>
      </c>
      <c r="C281" s="1">
        <v>383</v>
      </c>
      <c r="D281" s="13">
        <v>69.7</v>
      </c>
      <c r="E281" s="1" t="s">
        <v>11</v>
      </c>
      <c r="F281" s="2">
        <v>1.4950000000000001</v>
      </c>
      <c r="G281" s="1" t="s">
        <v>12</v>
      </c>
      <c r="H281" s="1" t="s">
        <v>13</v>
      </c>
      <c r="I281" s="1" t="s">
        <v>14</v>
      </c>
      <c r="J281" s="14">
        <v>0.64202546296296303</v>
      </c>
      <c r="K281" s="15">
        <v>44751</v>
      </c>
      <c r="M281" s="2">
        <v>1.4750000000000001</v>
      </c>
      <c r="O281" s="2">
        <f t="shared" si="31"/>
        <v>1.405</v>
      </c>
      <c r="P281" s="2">
        <f t="shared" si="32"/>
        <v>56.245714285714286</v>
      </c>
      <c r="Q281" s="2">
        <f t="shared" si="33"/>
        <v>0.34824999999999262</v>
      </c>
      <c r="R281" s="2">
        <f t="shared" si="34"/>
        <v>0.28134285714285118</v>
      </c>
      <c r="S281" s="2">
        <f t="shared" si="35"/>
        <v>6.6907142857141444E-2</v>
      </c>
    </row>
    <row r="282" spans="2:19" x14ac:dyDescent="0.25">
      <c r="B282" s="1">
        <f t="shared" si="36"/>
        <v>276</v>
      </c>
      <c r="C282" s="1">
        <v>384</v>
      </c>
      <c r="D282" s="13">
        <v>69.599999999999994</v>
      </c>
      <c r="E282" s="1" t="s">
        <v>11</v>
      </c>
      <c r="F282" s="2">
        <v>1.5</v>
      </c>
      <c r="G282" s="1" t="s">
        <v>12</v>
      </c>
      <c r="H282" s="1" t="s">
        <v>13</v>
      </c>
      <c r="I282" s="1" t="s">
        <v>14</v>
      </c>
      <c r="J282" s="14">
        <v>0.64202546296296303</v>
      </c>
      <c r="K282" s="15">
        <v>44751</v>
      </c>
      <c r="M282" s="2">
        <v>1.48</v>
      </c>
      <c r="O282" s="2">
        <f t="shared" si="31"/>
        <v>1.41</v>
      </c>
      <c r="P282" s="2">
        <f t="shared" si="32"/>
        <v>56.291428571428575</v>
      </c>
      <c r="Q282" s="2">
        <f t="shared" si="33"/>
        <v>0.34824999999999262</v>
      </c>
      <c r="R282" s="2">
        <f t="shared" si="34"/>
        <v>0.28157142857142259</v>
      </c>
      <c r="S282" s="2">
        <f t="shared" si="35"/>
        <v>6.6678571428570033E-2</v>
      </c>
    </row>
    <row r="283" spans="2:19" x14ac:dyDescent="0.25">
      <c r="B283" s="1">
        <f t="shared" si="36"/>
        <v>277</v>
      </c>
      <c r="C283" s="1">
        <v>386</v>
      </c>
      <c r="D283" s="13">
        <v>69.7</v>
      </c>
      <c r="E283" s="1" t="s">
        <v>11</v>
      </c>
      <c r="F283" s="2">
        <v>1.5049999999999999</v>
      </c>
      <c r="G283" s="1" t="s">
        <v>12</v>
      </c>
      <c r="H283" s="1" t="s">
        <v>13</v>
      </c>
      <c r="I283" s="1" t="s">
        <v>14</v>
      </c>
      <c r="J283" s="14">
        <v>0.64202546296296303</v>
      </c>
      <c r="K283" s="15">
        <v>44751</v>
      </c>
      <c r="M283" s="2">
        <v>1.4849999999999999</v>
      </c>
      <c r="O283" s="2">
        <f t="shared" si="31"/>
        <v>1.4149999999999998</v>
      </c>
      <c r="P283" s="2">
        <f t="shared" si="32"/>
        <v>56.337142857142858</v>
      </c>
      <c r="Q283" s="2">
        <f t="shared" si="33"/>
        <v>0.34850000000000808</v>
      </c>
      <c r="R283" s="2">
        <f t="shared" si="34"/>
        <v>0.28180000000000649</v>
      </c>
      <c r="S283" s="2">
        <f t="shared" si="35"/>
        <v>6.6700000000001591E-2</v>
      </c>
    </row>
    <row r="284" spans="2:19" x14ac:dyDescent="0.25">
      <c r="B284" s="1">
        <f t="shared" si="36"/>
        <v>278</v>
      </c>
      <c r="C284" s="1">
        <v>387</v>
      </c>
      <c r="D284" s="13">
        <v>69.7</v>
      </c>
      <c r="E284" s="1" t="s">
        <v>11</v>
      </c>
      <c r="F284" s="2">
        <v>1.51</v>
      </c>
      <c r="G284" s="1" t="s">
        <v>12</v>
      </c>
      <c r="H284" s="1" t="s">
        <v>13</v>
      </c>
      <c r="I284" s="1" t="s">
        <v>14</v>
      </c>
      <c r="J284" s="14">
        <v>0.64202546296296303</v>
      </c>
      <c r="K284" s="15">
        <v>44751</v>
      </c>
      <c r="M284" s="2">
        <v>1.49</v>
      </c>
      <c r="O284" s="2">
        <f t="shared" si="31"/>
        <v>1.42</v>
      </c>
      <c r="P284" s="2">
        <f t="shared" si="32"/>
        <v>56.382857142857148</v>
      </c>
      <c r="Q284" s="2">
        <f t="shared" si="33"/>
        <v>0.34849999999999259</v>
      </c>
      <c r="R284" s="2">
        <f t="shared" si="34"/>
        <v>0.28202857142856541</v>
      </c>
      <c r="S284" s="2">
        <f t="shared" si="35"/>
        <v>6.6471428571427182E-2</v>
      </c>
    </row>
    <row r="285" spans="2:19" x14ac:dyDescent="0.25">
      <c r="B285" s="1">
        <f t="shared" si="36"/>
        <v>279</v>
      </c>
      <c r="C285" s="1">
        <v>388</v>
      </c>
      <c r="D285" s="13">
        <v>69.7</v>
      </c>
      <c r="E285" s="1" t="s">
        <v>11</v>
      </c>
      <c r="F285" s="2">
        <v>1.5149999999999999</v>
      </c>
      <c r="G285" s="1" t="s">
        <v>12</v>
      </c>
      <c r="H285" s="1" t="s">
        <v>13</v>
      </c>
      <c r="I285" s="1" t="s">
        <v>14</v>
      </c>
      <c r="J285" s="14">
        <v>0.64202546296296303</v>
      </c>
      <c r="K285" s="15">
        <v>44751</v>
      </c>
      <c r="M285" s="2">
        <v>1.4949999999999999</v>
      </c>
      <c r="O285" s="2">
        <f t="shared" si="31"/>
        <v>1.4249999999999998</v>
      </c>
      <c r="P285" s="2">
        <f t="shared" si="32"/>
        <v>56.428571428571431</v>
      </c>
      <c r="Q285" s="2">
        <f t="shared" si="33"/>
        <v>0.34850000000000808</v>
      </c>
      <c r="R285" s="2">
        <f t="shared" si="34"/>
        <v>0.28225714285714937</v>
      </c>
      <c r="S285" s="2">
        <f t="shared" si="35"/>
        <v>6.6242857142858713E-2</v>
      </c>
    </row>
    <row r="286" spans="2:19" x14ac:dyDescent="0.25">
      <c r="B286" s="1">
        <f t="shared" si="36"/>
        <v>280</v>
      </c>
      <c r="C286" s="1">
        <v>389</v>
      </c>
      <c r="D286" s="13">
        <v>69.7</v>
      </c>
      <c r="E286" s="1" t="s">
        <v>11</v>
      </c>
      <c r="F286" s="2">
        <v>1.52</v>
      </c>
      <c r="G286" s="1" t="s">
        <v>12</v>
      </c>
      <c r="H286" s="1" t="s">
        <v>13</v>
      </c>
      <c r="I286" s="1" t="s">
        <v>14</v>
      </c>
      <c r="J286" s="14">
        <v>0.64203703703703707</v>
      </c>
      <c r="K286" s="15">
        <v>44751</v>
      </c>
      <c r="M286" s="2">
        <v>1.5</v>
      </c>
      <c r="O286" s="2">
        <f t="shared" si="31"/>
        <v>1.43</v>
      </c>
      <c r="P286" s="2">
        <f t="shared" si="32"/>
        <v>56.474285714285713</v>
      </c>
      <c r="Q286" s="2">
        <f t="shared" si="33"/>
        <v>0.34799999999999254</v>
      </c>
      <c r="R286" s="2">
        <f t="shared" si="34"/>
        <v>0.28248571428570829</v>
      </c>
      <c r="S286" s="2">
        <f t="shared" si="35"/>
        <v>6.5514285714284248E-2</v>
      </c>
    </row>
    <row r="287" spans="2:19" x14ac:dyDescent="0.25">
      <c r="B287" s="1">
        <f t="shared" si="36"/>
        <v>281</v>
      </c>
      <c r="C287" s="1">
        <v>390</v>
      </c>
      <c r="D287" s="13">
        <v>69.5</v>
      </c>
      <c r="E287" s="1" t="s">
        <v>11</v>
      </c>
      <c r="F287" s="2">
        <v>1.5249999999999999</v>
      </c>
      <c r="G287" s="1" t="s">
        <v>12</v>
      </c>
      <c r="H287" s="1" t="s">
        <v>13</v>
      </c>
      <c r="I287" s="1" t="s">
        <v>14</v>
      </c>
      <c r="J287" s="14">
        <v>0.64203703703703707</v>
      </c>
      <c r="K287" s="15">
        <v>44751</v>
      </c>
      <c r="M287" s="2">
        <v>1.5049999999999999</v>
      </c>
      <c r="O287" s="2">
        <f t="shared" si="31"/>
        <v>1.4349999999999998</v>
      </c>
      <c r="P287" s="2">
        <f t="shared" si="32"/>
        <v>56.52</v>
      </c>
      <c r="Q287" s="2">
        <f t="shared" si="33"/>
        <v>0.34750000000000802</v>
      </c>
      <c r="R287" s="2">
        <f t="shared" si="34"/>
        <v>0.28271428571429225</v>
      </c>
      <c r="S287" s="2">
        <f t="shared" si="35"/>
        <v>6.4785714285715779E-2</v>
      </c>
    </row>
    <row r="288" spans="2:19" x14ac:dyDescent="0.25">
      <c r="B288" s="1">
        <f t="shared" si="36"/>
        <v>282</v>
      </c>
      <c r="C288" s="1">
        <v>391</v>
      </c>
      <c r="D288" s="13">
        <v>69.5</v>
      </c>
      <c r="E288" s="1" t="s">
        <v>11</v>
      </c>
      <c r="F288" s="2">
        <v>1.53</v>
      </c>
      <c r="G288" s="1" t="s">
        <v>12</v>
      </c>
      <c r="H288" s="1" t="s">
        <v>13</v>
      </c>
      <c r="I288" s="1" t="s">
        <v>14</v>
      </c>
      <c r="J288" s="14">
        <v>0.64203703703703707</v>
      </c>
      <c r="K288" s="15">
        <v>44751</v>
      </c>
      <c r="M288" s="2">
        <v>1.51</v>
      </c>
      <c r="O288" s="2">
        <f t="shared" si="31"/>
        <v>1.44</v>
      </c>
      <c r="P288" s="2">
        <f t="shared" si="32"/>
        <v>56.565714285714286</v>
      </c>
      <c r="Q288" s="2">
        <f t="shared" si="33"/>
        <v>0.34724999999999262</v>
      </c>
      <c r="R288" s="2">
        <f t="shared" si="34"/>
        <v>0.28294285714285111</v>
      </c>
      <c r="S288" s="2">
        <f t="shared" si="35"/>
        <v>6.4307142857141508E-2</v>
      </c>
    </row>
    <row r="289" spans="2:19" x14ac:dyDescent="0.25">
      <c r="B289" s="1">
        <f t="shared" si="36"/>
        <v>283</v>
      </c>
      <c r="C289" s="1">
        <v>393</v>
      </c>
      <c r="D289" s="13">
        <v>69.400000000000006</v>
      </c>
      <c r="E289" s="1" t="s">
        <v>11</v>
      </c>
      <c r="F289" s="2">
        <v>1.5349999999999999</v>
      </c>
      <c r="G289" s="1" t="s">
        <v>12</v>
      </c>
      <c r="H289" s="1" t="s">
        <v>13</v>
      </c>
      <c r="I289" s="1" t="s">
        <v>14</v>
      </c>
      <c r="J289" s="14">
        <v>0.64203703703703707</v>
      </c>
      <c r="K289" s="15">
        <v>44751</v>
      </c>
      <c r="M289" s="2">
        <v>1.5149999999999999</v>
      </c>
      <c r="O289" s="2">
        <f t="shared" si="31"/>
        <v>1.4449999999999998</v>
      </c>
      <c r="P289" s="2">
        <f t="shared" si="32"/>
        <v>56.611428571428576</v>
      </c>
      <c r="Q289" s="2">
        <f t="shared" si="33"/>
        <v>0.34650000000000808</v>
      </c>
      <c r="R289" s="2">
        <f t="shared" si="34"/>
        <v>0.28317142857143512</v>
      </c>
      <c r="S289" s="2">
        <f t="shared" si="35"/>
        <v>6.3328571428572955E-2</v>
      </c>
    </row>
    <row r="290" spans="2:19" x14ac:dyDescent="0.25">
      <c r="B290" s="1">
        <f t="shared" si="36"/>
        <v>284</v>
      </c>
      <c r="C290" s="1">
        <v>394</v>
      </c>
      <c r="D290" s="13">
        <v>69.2</v>
      </c>
      <c r="E290" s="1" t="s">
        <v>11</v>
      </c>
      <c r="F290" s="2">
        <v>1.54</v>
      </c>
      <c r="G290" s="1" t="s">
        <v>12</v>
      </c>
      <c r="H290" s="1" t="s">
        <v>13</v>
      </c>
      <c r="I290" s="1" t="s">
        <v>14</v>
      </c>
      <c r="J290" s="14">
        <v>0.64203703703703707</v>
      </c>
      <c r="K290" s="15">
        <v>44751</v>
      </c>
      <c r="M290" s="2">
        <v>1.52</v>
      </c>
      <c r="O290" s="2">
        <f t="shared" si="31"/>
        <v>1.45</v>
      </c>
      <c r="P290" s="2">
        <f t="shared" si="32"/>
        <v>56.657142857142858</v>
      </c>
      <c r="Q290" s="2">
        <f t="shared" si="33"/>
        <v>0.34599999999999265</v>
      </c>
      <c r="R290" s="2">
        <f t="shared" si="34"/>
        <v>0.28339999999999393</v>
      </c>
      <c r="S290" s="2">
        <f t="shared" si="35"/>
        <v>6.2599999999998712E-2</v>
      </c>
    </row>
    <row r="291" spans="2:19" x14ac:dyDescent="0.25">
      <c r="B291" s="1">
        <f t="shared" si="36"/>
        <v>285</v>
      </c>
      <c r="C291" s="1">
        <v>395</v>
      </c>
      <c r="D291" s="13">
        <v>69.2</v>
      </c>
      <c r="E291" s="1" t="s">
        <v>11</v>
      </c>
      <c r="F291" s="2">
        <v>1.5449999999999999</v>
      </c>
      <c r="G291" s="1" t="s">
        <v>12</v>
      </c>
      <c r="H291" s="1" t="s">
        <v>13</v>
      </c>
      <c r="I291" s="1" t="s">
        <v>14</v>
      </c>
      <c r="J291" s="14">
        <v>0.64203703703703707</v>
      </c>
      <c r="K291" s="15">
        <v>44751</v>
      </c>
      <c r="M291" s="2">
        <v>1.5249999999999999</v>
      </c>
      <c r="O291" s="2">
        <f t="shared" si="31"/>
        <v>1.4549999999999998</v>
      </c>
      <c r="P291" s="2">
        <f t="shared" si="32"/>
        <v>56.702857142857141</v>
      </c>
      <c r="Q291" s="2">
        <f t="shared" si="33"/>
        <v>0.34550000000000797</v>
      </c>
      <c r="R291" s="2">
        <f t="shared" si="34"/>
        <v>0.283628571428578</v>
      </c>
      <c r="S291" s="2">
        <f t="shared" si="35"/>
        <v>6.1871428571429965E-2</v>
      </c>
    </row>
    <row r="292" spans="2:19" x14ac:dyDescent="0.25">
      <c r="B292" s="1">
        <f t="shared" si="36"/>
        <v>286</v>
      </c>
      <c r="C292" s="1">
        <v>397</v>
      </c>
      <c r="D292" s="13">
        <v>69</v>
      </c>
      <c r="E292" s="1" t="s">
        <v>11</v>
      </c>
      <c r="F292" s="2">
        <v>1.55</v>
      </c>
      <c r="G292" s="1" t="s">
        <v>12</v>
      </c>
      <c r="H292" s="1" t="s">
        <v>13</v>
      </c>
      <c r="I292" s="1" t="s">
        <v>14</v>
      </c>
      <c r="J292" s="14">
        <v>0.64203703703703707</v>
      </c>
      <c r="K292" s="15">
        <v>44751</v>
      </c>
      <c r="M292" s="2">
        <v>1.53</v>
      </c>
      <c r="O292" s="2">
        <f t="shared" si="31"/>
        <v>1.46</v>
      </c>
      <c r="P292" s="2">
        <f t="shared" si="32"/>
        <v>56.748571428571431</v>
      </c>
      <c r="Q292" s="2">
        <f t="shared" si="33"/>
        <v>0.3444999999999927</v>
      </c>
      <c r="R292" s="2">
        <f t="shared" si="34"/>
        <v>0.28385714285713681</v>
      </c>
      <c r="S292" s="2">
        <f t="shared" si="35"/>
        <v>6.0642857142855888E-2</v>
      </c>
    </row>
    <row r="293" spans="2:19" x14ac:dyDescent="0.25">
      <c r="B293" s="1">
        <f t="shared" si="36"/>
        <v>287</v>
      </c>
      <c r="C293" s="1">
        <v>398</v>
      </c>
      <c r="D293" s="13">
        <v>68.8</v>
      </c>
      <c r="E293" s="1" t="s">
        <v>11</v>
      </c>
      <c r="F293" s="2">
        <v>1.5549999999999999</v>
      </c>
      <c r="G293" s="1" t="s">
        <v>12</v>
      </c>
      <c r="H293" s="1" t="s">
        <v>13</v>
      </c>
      <c r="I293" s="1" t="s">
        <v>14</v>
      </c>
      <c r="J293" s="14">
        <v>0.64203703703703707</v>
      </c>
      <c r="K293" s="15">
        <v>44751</v>
      </c>
      <c r="M293" s="2">
        <v>1.5349999999999999</v>
      </c>
      <c r="O293" s="2">
        <f t="shared" si="31"/>
        <v>1.4649999999999999</v>
      </c>
      <c r="P293" s="2">
        <f t="shared" si="32"/>
        <v>56.794285714285714</v>
      </c>
      <c r="Q293" s="2">
        <f t="shared" si="33"/>
        <v>0.34300000000000791</v>
      </c>
      <c r="R293" s="2">
        <f t="shared" si="34"/>
        <v>0.28408571428572083</v>
      </c>
      <c r="S293" s="2">
        <f t="shared" si="35"/>
        <v>5.8914285714287085E-2</v>
      </c>
    </row>
    <row r="294" spans="2:19" x14ac:dyDescent="0.25">
      <c r="B294" s="1">
        <f t="shared" si="36"/>
        <v>288</v>
      </c>
      <c r="C294" s="1">
        <v>400</v>
      </c>
      <c r="D294" s="13">
        <v>68.400000000000006</v>
      </c>
      <c r="E294" s="1" t="s">
        <v>11</v>
      </c>
      <c r="F294" s="2">
        <v>1.56</v>
      </c>
      <c r="G294" s="1" t="s">
        <v>12</v>
      </c>
      <c r="H294" s="1" t="s">
        <v>13</v>
      </c>
      <c r="I294" s="1" t="s">
        <v>14</v>
      </c>
      <c r="J294" s="14">
        <v>0.64204861111111111</v>
      </c>
      <c r="K294" s="15">
        <v>44751</v>
      </c>
      <c r="M294" s="2">
        <v>1.54</v>
      </c>
      <c r="O294" s="2">
        <f t="shared" si="31"/>
        <v>1.47</v>
      </c>
      <c r="P294" s="2">
        <f t="shared" si="32"/>
        <v>56.84</v>
      </c>
      <c r="Q294" s="2">
        <f t="shared" si="33"/>
        <v>0.34099999999999275</v>
      </c>
      <c r="R294" s="2">
        <f t="shared" si="34"/>
        <v>0.28431428571427969</v>
      </c>
      <c r="S294" s="2">
        <f t="shared" si="35"/>
        <v>5.6685714285713062E-2</v>
      </c>
    </row>
    <row r="295" spans="2:19" x14ac:dyDescent="0.25">
      <c r="B295" s="1">
        <f t="shared" si="36"/>
        <v>289</v>
      </c>
      <c r="C295" s="1">
        <v>401</v>
      </c>
      <c r="D295" s="13">
        <v>68</v>
      </c>
      <c r="E295" s="1" t="s">
        <v>11</v>
      </c>
      <c r="F295" s="2">
        <v>1.5649999999999999</v>
      </c>
      <c r="G295" s="1" t="s">
        <v>12</v>
      </c>
      <c r="H295" s="1" t="s">
        <v>13</v>
      </c>
      <c r="I295" s="1" t="s">
        <v>14</v>
      </c>
      <c r="J295" s="14">
        <v>0.64204861111111111</v>
      </c>
      <c r="K295" s="15">
        <v>44751</v>
      </c>
      <c r="M295" s="2">
        <v>1.5449999999999999</v>
      </c>
      <c r="O295" s="2">
        <f t="shared" si="31"/>
        <v>1.4749999999999999</v>
      </c>
      <c r="P295" s="2">
        <f t="shared" si="32"/>
        <v>56.885714285714286</v>
      </c>
      <c r="Q295" s="2">
        <f t="shared" si="33"/>
        <v>0.33975000000000788</v>
      </c>
      <c r="R295" s="2">
        <f t="shared" si="34"/>
        <v>0.28454285714286376</v>
      </c>
      <c r="S295" s="2">
        <f t="shared" si="35"/>
        <v>5.520714285714412E-2</v>
      </c>
    </row>
    <row r="296" spans="2:19" x14ac:dyDescent="0.25">
      <c r="B296" s="1">
        <f t="shared" si="36"/>
        <v>290</v>
      </c>
      <c r="C296" s="1">
        <v>402</v>
      </c>
      <c r="D296" s="13">
        <v>67.900000000000006</v>
      </c>
      <c r="E296" s="1" t="s">
        <v>11</v>
      </c>
      <c r="F296" s="2">
        <v>1.57</v>
      </c>
      <c r="G296" s="1" t="s">
        <v>12</v>
      </c>
      <c r="H296" s="1" t="s">
        <v>13</v>
      </c>
      <c r="I296" s="1" t="s">
        <v>14</v>
      </c>
      <c r="J296" s="14">
        <v>0.64204861111111111</v>
      </c>
      <c r="K296" s="15">
        <v>44751</v>
      </c>
      <c r="M296" s="2">
        <v>1.55</v>
      </c>
      <c r="O296" s="2">
        <f t="shared" si="31"/>
        <v>1.48</v>
      </c>
      <c r="P296" s="2">
        <f t="shared" si="32"/>
        <v>56.931428571428576</v>
      </c>
      <c r="Q296" s="2">
        <f t="shared" si="33"/>
        <v>0.33924999999999272</v>
      </c>
      <c r="R296" s="2">
        <f t="shared" si="34"/>
        <v>0.28477142857142251</v>
      </c>
      <c r="S296" s="2">
        <f t="shared" si="35"/>
        <v>5.4478571428570211E-2</v>
      </c>
    </row>
    <row r="297" spans="2:19" x14ac:dyDescent="0.25">
      <c r="B297" s="1">
        <f t="shared" si="36"/>
        <v>291</v>
      </c>
      <c r="C297" s="1">
        <v>403</v>
      </c>
      <c r="D297" s="13">
        <v>67.8</v>
      </c>
      <c r="E297" s="1" t="s">
        <v>11</v>
      </c>
      <c r="F297" s="2">
        <v>1.575</v>
      </c>
      <c r="G297" s="1" t="s">
        <v>12</v>
      </c>
      <c r="H297" s="1" t="s">
        <v>13</v>
      </c>
      <c r="I297" s="1" t="s">
        <v>14</v>
      </c>
      <c r="J297" s="14">
        <v>0.64204861111111111</v>
      </c>
      <c r="K297" s="15">
        <v>44751</v>
      </c>
      <c r="M297" s="2">
        <v>1.5549999999999999</v>
      </c>
      <c r="O297" s="2">
        <f t="shared" si="31"/>
        <v>1.4849999999999999</v>
      </c>
      <c r="P297" s="2">
        <f t="shared" si="32"/>
        <v>56.977142857142859</v>
      </c>
      <c r="Q297" s="2">
        <f t="shared" si="33"/>
        <v>0.3390000000000078</v>
      </c>
      <c r="R297" s="2">
        <f t="shared" si="34"/>
        <v>0.28500000000000658</v>
      </c>
      <c r="S297" s="2">
        <f t="shared" si="35"/>
        <v>5.4000000000001214E-2</v>
      </c>
    </row>
    <row r="298" spans="2:19" x14ac:dyDescent="0.25">
      <c r="B298" s="1">
        <f t="shared" si="36"/>
        <v>292</v>
      </c>
      <c r="C298" s="1">
        <v>404</v>
      </c>
      <c r="D298" s="13">
        <v>67.8</v>
      </c>
      <c r="E298" s="1" t="s">
        <v>11</v>
      </c>
      <c r="F298" s="2">
        <v>1.58</v>
      </c>
      <c r="G298" s="1" t="s">
        <v>12</v>
      </c>
      <c r="H298" s="1" t="s">
        <v>13</v>
      </c>
      <c r="I298" s="1" t="s">
        <v>14</v>
      </c>
      <c r="J298" s="14">
        <v>0.64204861111111111</v>
      </c>
      <c r="K298" s="15">
        <v>44751</v>
      </c>
      <c r="M298" s="2">
        <v>1.56</v>
      </c>
      <c r="O298" s="2">
        <f t="shared" si="31"/>
        <v>1.49</v>
      </c>
      <c r="P298" s="2">
        <f t="shared" si="32"/>
        <v>57.022857142857148</v>
      </c>
      <c r="Q298" s="2">
        <f t="shared" si="33"/>
        <v>0.33849999999999275</v>
      </c>
      <c r="R298" s="2">
        <f t="shared" si="34"/>
        <v>0.28522857142856539</v>
      </c>
      <c r="S298" s="2">
        <f t="shared" si="35"/>
        <v>5.3271428571427359E-2</v>
      </c>
    </row>
    <row r="299" spans="2:19" x14ac:dyDescent="0.25">
      <c r="B299" s="1">
        <f t="shared" si="36"/>
        <v>293</v>
      </c>
      <c r="C299" s="1">
        <v>405</v>
      </c>
      <c r="D299" s="13">
        <v>67.599999999999994</v>
      </c>
      <c r="E299" s="1" t="s">
        <v>11</v>
      </c>
      <c r="F299" s="2">
        <v>1.585</v>
      </c>
      <c r="G299" s="1" t="s">
        <v>12</v>
      </c>
      <c r="H299" s="1" t="s">
        <v>13</v>
      </c>
      <c r="I299" s="1" t="s">
        <v>14</v>
      </c>
      <c r="J299" s="14">
        <v>0.64204861111111111</v>
      </c>
      <c r="K299" s="15">
        <v>44751</v>
      </c>
      <c r="M299" s="2">
        <v>1.5649999999999999</v>
      </c>
      <c r="O299" s="2">
        <f t="shared" si="31"/>
        <v>1.4949999999999999</v>
      </c>
      <c r="P299" s="2">
        <f t="shared" si="32"/>
        <v>57.068571428571431</v>
      </c>
      <c r="Q299" s="2">
        <f t="shared" si="33"/>
        <v>0.33775000000000777</v>
      </c>
      <c r="R299" s="2">
        <f t="shared" si="34"/>
        <v>0.28545714285714946</v>
      </c>
      <c r="S299" s="2">
        <f t="shared" si="35"/>
        <v>5.2292857142858307E-2</v>
      </c>
    </row>
    <row r="300" spans="2:19" x14ac:dyDescent="0.25">
      <c r="B300" s="1">
        <f t="shared" si="36"/>
        <v>294</v>
      </c>
      <c r="C300" s="1">
        <v>407</v>
      </c>
      <c r="D300" s="13">
        <v>67.5</v>
      </c>
      <c r="E300" s="1" t="s">
        <v>11</v>
      </c>
      <c r="F300" s="2">
        <v>1.59</v>
      </c>
      <c r="G300" s="1" t="s">
        <v>12</v>
      </c>
      <c r="H300" s="1" t="s">
        <v>13</v>
      </c>
      <c r="I300" s="1" t="s">
        <v>14</v>
      </c>
      <c r="J300" s="14">
        <v>0.64204861111111111</v>
      </c>
      <c r="K300" s="15">
        <v>44751</v>
      </c>
      <c r="M300" s="2">
        <v>1.57</v>
      </c>
      <c r="O300" s="2">
        <f t="shared" si="31"/>
        <v>1.5</v>
      </c>
      <c r="P300" s="2">
        <f t="shared" si="32"/>
        <v>57.114285714285714</v>
      </c>
      <c r="Q300" s="2">
        <f t="shared" si="33"/>
        <v>0.33749999999999281</v>
      </c>
      <c r="R300" s="2">
        <f t="shared" si="34"/>
        <v>0.28568571428570821</v>
      </c>
      <c r="S300" s="2">
        <f t="shared" si="35"/>
        <v>5.1814285714284591E-2</v>
      </c>
    </row>
    <row r="301" spans="2:19" x14ac:dyDescent="0.25">
      <c r="B301" s="1">
        <f t="shared" si="36"/>
        <v>295</v>
      </c>
      <c r="C301" s="1">
        <v>408</v>
      </c>
      <c r="D301" s="13">
        <v>67.5</v>
      </c>
      <c r="E301" s="1" t="s">
        <v>11</v>
      </c>
      <c r="F301" s="2">
        <v>1.595</v>
      </c>
      <c r="G301" s="1" t="s">
        <v>12</v>
      </c>
      <c r="H301" s="1" t="s">
        <v>13</v>
      </c>
      <c r="I301" s="1" t="s">
        <v>14</v>
      </c>
      <c r="J301" s="14">
        <v>0.64204861111111111</v>
      </c>
      <c r="K301" s="15">
        <v>44751</v>
      </c>
      <c r="M301" s="2">
        <v>1.575</v>
      </c>
      <c r="O301" s="2">
        <f t="shared" si="31"/>
        <v>1.5049999999999999</v>
      </c>
      <c r="P301" s="2">
        <f t="shared" si="32"/>
        <v>57.160000000000004</v>
      </c>
      <c r="Q301" s="2">
        <f t="shared" si="33"/>
        <v>0.33700000000000779</v>
      </c>
      <c r="R301" s="2">
        <f t="shared" si="34"/>
        <v>0.28591428571429234</v>
      </c>
      <c r="S301" s="2">
        <f t="shared" si="35"/>
        <v>5.1085714285715456E-2</v>
      </c>
    </row>
    <row r="302" spans="2:19" x14ac:dyDescent="0.25">
      <c r="B302" s="1">
        <f t="shared" si="36"/>
        <v>296</v>
      </c>
      <c r="C302" s="1">
        <v>409</v>
      </c>
      <c r="D302" s="13">
        <v>67.3</v>
      </c>
      <c r="E302" s="1" t="s">
        <v>11</v>
      </c>
      <c r="F302" s="2">
        <v>1.6</v>
      </c>
      <c r="G302" s="1" t="s">
        <v>12</v>
      </c>
      <c r="H302" s="1" t="s">
        <v>13</v>
      </c>
      <c r="I302" s="1" t="s">
        <v>14</v>
      </c>
      <c r="J302" s="14">
        <v>0.64206018518518515</v>
      </c>
      <c r="K302" s="15">
        <v>44751</v>
      </c>
      <c r="M302" s="2">
        <v>1.58</v>
      </c>
      <c r="O302" s="2">
        <f t="shared" si="31"/>
        <v>1.51</v>
      </c>
      <c r="P302" s="2">
        <f t="shared" si="32"/>
        <v>57.205714285714286</v>
      </c>
      <c r="Q302" s="2">
        <f t="shared" si="33"/>
        <v>0.33624999999999283</v>
      </c>
      <c r="R302" s="2">
        <f t="shared" si="34"/>
        <v>0.28614285714285104</v>
      </c>
      <c r="S302" s="2">
        <f t="shared" si="35"/>
        <v>5.0107142857141795E-2</v>
      </c>
    </row>
    <row r="303" spans="2:19" x14ac:dyDescent="0.25">
      <c r="B303" s="1">
        <f t="shared" si="36"/>
        <v>297</v>
      </c>
      <c r="C303" s="1">
        <v>411</v>
      </c>
      <c r="D303" s="13">
        <v>67.2</v>
      </c>
      <c r="E303" s="1" t="s">
        <v>11</v>
      </c>
      <c r="F303" s="2">
        <v>1.605</v>
      </c>
      <c r="G303" s="1" t="s">
        <v>12</v>
      </c>
      <c r="H303" s="1" t="s">
        <v>13</v>
      </c>
      <c r="I303" s="1" t="s">
        <v>14</v>
      </c>
      <c r="J303" s="14">
        <v>0.64206018518518515</v>
      </c>
      <c r="K303" s="15">
        <v>44751</v>
      </c>
      <c r="M303" s="2">
        <v>1.585</v>
      </c>
      <c r="O303" s="2">
        <f t="shared" si="31"/>
        <v>1.5149999999999999</v>
      </c>
      <c r="P303" s="2">
        <f t="shared" si="32"/>
        <v>57.251428571428576</v>
      </c>
      <c r="Q303" s="2">
        <f t="shared" si="33"/>
        <v>0.33600000000000779</v>
      </c>
      <c r="R303" s="2">
        <f t="shared" si="34"/>
        <v>0.28637142857143522</v>
      </c>
      <c r="S303" s="2">
        <f t="shared" si="35"/>
        <v>4.9628571428572577E-2</v>
      </c>
    </row>
    <row r="304" spans="2:19" x14ac:dyDescent="0.25">
      <c r="B304" s="1">
        <f t="shared" si="36"/>
        <v>298</v>
      </c>
      <c r="C304" s="1">
        <v>412</v>
      </c>
      <c r="D304" s="13">
        <v>67.2</v>
      </c>
      <c r="E304" s="1" t="s">
        <v>11</v>
      </c>
      <c r="F304" s="2">
        <v>1.61</v>
      </c>
      <c r="G304" s="1" t="s">
        <v>12</v>
      </c>
      <c r="H304" s="1" t="s">
        <v>13</v>
      </c>
      <c r="I304" s="1" t="s">
        <v>14</v>
      </c>
      <c r="J304" s="14">
        <v>0.64206018518518515</v>
      </c>
      <c r="K304" s="15">
        <v>44751</v>
      </c>
      <c r="M304" s="2">
        <v>1.59</v>
      </c>
      <c r="O304" s="2">
        <f t="shared" si="31"/>
        <v>1.52</v>
      </c>
      <c r="P304" s="2">
        <f t="shared" si="32"/>
        <v>57.297142857142859</v>
      </c>
      <c r="Q304" s="2">
        <f t="shared" si="33"/>
        <v>0.33499999999999286</v>
      </c>
      <c r="R304" s="2">
        <f t="shared" si="34"/>
        <v>0.28659999999999392</v>
      </c>
      <c r="S304" s="2">
        <f t="shared" si="35"/>
        <v>4.8399999999998944E-2</v>
      </c>
    </row>
    <row r="305" spans="2:19" x14ac:dyDescent="0.25">
      <c r="B305" s="1">
        <f t="shared" si="36"/>
        <v>299</v>
      </c>
      <c r="C305" s="1">
        <v>414</v>
      </c>
      <c r="D305" s="13">
        <v>66.8</v>
      </c>
      <c r="E305" s="1" t="s">
        <v>11</v>
      </c>
      <c r="F305" s="2">
        <v>1.615</v>
      </c>
      <c r="G305" s="1" t="s">
        <v>12</v>
      </c>
      <c r="H305" s="1" t="s">
        <v>13</v>
      </c>
      <c r="I305" s="1" t="s">
        <v>14</v>
      </c>
      <c r="J305" s="14">
        <v>0.64206018518518515</v>
      </c>
      <c r="K305" s="15">
        <v>44751</v>
      </c>
      <c r="M305" s="2">
        <v>1.595</v>
      </c>
      <c r="O305" s="2">
        <f t="shared" si="31"/>
        <v>1.5249999999999999</v>
      </c>
      <c r="P305" s="2">
        <f t="shared" si="32"/>
        <v>57.342857142857142</v>
      </c>
      <c r="Q305" s="2">
        <f t="shared" si="33"/>
        <v>0.33350000000000762</v>
      </c>
      <c r="R305" s="2">
        <f t="shared" si="34"/>
        <v>0.28682857142857809</v>
      </c>
      <c r="S305" s="2">
        <f t="shared" si="35"/>
        <v>4.667142857142953E-2</v>
      </c>
    </row>
    <row r="306" spans="2:19" x14ac:dyDescent="0.25">
      <c r="B306" s="1">
        <f t="shared" si="36"/>
        <v>300</v>
      </c>
      <c r="C306" s="1">
        <v>416</v>
      </c>
      <c r="D306" s="13">
        <v>66.599999999999994</v>
      </c>
      <c r="E306" s="1" t="s">
        <v>11</v>
      </c>
      <c r="F306" s="2">
        <v>1.62</v>
      </c>
      <c r="G306" s="1" t="s">
        <v>12</v>
      </c>
      <c r="H306" s="1" t="s">
        <v>13</v>
      </c>
      <c r="I306" s="1" t="s">
        <v>14</v>
      </c>
      <c r="J306" s="14">
        <v>0.64206018518518515</v>
      </c>
      <c r="K306" s="15">
        <v>44751</v>
      </c>
      <c r="M306" s="2">
        <v>1.6</v>
      </c>
      <c r="O306" s="2">
        <f t="shared" si="31"/>
        <v>1.53</v>
      </c>
      <c r="P306" s="2">
        <f t="shared" si="32"/>
        <v>57.388571428571431</v>
      </c>
      <c r="Q306" s="2">
        <f t="shared" si="33"/>
        <v>0.33299999999999286</v>
      </c>
      <c r="R306" s="2">
        <f t="shared" si="34"/>
        <v>0.28705714285713674</v>
      </c>
      <c r="S306" s="2">
        <f t="shared" si="35"/>
        <v>4.5942857142856119E-2</v>
      </c>
    </row>
    <row r="307" spans="2:19" x14ac:dyDescent="0.25">
      <c r="B307" s="1">
        <f t="shared" si="36"/>
        <v>301</v>
      </c>
      <c r="C307" s="1">
        <v>418</v>
      </c>
      <c r="D307" s="13">
        <v>66.599999999999994</v>
      </c>
      <c r="E307" s="1" t="s">
        <v>11</v>
      </c>
      <c r="F307" s="2">
        <v>1.625</v>
      </c>
      <c r="G307" s="1" t="s">
        <v>12</v>
      </c>
      <c r="H307" s="1" t="s">
        <v>13</v>
      </c>
      <c r="I307" s="1" t="s">
        <v>14</v>
      </c>
      <c r="J307" s="14">
        <v>0.64206018518518515</v>
      </c>
      <c r="K307" s="15">
        <v>44751</v>
      </c>
      <c r="M307" s="2">
        <v>1.605</v>
      </c>
      <c r="O307" s="2">
        <f t="shared" si="31"/>
        <v>1.5349999999999999</v>
      </c>
      <c r="P307" s="2">
        <f t="shared" si="32"/>
        <v>57.434285714285714</v>
      </c>
      <c r="Q307" s="2">
        <f t="shared" si="33"/>
        <v>0.33274999999999288</v>
      </c>
      <c r="R307" s="2">
        <f t="shared" si="34"/>
        <v>0.28728571428570815</v>
      </c>
      <c r="S307" s="2">
        <f t="shared" si="35"/>
        <v>4.5464285714284736E-2</v>
      </c>
    </row>
    <row r="308" spans="2:19" x14ac:dyDescent="0.25">
      <c r="B308" s="1">
        <f t="shared" si="36"/>
        <v>302</v>
      </c>
      <c r="C308" s="1">
        <v>420</v>
      </c>
      <c r="D308" s="13">
        <v>66.5</v>
      </c>
      <c r="E308" s="1" t="s">
        <v>11</v>
      </c>
      <c r="F308" s="2">
        <v>1.63</v>
      </c>
      <c r="G308" s="1" t="s">
        <v>12</v>
      </c>
      <c r="H308" s="1" t="s">
        <v>13</v>
      </c>
      <c r="I308" s="1" t="s">
        <v>14</v>
      </c>
      <c r="J308" s="14">
        <v>0.64207175925925919</v>
      </c>
      <c r="K308" s="15">
        <v>44751</v>
      </c>
      <c r="M308" s="2">
        <v>1.6099999999999999</v>
      </c>
      <c r="O308" s="2">
        <f t="shared" si="31"/>
        <v>1.5399999999999998</v>
      </c>
      <c r="P308" s="2">
        <f t="shared" si="32"/>
        <v>57.480000000000004</v>
      </c>
      <c r="Q308" s="2">
        <f t="shared" si="33"/>
        <v>0.33225000000000771</v>
      </c>
      <c r="R308" s="2">
        <f t="shared" si="34"/>
        <v>0.28751428571429238</v>
      </c>
      <c r="S308" s="2">
        <f t="shared" si="35"/>
        <v>4.4735714285715322E-2</v>
      </c>
    </row>
    <row r="309" spans="2:19" x14ac:dyDescent="0.25">
      <c r="B309" s="1">
        <f t="shared" si="36"/>
        <v>303</v>
      </c>
      <c r="C309" s="1">
        <v>422</v>
      </c>
      <c r="D309" s="13">
        <v>66.400000000000006</v>
      </c>
      <c r="E309" s="1" t="s">
        <v>11</v>
      </c>
      <c r="F309" s="2">
        <v>1.635</v>
      </c>
      <c r="G309" s="1" t="s">
        <v>12</v>
      </c>
      <c r="H309" s="1" t="s">
        <v>13</v>
      </c>
      <c r="I309" s="1" t="s">
        <v>14</v>
      </c>
      <c r="J309" s="14">
        <v>0.64207175925925919</v>
      </c>
      <c r="K309" s="15">
        <v>44751</v>
      </c>
      <c r="M309" s="2">
        <v>1.615</v>
      </c>
      <c r="O309" s="2">
        <f t="shared" si="31"/>
        <v>1.5449999999999999</v>
      </c>
      <c r="P309" s="2">
        <f t="shared" si="32"/>
        <v>57.525714285714287</v>
      </c>
      <c r="Q309" s="2">
        <f t="shared" si="33"/>
        <v>0.33174999999999288</v>
      </c>
      <c r="R309" s="2">
        <f t="shared" si="34"/>
        <v>0.28774285714285103</v>
      </c>
      <c r="S309" s="2">
        <f t="shared" si="35"/>
        <v>4.4007142857141857E-2</v>
      </c>
    </row>
    <row r="310" spans="2:19" x14ac:dyDescent="0.25">
      <c r="B310" s="1">
        <f t="shared" si="36"/>
        <v>304</v>
      </c>
      <c r="C310" s="1">
        <v>425</v>
      </c>
      <c r="D310" s="13">
        <v>66.3</v>
      </c>
      <c r="E310" s="1" t="s">
        <v>11</v>
      </c>
      <c r="F310" s="2">
        <v>1.64</v>
      </c>
      <c r="G310" s="1" t="s">
        <v>12</v>
      </c>
      <c r="H310" s="1" t="s">
        <v>13</v>
      </c>
      <c r="I310" s="1" t="s">
        <v>14</v>
      </c>
      <c r="J310" s="14">
        <v>0.64207175925925919</v>
      </c>
      <c r="K310" s="15">
        <v>44751</v>
      </c>
      <c r="M310" s="2">
        <v>1.6199999999999999</v>
      </c>
      <c r="O310" s="2">
        <f t="shared" si="31"/>
        <v>1.5499999999999998</v>
      </c>
      <c r="P310" s="2">
        <f t="shared" si="32"/>
        <v>57.571428571428569</v>
      </c>
      <c r="Q310" s="2">
        <f t="shared" si="33"/>
        <v>0.33150000000000762</v>
      </c>
      <c r="R310" s="2">
        <f t="shared" si="34"/>
        <v>0.28797142857143526</v>
      </c>
      <c r="S310" s="2">
        <f t="shared" si="35"/>
        <v>4.352857142857236E-2</v>
      </c>
    </row>
    <row r="311" spans="2:19" x14ac:dyDescent="0.25">
      <c r="B311" s="1">
        <f t="shared" si="36"/>
        <v>305</v>
      </c>
      <c r="C311" s="1">
        <v>427</v>
      </c>
      <c r="D311" s="13">
        <v>66.3</v>
      </c>
      <c r="E311" s="1" t="s">
        <v>11</v>
      </c>
      <c r="F311" s="2">
        <v>1.645</v>
      </c>
      <c r="G311" s="1" t="s">
        <v>12</v>
      </c>
      <c r="H311" s="1" t="s">
        <v>13</v>
      </c>
      <c r="I311" s="1" t="s">
        <v>14</v>
      </c>
      <c r="J311" s="14">
        <v>0.64207175925925919</v>
      </c>
      <c r="K311" s="15">
        <v>44751</v>
      </c>
      <c r="M311" s="2">
        <v>1.625</v>
      </c>
      <c r="O311" s="2">
        <f t="shared" si="31"/>
        <v>1.5549999999999999</v>
      </c>
      <c r="P311" s="2">
        <f t="shared" si="32"/>
        <v>57.617142857142859</v>
      </c>
      <c r="Q311" s="2">
        <f t="shared" si="33"/>
        <v>0.33124999999999294</v>
      </c>
      <c r="R311" s="2">
        <f t="shared" si="34"/>
        <v>0.28819999999999385</v>
      </c>
      <c r="S311" s="2">
        <f t="shared" si="35"/>
        <v>4.3049999999999089E-2</v>
      </c>
    </row>
    <row r="312" spans="2:19" x14ac:dyDescent="0.25">
      <c r="B312" s="1">
        <f t="shared" si="36"/>
        <v>306</v>
      </c>
      <c r="C312" s="1">
        <v>429</v>
      </c>
      <c r="D312" s="13">
        <v>66.2</v>
      </c>
      <c r="E312" s="1" t="s">
        <v>11</v>
      </c>
      <c r="F312" s="2">
        <v>1.65</v>
      </c>
      <c r="G312" s="1" t="s">
        <v>12</v>
      </c>
      <c r="H312" s="1" t="s">
        <v>13</v>
      </c>
      <c r="I312" s="1" t="s">
        <v>14</v>
      </c>
      <c r="J312" s="14">
        <v>0.64208333333333334</v>
      </c>
      <c r="K312" s="15">
        <v>44751</v>
      </c>
      <c r="M312" s="2">
        <v>1.63</v>
      </c>
      <c r="O312" s="2">
        <f t="shared" si="31"/>
        <v>1.5599999999999998</v>
      </c>
      <c r="P312" s="2">
        <f t="shared" si="32"/>
        <v>57.662857142857149</v>
      </c>
      <c r="Q312" s="2">
        <f t="shared" si="33"/>
        <v>0.33075000000000765</v>
      </c>
      <c r="R312" s="2">
        <f t="shared" si="34"/>
        <v>0.28842857142857814</v>
      </c>
      <c r="S312" s="2">
        <f t="shared" si="35"/>
        <v>4.2321428571429509E-2</v>
      </c>
    </row>
    <row r="313" spans="2:19" x14ac:dyDescent="0.25">
      <c r="B313" s="1">
        <f t="shared" si="36"/>
        <v>307</v>
      </c>
      <c r="C313" s="1">
        <v>431</v>
      </c>
      <c r="D313" s="13">
        <v>66.099999999999994</v>
      </c>
      <c r="E313" s="1" t="s">
        <v>11</v>
      </c>
      <c r="F313" s="2">
        <v>1.655</v>
      </c>
      <c r="G313" s="1" t="s">
        <v>12</v>
      </c>
      <c r="H313" s="1" t="s">
        <v>13</v>
      </c>
      <c r="I313" s="1" t="s">
        <v>14</v>
      </c>
      <c r="J313" s="14">
        <v>0.64208333333333334</v>
      </c>
      <c r="K313" s="15">
        <v>44751</v>
      </c>
      <c r="M313" s="2">
        <v>1.635</v>
      </c>
      <c r="O313" s="2">
        <f t="shared" si="31"/>
        <v>1.5649999999999999</v>
      </c>
      <c r="P313" s="2">
        <f t="shared" si="32"/>
        <v>57.708571428571432</v>
      </c>
      <c r="Q313" s="2">
        <f t="shared" si="33"/>
        <v>0.33099999999999291</v>
      </c>
      <c r="R313" s="2">
        <f t="shared" si="34"/>
        <v>0.28865714285713673</v>
      </c>
      <c r="S313" s="2">
        <f t="shared" si="35"/>
        <v>4.2342857142856183E-2</v>
      </c>
    </row>
    <row r="314" spans="2:19" x14ac:dyDescent="0.25">
      <c r="B314" s="1">
        <f t="shared" si="36"/>
        <v>308</v>
      </c>
      <c r="C314" s="1">
        <v>434</v>
      </c>
      <c r="D314" s="13">
        <v>66.3</v>
      </c>
      <c r="E314" s="1" t="s">
        <v>11</v>
      </c>
      <c r="F314" s="2">
        <v>1.66</v>
      </c>
      <c r="G314" s="1" t="s">
        <v>12</v>
      </c>
      <c r="H314" s="1" t="s">
        <v>13</v>
      </c>
      <c r="I314" s="1" t="s">
        <v>14</v>
      </c>
      <c r="J314" s="14">
        <v>0.64208333333333334</v>
      </c>
      <c r="K314" s="15">
        <v>44751</v>
      </c>
      <c r="M314" s="2">
        <v>1.64</v>
      </c>
      <c r="O314" s="2">
        <f t="shared" si="31"/>
        <v>1.5699999999999998</v>
      </c>
      <c r="P314" s="2">
        <f t="shared" si="32"/>
        <v>57.754285714285714</v>
      </c>
      <c r="Q314" s="2">
        <f t="shared" si="33"/>
        <v>0.33175000000000765</v>
      </c>
      <c r="R314" s="2">
        <f t="shared" si="34"/>
        <v>0.28888571428572096</v>
      </c>
      <c r="S314" s="2">
        <f t="shared" si="35"/>
        <v>4.2864285714286687E-2</v>
      </c>
    </row>
    <row r="315" spans="2:19" x14ac:dyDescent="0.25">
      <c r="B315" s="1">
        <f t="shared" si="36"/>
        <v>309</v>
      </c>
      <c r="C315" s="1">
        <v>437</v>
      </c>
      <c r="D315" s="13">
        <v>66.400000000000006</v>
      </c>
      <c r="E315" s="1" t="s">
        <v>11</v>
      </c>
      <c r="F315" s="2">
        <v>1.665</v>
      </c>
      <c r="G315" s="1" t="s">
        <v>12</v>
      </c>
      <c r="H315" s="1" t="s">
        <v>13</v>
      </c>
      <c r="I315" s="1" t="s">
        <v>14</v>
      </c>
      <c r="J315" s="14">
        <v>0.64208333333333334</v>
      </c>
      <c r="K315" s="15">
        <v>44751</v>
      </c>
      <c r="M315" s="2">
        <v>1.645</v>
      </c>
      <c r="O315" s="2">
        <f t="shared" si="31"/>
        <v>1.575</v>
      </c>
      <c r="P315" s="2">
        <f t="shared" si="32"/>
        <v>57.800000000000004</v>
      </c>
      <c r="Q315" s="2">
        <f t="shared" si="33"/>
        <v>0.33174999999999288</v>
      </c>
      <c r="R315" s="2">
        <f t="shared" si="34"/>
        <v>0.28911428571427955</v>
      </c>
      <c r="S315" s="2">
        <f t="shared" si="35"/>
        <v>4.2635714285713333E-2</v>
      </c>
    </row>
    <row r="316" spans="2:19" x14ac:dyDescent="0.25">
      <c r="B316" s="1">
        <f t="shared" si="36"/>
        <v>310</v>
      </c>
      <c r="C316" s="1">
        <v>440</v>
      </c>
      <c r="D316" s="13">
        <v>66.3</v>
      </c>
      <c r="E316" s="1" t="s">
        <v>11</v>
      </c>
      <c r="F316" s="2">
        <v>1.67</v>
      </c>
      <c r="G316" s="1" t="s">
        <v>12</v>
      </c>
      <c r="H316" s="1" t="s">
        <v>13</v>
      </c>
      <c r="I316" s="1" t="s">
        <v>14</v>
      </c>
      <c r="J316" s="14">
        <v>0.64209490740740738</v>
      </c>
      <c r="K316" s="15">
        <v>44751</v>
      </c>
      <c r="M316" s="2">
        <v>1.65</v>
      </c>
      <c r="O316" s="2">
        <f t="shared" si="31"/>
        <v>1.5799999999999998</v>
      </c>
      <c r="P316" s="2">
        <f t="shared" si="32"/>
        <v>57.845714285714287</v>
      </c>
      <c r="Q316" s="2">
        <f t="shared" si="33"/>
        <v>0.33275000000000765</v>
      </c>
      <c r="R316" s="2">
        <f t="shared" si="34"/>
        <v>0.28934285714286384</v>
      </c>
      <c r="S316" s="2">
        <f t="shared" si="35"/>
        <v>4.340714285714381E-2</v>
      </c>
    </row>
    <row r="317" spans="2:19" x14ac:dyDescent="0.25">
      <c r="B317" s="1">
        <f t="shared" si="36"/>
        <v>311</v>
      </c>
      <c r="C317" s="1">
        <v>443</v>
      </c>
      <c r="D317" s="13">
        <v>66.8</v>
      </c>
      <c r="E317" s="1" t="s">
        <v>11</v>
      </c>
      <c r="F317" s="2">
        <v>1.675</v>
      </c>
      <c r="G317" s="1" t="s">
        <v>12</v>
      </c>
      <c r="H317" s="1" t="s">
        <v>13</v>
      </c>
      <c r="I317" s="1" t="s">
        <v>14</v>
      </c>
      <c r="J317" s="14">
        <v>0.64209490740740738</v>
      </c>
      <c r="K317" s="15">
        <v>44751</v>
      </c>
      <c r="M317" s="2">
        <v>1.655</v>
      </c>
      <c r="O317" s="2">
        <f t="shared" si="31"/>
        <v>1.585</v>
      </c>
      <c r="P317" s="2">
        <f t="shared" si="32"/>
        <v>57.891428571428577</v>
      </c>
      <c r="Q317" s="2">
        <f t="shared" si="33"/>
        <v>0.33274999999999288</v>
      </c>
      <c r="R317" s="2">
        <f t="shared" si="34"/>
        <v>0.28957142857142243</v>
      </c>
      <c r="S317" s="2">
        <f t="shared" si="35"/>
        <v>4.3178571428570456E-2</v>
      </c>
    </row>
    <row r="318" spans="2:19" x14ac:dyDescent="0.25">
      <c r="B318" s="1">
        <f t="shared" si="36"/>
        <v>312</v>
      </c>
      <c r="C318" s="1">
        <v>445</v>
      </c>
      <c r="D318" s="13">
        <v>66.3</v>
      </c>
      <c r="E318" s="1" t="s">
        <v>11</v>
      </c>
      <c r="F318" s="2">
        <v>1.68</v>
      </c>
      <c r="G318" s="1" t="s">
        <v>12</v>
      </c>
      <c r="H318" s="1" t="s">
        <v>13</v>
      </c>
      <c r="I318" s="1" t="s">
        <v>14</v>
      </c>
      <c r="J318" s="14">
        <v>0.64209490740740738</v>
      </c>
      <c r="K318" s="15">
        <v>44751</v>
      </c>
      <c r="M318" s="2">
        <v>1.66</v>
      </c>
      <c r="O318" s="2">
        <f t="shared" si="31"/>
        <v>1.5899999999999999</v>
      </c>
      <c r="P318" s="2">
        <f t="shared" si="32"/>
        <v>57.937142857142859</v>
      </c>
      <c r="Q318" s="2">
        <f t="shared" si="33"/>
        <v>0.33150000000000762</v>
      </c>
      <c r="R318" s="2">
        <f t="shared" si="34"/>
        <v>0.28980000000000672</v>
      </c>
      <c r="S318" s="2">
        <f t="shared" si="35"/>
        <v>4.1700000000000903E-2</v>
      </c>
    </row>
    <row r="319" spans="2:19" x14ac:dyDescent="0.25">
      <c r="B319" s="1">
        <f t="shared" si="36"/>
        <v>313</v>
      </c>
      <c r="C319" s="1">
        <v>447</v>
      </c>
      <c r="D319" s="13">
        <v>66.3</v>
      </c>
      <c r="E319" s="1" t="s">
        <v>11</v>
      </c>
      <c r="F319" s="2">
        <v>1.6850000000000001</v>
      </c>
      <c r="G319" s="1" t="s">
        <v>12</v>
      </c>
      <c r="H319" s="1" t="s">
        <v>13</v>
      </c>
      <c r="I319" s="1" t="s">
        <v>14</v>
      </c>
      <c r="J319" s="14">
        <v>0.64209490740740738</v>
      </c>
      <c r="K319" s="15">
        <v>44751</v>
      </c>
      <c r="M319" s="2">
        <v>1.665</v>
      </c>
      <c r="O319" s="2">
        <f t="shared" si="31"/>
        <v>1.595</v>
      </c>
      <c r="P319" s="2">
        <f t="shared" si="32"/>
        <v>57.982857142857142</v>
      </c>
      <c r="Q319" s="2">
        <f t="shared" si="33"/>
        <v>0.33074999999999299</v>
      </c>
      <c r="R319" s="2">
        <f t="shared" si="34"/>
        <v>0.29002857142856525</v>
      </c>
      <c r="S319" s="2">
        <f t="shared" si="35"/>
        <v>4.0721428571427742E-2</v>
      </c>
    </row>
    <row r="320" spans="2:19" x14ac:dyDescent="0.25">
      <c r="B320" s="1">
        <f t="shared" si="36"/>
        <v>314</v>
      </c>
      <c r="C320" s="1">
        <v>449</v>
      </c>
      <c r="D320" s="13">
        <v>66</v>
      </c>
      <c r="E320" s="1" t="s">
        <v>11</v>
      </c>
      <c r="F320" s="2">
        <v>1.69</v>
      </c>
      <c r="G320" s="1" t="s">
        <v>12</v>
      </c>
      <c r="H320" s="1" t="s">
        <v>13</v>
      </c>
      <c r="I320" s="1" t="s">
        <v>14</v>
      </c>
      <c r="J320" s="14">
        <v>0.64210648148148153</v>
      </c>
      <c r="K320" s="15">
        <v>44751</v>
      </c>
      <c r="M320" s="2">
        <v>1.67</v>
      </c>
      <c r="O320" s="2">
        <f t="shared" si="31"/>
        <v>1.5999999999999999</v>
      </c>
      <c r="P320" s="2">
        <f t="shared" si="32"/>
        <v>58.028571428571432</v>
      </c>
      <c r="Q320" s="2">
        <f t="shared" si="33"/>
        <v>0.32925000000000759</v>
      </c>
      <c r="R320" s="2">
        <f t="shared" si="34"/>
        <v>0.2902571428571496</v>
      </c>
      <c r="S320" s="2">
        <f t="shared" si="35"/>
        <v>3.8992857142857995E-2</v>
      </c>
    </row>
    <row r="321" spans="2:19" x14ac:dyDescent="0.25">
      <c r="B321" s="1">
        <f t="shared" si="36"/>
        <v>315</v>
      </c>
      <c r="C321" s="1">
        <v>450</v>
      </c>
      <c r="D321" s="13">
        <v>65.7</v>
      </c>
      <c r="E321" s="1" t="s">
        <v>11</v>
      </c>
      <c r="F321" s="2">
        <v>1.6950000000000001</v>
      </c>
      <c r="G321" s="1" t="s">
        <v>12</v>
      </c>
      <c r="H321" s="1" t="s">
        <v>13</v>
      </c>
      <c r="I321" s="1" t="s">
        <v>14</v>
      </c>
      <c r="J321" s="14">
        <v>0.64210648148148153</v>
      </c>
      <c r="K321" s="15">
        <v>44751</v>
      </c>
      <c r="M321" s="2">
        <v>1.675</v>
      </c>
      <c r="O321" s="2">
        <f t="shared" si="31"/>
        <v>1.605</v>
      </c>
      <c r="P321" s="2">
        <f t="shared" si="32"/>
        <v>58.074285714285722</v>
      </c>
      <c r="Q321" s="2">
        <f t="shared" si="33"/>
        <v>0.32774999999999305</v>
      </c>
      <c r="R321" s="2">
        <f t="shared" si="34"/>
        <v>0.29048571428570813</v>
      </c>
      <c r="S321" s="2">
        <f t="shared" si="35"/>
        <v>3.7264285714284917E-2</v>
      </c>
    </row>
    <row r="322" spans="2:19" x14ac:dyDescent="0.25">
      <c r="B322" s="1">
        <f t="shared" si="36"/>
        <v>316</v>
      </c>
      <c r="C322" s="1">
        <v>453</v>
      </c>
      <c r="D322" s="13">
        <v>65.400000000000006</v>
      </c>
      <c r="E322" s="1" t="s">
        <v>11</v>
      </c>
      <c r="F322" s="2">
        <v>1.7</v>
      </c>
      <c r="G322" s="1" t="s">
        <v>12</v>
      </c>
      <c r="H322" s="1" t="s">
        <v>13</v>
      </c>
      <c r="I322" s="1" t="s">
        <v>14</v>
      </c>
      <c r="J322" s="14">
        <v>0.64210648148148153</v>
      </c>
      <c r="K322" s="15">
        <v>44751</v>
      </c>
      <c r="M322" s="2">
        <v>1.68</v>
      </c>
      <c r="O322" s="2">
        <f t="shared" si="31"/>
        <v>1.6099999999999999</v>
      </c>
      <c r="P322" s="2">
        <f t="shared" si="32"/>
        <v>58.120000000000005</v>
      </c>
      <c r="Q322" s="2">
        <f t="shared" si="33"/>
        <v>0.32650000000000762</v>
      </c>
      <c r="R322" s="2">
        <f t="shared" si="34"/>
        <v>0.29071428571429242</v>
      </c>
      <c r="S322" s="2">
        <f t="shared" si="35"/>
        <v>3.5785714285715198E-2</v>
      </c>
    </row>
    <row r="323" spans="2:19" x14ac:dyDescent="0.25">
      <c r="B323" s="1">
        <f t="shared" si="36"/>
        <v>317</v>
      </c>
      <c r="C323" s="1">
        <v>455</v>
      </c>
      <c r="D323" s="13">
        <v>65.2</v>
      </c>
      <c r="E323" s="1" t="s">
        <v>11</v>
      </c>
      <c r="F323" s="2">
        <v>1.7050000000000001</v>
      </c>
      <c r="G323" s="1" t="s">
        <v>12</v>
      </c>
      <c r="H323" s="1" t="s">
        <v>13</v>
      </c>
      <c r="I323" s="1" t="s">
        <v>14</v>
      </c>
      <c r="J323" s="14">
        <v>0.64210648148148153</v>
      </c>
      <c r="K323" s="15">
        <v>44751</v>
      </c>
      <c r="M323" s="2">
        <v>1.6850000000000001</v>
      </c>
      <c r="O323" s="2">
        <f t="shared" si="31"/>
        <v>1.615</v>
      </c>
      <c r="P323" s="2">
        <f t="shared" si="32"/>
        <v>58.165714285714287</v>
      </c>
      <c r="Q323" s="2">
        <f t="shared" si="33"/>
        <v>0.32499999999999307</v>
      </c>
      <c r="R323" s="2">
        <f t="shared" si="34"/>
        <v>0.29094285714285095</v>
      </c>
      <c r="S323" s="2">
        <f t="shared" si="35"/>
        <v>3.405714285714212E-2</v>
      </c>
    </row>
    <row r="324" spans="2:19" x14ac:dyDescent="0.25">
      <c r="B324" s="1">
        <f t="shared" si="36"/>
        <v>318</v>
      </c>
      <c r="C324" s="1">
        <v>456</v>
      </c>
      <c r="D324" s="13">
        <v>64.8</v>
      </c>
      <c r="E324" s="1" t="s">
        <v>11</v>
      </c>
      <c r="F324" s="2">
        <v>1.71</v>
      </c>
      <c r="G324" s="1" t="s">
        <v>12</v>
      </c>
      <c r="H324" s="1" t="s">
        <v>13</v>
      </c>
      <c r="I324" s="1" t="s">
        <v>14</v>
      </c>
      <c r="J324" s="14">
        <v>0.64210648148148153</v>
      </c>
      <c r="K324" s="15">
        <v>44751</v>
      </c>
      <c r="M324" s="2">
        <v>1.69</v>
      </c>
      <c r="O324" s="2">
        <f t="shared" si="31"/>
        <v>1.6199999999999999</v>
      </c>
      <c r="P324" s="2">
        <f t="shared" si="32"/>
        <v>58.21142857142857</v>
      </c>
      <c r="Q324" s="2">
        <f t="shared" si="33"/>
        <v>0.32325000000000748</v>
      </c>
      <c r="R324" s="2">
        <f t="shared" si="34"/>
        <v>0.2911714285714353</v>
      </c>
      <c r="S324" s="2">
        <f t="shared" si="35"/>
        <v>3.2078571428572178E-2</v>
      </c>
    </row>
    <row r="325" spans="2:19" x14ac:dyDescent="0.25">
      <c r="B325" s="1">
        <f t="shared" si="36"/>
        <v>319</v>
      </c>
      <c r="C325" s="1">
        <v>458</v>
      </c>
      <c r="D325" s="13">
        <v>64.5</v>
      </c>
      <c r="E325" s="1" t="s">
        <v>11</v>
      </c>
      <c r="F325" s="2">
        <v>1.7150000000000001</v>
      </c>
      <c r="G325" s="1" t="s">
        <v>12</v>
      </c>
      <c r="H325" s="1" t="s">
        <v>13</v>
      </c>
      <c r="I325" s="1" t="s">
        <v>14</v>
      </c>
      <c r="J325" s="14">
        <v>0.64210648148148153</v>
      </c>
      <c r="K325" s="15">
        <v>44751</v>
      </c>
      <c r="M325" s="2">
        <v>1.6950000000000001</v>
      </c>
      <c r="O325" s="2">
        <f t="shared" si="31"/>
        <v>1.625</v>
      </c>
      <c r="P325" s="2">
        <f t="shared" si="32"/>
        <v>58.25714285714286</v>
      </c>
      <c r="Q325" s="2">
        <f t="shared" si="33"/>
        <v>0.32224999999999315</v>
      </c>
      <c r="R325" s="2">
        <f t="shared" si="34"/>
        <v>0.29139999999999378</v>
      </c>
      <c r="S325" s="2">
        <f t="shared" si="35"/>
        <v>3.0849999999999378E-2</v>
      </c>
    </row>
    <row r="326" spans="2:19" x14ac:dyDescent="0.25">
      <c r="B326" s="1">
        <f t="shared" si="36"/>
        <v>320</v>
      </c>
      <c r="C326" s="1">
        <v>460</v>
      </c>
      <c r="D326" s="13">
        <v>64.400000000000006</v>
      </c>
      <c r="E326" s="1" t="s">
        <v>11</v>
      </c>
      <c r="F326" s="2">
        <v>1.72</v>
      </c>
      <c r="G326" s="1" t="s">
        <v>12</v>
      </c>
      <c r="H326" s="1" t="s">
        <v>13</v>
      </c>
      <c r="I326" s="1" t="s">
        <v>14</v>
      </c>
      <c r="J326" s="14">
        <v>0.64211805555555557</v>
      </c>
      <c r="K326" s="15">
        <v>44751</v>
      </c>
      <c r="M326" s="2">
        <v>1.7</v>
      </c>
      <c r="O326" s="2">
        <f t="shared" si="31"/>
        <v>1.63</v>
      </c>
      <c r="P326" s="2">
        <f t="shared" si="32"/>
        <v>58.30285714285715</v>
      </c>
      <c r="Q326" s="2">
        <f t="shared" si="33"/>
        <v>0.32175000000000742</v>
      </c>
      <c r="R326" s="2">
        <f t="shared" si="34"/>
        <v>0.29162857142857818</v>
      </c>
      <c r="S326" s="2">
        <f t="shared" si="35"/>
        <v>3.0121428571429243E-2</v>
      </c>
    </row>
    <row r="327" spans="2:19" x14ac:dyDescent="0.25">
      <c r="B327" s="1">
        <f t="shared" si="36"/>
        <v>321</v>
      </c>
      <c r="C327" s="1">
        <v>462</v>
      </c>
      <c r="D327" s="13">
        <v>64.3</v>
      </c>
      <c r="E327" s="1" t="s">
        <v>11</v>
      </c>
      <c r="F327" s="2">
        <v>1.7250000000000001</v>
      </c>
      <c r="G327" s="1" t="s">
        <v>12</v>
      </c>
      <c r="H327" s="1" t="s">
        <v>13</v>
      </c>
      <c r="I327" s="1" t="s">
        <v>14</v>
      </c>
      <c r="J327" s="14">
        <v>0.64211805555555557</v>
      </c>
      <c r="K327" s="15">
        <v>44751</v>
      </c>
      <c r="M327" s="2">
        <v>1.7050000000000001</v>
      </c>
      <c r="O327" s="2">
        <f t="shared" si="31"/>
        <v>1.635</v>
      </c>
      <c r="P327" s="2">
        <f t="shared" si="32"/>
        <v>58.348571428571432</v>
      </c>
      <c r="Q327" s="2">
        <f t="shared" si="33"/>
        <v>0.32099999999999312</v>
      </c>
      <c r="R327" s="2">
        <f t="shared" si="34"/>
        <v>0.29185714285713665</v>
      </c>
      <c r="S327" s="2">
        <f t="shared" si="35"/>
        <v>2.9142857142856471E-2</v>
      </c>
    </row>
    <row r="328" spans="2:19" x14ac:dyDescent="0.25">
      <c r="B328" s="1">
        <f t="shared" si="36"/>
        <v>322</v>
      </c>
      <c r="C328" s="1">
        <v>463</v>
      </c>
      <c r="D328" s="13">
        <v>64.099999999999994</v>
      </c>
      <c r="E328" s="1" t="s">
        <v>11</v>
      </c>
      <c r="F328" s="2">
        <v>1.73</v>
      </c>
      <c r="G328" s="1" t="s">
        <v>12</v>
      </c>
      <c r="H328" s="1" t="s">
        <v>13</v>
      </c>
      <c r="I328" s="1" t="s">
        <v>14</v>
      </c>
      <c r="J328" s="14">
        <v>0.64211805555555557</v>
      </c>
      <c r="K328" s="15">
        <v>44751</v>
      </c>
      <c r="M328" s="2">
        <v>1.71</v>
      </c>
      <c r="O328" s="2">
        <f t="shared" ref="O328:O391" si="37">M328-$X$23</f>
        <v>1.64</v>
      </c>
      <c r="P328" s="2">
        <f t="shared" ref="P328:P391" si="38">O328*$AC$21+$Y$23</f>
        <v>58.394285714285715</v>
      </c>
      <c r="Q328" s="2">
        <f t="shared" ref="Q328:Q391" si="39">((D328+D329)/2)*(M329-M328)</f>
        <v>0.32050000000000739</v>
      </c>
      <c r="R328" s="2">
        <f t="shared" ref="R328:R391" si="40">((P328+P329)/2)*(O329-O328)</f>
        <v>0.29208571428572105</v>
      </c>
      <c r="S328" s="2">
        <f t="shared" ref="S328:S391" si="41">Q328-R328</f>
        <v>2.8414285714286336E-2</v>
      </c>
    </row>
    <row r="329" spans="2:19" x14ac:dyDescent="0.25">
      <c r="B329" s="1">
        <f t="shared" ref="B329:B392" si="42">B328+1</f>
        <v>323</v>
      </c>
      <c r="C329" s="1">
        <v>465</v>
      </c>
      <c r="D329" s="13">
        <v>64.099999999999994</v>
      </c>
      <c r="E329" s="1" t="s">
        <v>11</v>
      </c>
      <c r="F329" s="2">
        <v>1.7350000000000001</v>
      </c>
      <c r="G329" s="1" t="s">
        <v>12</v>
      </c>
      <c r="H329" s="1" t="s">
        <v>13</v>
      </c>
      <c r="I329" s="1" t="s">
        <v>14</v>
      </c>
      <c r="J329" s="14">
        <v>0.64211805555555557</v>
      </c>
      <c r="K329" s="15">
        <v>44751</v>
      </c>
      <c r="M329" s="2">
        <v>1.7150000000000001</v>
      </c>
      <c r="O329" s="2">
        <f t="shared" si="37"/>
        <v>1.645</v>
      </c>
      <c r="P329" s="2">
        <f t="shared" si="38"/>
        <v>58.440000000000005</v>
      </c>
      <c r="Q329" s="2">
        <f t="shared" si="39"/>
        <v>0.32049999999999312</v>
      </c>
      <c r="R329" s="2">
        <f t="shared" si="40"/>
        <v>0.29231428571427948</v>
      </c>
      <c r="S329" s="2">
        <f t="shared" si="41"/>
        <v>2.8185714285713648E-2</v>
      </c>
    </row>
    <row r="330" spans="2:19" x14ac:dyDescent="0.25">
      <c r="B330" s="1">
        <f t="shared" si="42"/>
        <v>324</v>
      </c>
      <c r="C330" s="1">
        <v>467</v>
      </c>
      <c r="D330" s="13">
        <v>64.099999999999994</v>
      </c>
      <c r="E330" s="1" t="s">
        <v>11</v>
      </c>
      <c r="F330" s="2">
        <v>1.74</v>
      </c>
      <c r="G330" s="1" t="s">
        <v>12</v>
      </c>
      <c r="H330" s="1" t="s">
        <v>13</v>
      </c>
      <c r="I330" s="1" t="s">
        <v>14</v>
      </c>
      <c r="J330" s="14">
        <v>0.64211805555555557</v>
      </c>
      <c r="K330" s="15">
        <v>44751</v>
      </c>
      <c r="M330" s="2">
        <v>1.72</v>
      </c>
      <c r="O330" s="2">
        <f t="shared" si="37"/>
        <v>1.65</v>
      </c>
      <c r="P330" s="2">
        <f t="shared" si="38"/>
        <v>58.485714285714288</v>
      </c>
      <c r="Q330" s="2">
        <f t="shared" si="39"/>
        <v>0.32025000000000736</v>
      </c>
      <c r="R330" s="2">
        <f t="shared" si="40"/>
        <v>0.29254285714286388</v>
      </c>
      <c r="S330" s="2">
        <f t="shared" si="41"/>
        <v>2.7707142857143485E-2</v>
      </c>
    </row>
    <row r="331" spans="2:19" x14ac:dyDescent="0.25">
      <c r="B331" s="1">
        <f t="shared" si="42"/>
        <v>325</v>
      </c>
      <c r="C331" s="1">
        <v>469</v>
      </c>
      <c r="D331" s="13">
        <v>64</v>
      </c>
      <c r="E331" s="1" t="s">
        <v>11</v>
      </c>
      <c r="F331" s="2">
        <v>1.7450000000000001</v>
      </c>
      <c r="G331" s="1" t="s">
        <v>12</v>
      </c>
      <c r="H331" s="1" t="s">
        <v>13</v>
      </c>
      <c r="I331" s="1" t="s">
        <v>14</v>
      </c>
      <c r="J331" s="14">
        <v>0.64212962962962961</v>
      </c>
      <c r="K331" s="15">
        <v>44751</v>
      </c>
      <c r="M331" s="2">
        <v>1.7250000000000001</v>
      </c>
      <c r="O331" s="2">
        <f t="shared" si="37"/>
        <v>1.655</v>
      </c>
      <c r="P331" s="2">
        <f t="shared" si="38"/>
        <v>58.531428571428577</v>
      </c>
      <c r="Q331" s="2">
        <f t="shared" si="39"/>
        <v>0.31999999999999318</v>
      </c>
      <c r="R331" s="2">
        <f t="shared" si="40"/>
        <v>0.29277142857142235</v>
      </c>
      <c r="S331" s="2">
        <f t="shared" si="41"/>
        <v>2.7228571428570825E-2</v>
      </c>
    </row>
    <row r="332" spans="2:19" x14ac:dyDescent="0.25">
      <c r="B332" s="1">
        <f t="shared" si="42"/>
        <v>326</v>
      </c>
      <c r="C332" s="1">
        <v>470</v>
      </c>
      <c r="D332" s="13">
        <v>64</v>
      </c>
      <c r="E332" s="1" t="s">
        <v>11</v>
      </c>
      <c r="F332" s="2">
        <v>1.75</v>
      </c>
      <c r="G332" s="1" t="s">
        <v>12</v>
      </c>
      <c r="H332" s="1" t="s">
        <v>13</v>
      </c>
      <c r="I332" s="1" t="s">
        <v>14</v>
      </c>
      <c r="J332" s="14">
        <v>0.64212962962962961</v>
      </c>
      <c r="K332" s="15">
        <v>44751</v>
      </c>
      <c r="M332" s="2">
        <v>1.73</v>
      </c>
      <c r="O332" s="2">
        <f t="shared" si="37"/>
        <v>1.66</v>
      </c>
      <c r="P332" s="2">
        <f t="shared" si="38"/>
        <v>58.57714285714286</v>
      </c>
      <c r="Q332" s="2">
        <f t="shared" si="39"/>
        <v>0.32024999999999315</v>
      </c>
      <c r="R332" s="2">
        <f t="shared" si="40"/>
        <v>0.29299999999999377</v>
      </c>
      <c r="S332" s="2">
        <f t="shared" si="41"/>
        <v>2.7249999999999386E-2</v>
      </c>
    </row>
    <row r="333" spans="2:19" x14ac:dyDescent="0.25">
      <c r="B333" s="1">
        <f t="shared" si="42"/>
        <v>327</v>
      </c>
      <c r="C333" s="1">
        <v>472</v>
      </c>
      <c r="D333" s="13">
        <v>64.099999999999994</v>
      </c>
      <c r="E333" s="1" t="s">
        <v>11</v>
      </c>
      <c r="F333" s="2">
        <v>1.7549999999999999</v>
      </c>
      <c r="G333" s="1" t="s">
        <v>12</v>
      </c>
      <c r="H333" s="1" t="s">
        <v>13</v>
      </c>
      <c r="I333" s="1" t="s">
        <v>14</v>
      </c>
      <c r="J333" s="14">
        <v>0.64212962962962961</v>
      </c>
      <c r="K333" s="15">
        <v>44751</v>
      </c>
      <c r="M333" s="2">
        <v>1.7349999999999999</v>
      </c>
      <c r="O333" s="2">
        <f t="shared" si="37"/>
        <v>1.6649999999999998</v>
      </c>
      <c r="P333" s="2">
        <f t="shared" si="38"/>
        <v>58.622857142857143</v>
      </c>
      <c r="Q333" s="2">
        <f t="shared" si="39"/>
        <v>0.32050000000000739</v>
      </c>
      <c r="R333" s="2">
        <f t="shared" si="40"/>
        <v>0.29322857142857822</v>
      </c>
      <c r="S333" s="2">
        <f t="shared" si="41"/>
        <v>2.7271428571429168E-2</v>
      </c>
    </row>
    <row r="334" spans="2:19" x14ac:dyDescent="0.25">
      <c r="B334" s="1">
        <f t="shared" si="42"/>
        <v>328</v>
      </c>
      <c r="C334" s="1">
        <v>474</v>
      </c>
      <c r="D334" s="13">
        <v>64.099999999999994</v>
      </c>
      <c r="E334" s="1" t="s">
        <v>11</v>
      </c>
      <c r="F334" s="2">
        <v>1.76</v>
      </c>
      <c r="G334" s="1" t="s">
        <v>12</v>
      </c>
      <c r="H334" s="1" t="s">
        <v>13</v>
      </c>
      <c r="I334" s="1" t="s">
        <v>14</v>
      </c>
      <c r="J334" s="14">
        <v>0.64212962962962961</v>
      </c>
      <c r="K334" s="15">
        <v>44751</v>
      </c>
      <c r="M334" s="2">
        <v>1.74</v>
      </c>
      <c r="O334" s="2">
        <f t="shared" si="37"/>
        <v>1.67</v>
      </c>
      <c r="P334" s="2">
        <f t="shared" si="38"/>
        <v>58.668571428571433</v>
      </c>
      <c r="Q334" s="2">
        <f t="shared" si="39"/>
        <v>0.31999999999999318</v>
      </c>
      <c r="R334" s="2">
        <f t="shared" si="40"/>
        <v>0.29345714285713659</v>
      </c>
      <c r="S334" s="2">
        <f t="shared" si="41"/>
        <v>2.6542857142856591E-2</v>
      </c>
    </row>
    <row r="335" spans="2:19" x14ac:dyDescent="0.25">
      <c r="B335" s="1">
        <f t="shared" si="42"/>
        <v>329</v>
      </c>
      <c r="C335" s="1">
        <v>476</v>
      </c>
      <c r="D335" s="13">
        <v>63.9</v>
      </c>
      <c r="E335" s="1" t="s">
        <v>11</v>
      </c>
      <c r="F335" s="2">
        <v>1.7649999999999999</v>
      </c>
      <c r="G335" s="1" t="s">
        <v>12</v>
      </c>
      <c r="H335" s="1" t="s">
        <v>13</v>
      </c>
      <c r="I335" s="1" t="s">
        <v>14</v>
      </c>
      <c r="J335" s="14">
        <v>0.64212962962962961</v>
      </c>
      <c r="K335" s="15">
        <v>44751</v>
      </c>
      <c r="M335" s="2">
        <v>1.7449999999999999</v>
      </c>
      <c r="O335" s="2">
        <f t="shared" si="37"/>
        <v>1.6749999999999998</v>
      </c>
      <c r="P335" s="2">
        <f t="shared" si="38"/>
        <v>58.714285714285715</v>
      </c>
      <c r="Q335" s="2">
        <f t="shared" si="39"/>
        <v>0.31950000000000739</v>
      </c>
      <c r="R335" s="2">
        <f t="shared" si="40"/>
        <v>0.29368571428572104</v>
      </c>
      <c r="S335" s="2">
        <f t="shared" si="41"/>
        <v>2.5814285714286345E-2</v>
      </c>
    </row>
    <row r="336" spans="2:19" x14ac:dyDescent="0.25">
      <c r="B336" s="1">
        <f t="shared" si="42"/>
        <v>330</v>
      </c>
      <c r="C336" s="1">
        <v>478</v>
      </c>
      <c r="D336" s="13">
        <v>63.9</v>
      </c>
      <c r="E336" s="1" t="s">
        <v>11</v>
      </c>
      <c r="F336" s="2">
        <v>1.77</v>
      </c>
      <c r="G336" s="1" t="s">
        <v>12</v>
      </c>
      <c r="H336" s="1" t="s">
        <v>13</v>
      </c>
      <c r="I336" s="1" t="s">
        <v>14</v>
      </c>
      <c r="J336" s="14">
        <v>0.64212962962962961</v>
      </c>
      <c r="K336" s="15">
        <v>44751</v>
      </c>
      <c r="M336" s="2">
        <v>1.75</v>
      </c>
      <c r="O336" s="2">
        <f t="shared" si="37"/>
        <v>1.68</v>
      </c>
      <c r="P336" s="2">
        <f t="shared" si="38"/>
        <v>58.760000000000005</v>
      </c>
      <c r="Q336" s="2">
        <f t="shared" si="39"/>
        <v>0.31899999999999318</v>
      </c>
      <c r="R336" s="2">
        <f t="shared" si="40"/>
        <v>0.29391428571427947</v>
      </c>
      <c r="S336" s="2">
        <f t="shared" si="41"/>
        <v>2.5085714285713712E-2</v>
      </c>
    </row>
    <row r="337" spans="2:19" x14ac:dyDescent="0.25">
      <c r="B337" s="1">
        <f t="shared" si="42"/>
        <v>331</v>
      </c>
      <c r="C337" s="1">
        <v>481</v>
      </c>
      <c r="D337" s="13">
        <v>63.7</v>
      </c>
      <c r="E337" s="1" t="s">
        <v>11</v>
      </c>
      <c r="F337" s="2">
        <v>1.7749999999999999</v>
      </c>
      <c r="G337" s="1" t="s">
        <v>12</v>
      </c>
      <c r="H337" s="1" t="s">
        <v>13</v>
      </c>
      <c r="I337" s="1" t="s">
        <v>14</v>
      </c>
      <c r="J337" s="14">
        <v>0.64214120370370364</v>
      </c>
      <c r="K337" s="15">
        <v>44751</v>
      </c>
      <c r="M337" s="2">
        <v>1.7549999999999999</v>
      </c>
      <c r="O337" s="2">
        <f t="shared" si="37"/>
        <v>1.6849999999999998</v>
      </c>
      <c r="P337" s="2">
        <f t="shared" si="38"/>
        <v>58.805714285714288</v>
      </c>
      <c r="Q337" s="2">
        <f t="shared" si="39"/>
        <v>0.31800000000000733</v>
      </c>
      <c r="R337" s="2">
        <f t="shared" si="40"/>
        <v>0.29414285714286392</v>
      </c>
      <c r="S337" s="2">
        <f t="shared" si="41"/>
        <v>2.385714285714341E-2</v>
      </c>
    </row>
    <row r="338" spans="2:19" x14ac:dyDescent="0.25">
      <c r="B338" s="1">
        <f t="shared" si="42"/>
        <v>332</v>
      </c>
      <c r="C338" s="1">
        <v>483</v>
      </c>
      <c r="D338" s="13">
        <v>63.5</v>
      </c>
      <c r="E338" s="1" t="s">
        <v>11</v>
      </c>
      <c r="F338" s="2">
        <v>1.78</v>
      </c>
      <c r="G338" s="1" t="s">
        <v>12</v>
      </c>
      <c r="H338" s="1" t="s">
        <v>13</v>
      </c>
      <c r="I338" s="1" t="s">
        <v>14</v>
      </c>
      <c r="J338" s="14">
        <v>0.64214120370370364</v>
      </c>
      <c r="K338" s="15">
        <v>44751</v>
      </c>
      <c r="M338" s="2">
        <v>1.76</v>
      </c>
      <c r="O338" s="2">
        <f t="shared" si="37"/>
        <v>1.69</v>
      </c>
      <c r="P338" s="2">
        <f t="shared" si="38"/>
        <v>58.851428571428571</v>
      </c>
      <c r="Q338" s="2">
        <f t="shared" si="39"/>
        <v>0.31724999999999326</v>
      </c>
      <c r="R338" s="2">
        <f t="shared" si="40"/>
        <v>0.29437142857142234</v>
      </c>
      <c r="S338" s="2">
        <f t="shared" si="41"/>
        <v>2.2878571428570915E-2</v>
      </c>
    </row>
    <row r="339" spans="2:19" x14ac:dyDescent="0.25">
      <c r="B339" s="1">
        <f t="shared" si="42"/>
        <v>333</v>
      </c>
      <c r="C339" s="1">
        <v>486</v>
      </c>
      <c r="D339" s="13">
        <v>63.4</v>
      </c>
      <c r="E339" s="1" t="s">
        <v>11</v>
      </c>
      <c r="F339" s="2">
        <v>1.7849999999999999</v>
      </c>
      <c r="G339" s="1" t="s">
        <v>12</v>
      </c>
      <c r="H339" s="1" t="s">
        <v>13</v>
      </c>
      <c r="I339" s="1" t="s">
        <v>14</v>
      </c>
      <c r="J339" s="14">
        <v>0.64214120370370364</v>
      </c>
      <c r="K339" s="15">
        <v>44751</v>
      </c>
      <c r="M339" s="2">
        <v>1.7649999999999999</v>
      </c>
      <c r="O339" s="2">
        <f t="shared" si="37"/>
        <v>1.6949999999999998</v>
      </c>
      <c r="P339" s="2">
        <f t="shared" si="38"/>
        <v>58.89714285714286</v>
      </c>
      <c r="Q339" s="2">
        <f t="shared" si="39"/>
        <v>0.31650000000000728</v>
      </c>
      <c r="R339" s="2">
        <f t="shared" si="40"/>
        <v>0.2946000000000068</v>
      </c>
      <c r="S339" s="2">
        <f t="shared" si="41"/>
        <v>2.1900000000000475E-2</v>
      </c>
    </row>
    <row r="340" spans="2:19" x14ac:dyDescent="0.25">
      <c r="B340" s="1">
        <f t="shared" si="42"/>
        <v>334</v>
      </c>
      <c r="C340" s="1">
        <v>487</v>
      </c>
      <c r="D340" s="13">
        <v>63.2</v>
      </c>
      <c r="E340" s="1" t="s">
        <v>11</v>
      </c>
      <c r="F340" s="2">
        <v>1.79</v>
      </c>
      <c r="G340" s="1" t="s">
        <v>12</v>
      </c>
      <c r="H340" s="1" t="s">
        <v>13</v>
      </c>
      <c r="I340" s="1" t="s">
        <v>14</v>
      </c>
      <c r="J340" s="14">
        <v>0.64214120370370364</v>
      </c>
      <c r="K340" s="15">
        <v>44751</v>
      </c>
      <c r="M340" s="2">
        <v>1.77</v>
      </c>
      <c r="O340" s="2">
        <f t="shared" si="37"/>
        <v>1.7</v>
      </c>
      <c r="P340" s="2">
        <f t="shared" si="38"/>
        <v>58.94285714285715</v>
      </c>
      <c r="Q340" s="2">
        <f t="shared" si="39"/>
        <v>0.31599999999999329</v>
      </c>
      <c r="R340" s="2">
        <f t="shared" si="40"/>
        <v>0.29482857142856517</v>
      </c>
      <c r="S340" s="2">
        <f t="shared" si="41"/>
        <v>2.1171428571428119E-2</v>
      </c>
    </row>
    <row r="341" spans="2:19" x14ac:dyDescent="0.25">
      <c r="B341" s="1">
        <f t="shared" si="42"/>
        <v>335</v>
      </c>
      <c r="C341" s="1">
        <v>489</v>
      </c>
      <c r="D341" s="13">
        <v>63.2</v>
      </c>
      <c r="E341" s="1" t="s">
        <v>11</v>
      </c>
      <c r="F341" s="2">
        <v>1.7949999999999999</v>
      </c>
      <c r="G341" s="1" t="s">
        <v>12</v>
      </c>
      <c r="H341" s="1" t="s">
        <v>13</v>
      </c>
      <c r="I341" s="1" t="s">
        <v>14</v>
      </c>
      <c r="J341" s="14">
        <v>0.64215277777777779</v>
      </c>
      <c r="K341" s="15">
        <v>44751</v>
      </c>
      <c r="M341" s="2">
        <v>1.7749999999999999</v>
      </c>
      <c r="O341" s="2">
        <f t="shared" si="37"/>
        <v>1.7049999999999998</v>
      </c>
      <c r="P341" s="2">
        <f t="shared" si="38"/>
        <v>58.988571428571433</v>
      </c>
      <c r="Q341" s="2">
        <f t="shared" si="39"/>
        <v>0.31550000000000727</v>
      </c>
      <c r="R341" s="2">
        <f t="shared" si="40"/>
        <v>0.29505714285714968</v>
      </c>
      <c r="S341" s="2">
        <f t="shared" si="41"/>
        <v>2.0442857142857596E-2</v>
      </c>
    </row>
    <row r="342" spans="2:19" x14ac:dyDescent="0.25">
      <c r="B342" s="1">
        <f t="shared" si="42"/>
        <v>336</v>
      </c>
      <c r="C342" s="1">
        <v>490</v>
      </c>
      <c r="D342" s="13">
        <v>63</v>
      </c>
      <c r="E342" s="1" t="s">
        <v>11</v>
      </c>
      <c r="F342" s="2">
        <v>1.8</v>
      </c>
      <c r="G342" s="1" t="s">
        <v>12</v>
      </c>
      <c r="H342" s="1" t="s">
        <v>13</v>
      </c>
      <c r="I342" s="1" t="s">
        <v>14</v>
      </c>
      <c r="J342" s="14">
        <v>0.64215277777777779</v>
      </c>
      <c r="K342" s="15">
        <v>44751</v>
      </c>
      <c r="M342" s="2">
        <v>1.78</v>
      </c>
      <c r="O342" s="2">
        <f t="shared" si="37"/>
        <v>1.71</v>
      </c>
      <c r="P342" s="2">
        <f t="shared" si="38"/>
        <v>59.034285714285716</v>
      </c>
      <c r="Q342" s="2">
        <f t="shared" si="39"/>
        <v>0.31499999999999329</v>
      </c>
      <c r="R342" s="2">
        <f t="shared" si="40"/>
        <v>0.29528571428570799</v>
      </c>
      <c r="S342" s="2">
        <f t="shared" si="41"/>
        <v>1.9714285714285296E-2</v>
      </c>
    </row>
    <row r="343" spans="2:19" x14ac:dyDescent="0.25">
      <c r="B343" s="1">
        <f t="shared" si="42"/>
        <v>337</v>
      </c>
      <c r="C343" s="1">
        <v>491</v>
      </c>
      <c r="D343" s="13">
        <v>63</v>
      </c>
      <c r="E343" s="1" t="s">
        <v>11</v>
      </c>
      <c r="F343" s="2">
        <v>1.8049999999999999</v>
      </c>
      <c r="G343" s="1" t="s">
        <v>12</v>
      </c>
      <c r="H343" s="1" t="s">
        <v>13</v>
      </c>
      <c r="I343" s="1" t="s">
        <v>14</v>
      </c>
      <c r="J343" s="14">
        <v>0.64215277777777779</v>
      </c>
      <c r="K343" s="15">
        <v>44751</v>
      </c>
      <c r="M343" s="2">
        <v>1.7849999999999999</v>
      </c>
      <c r="O343" s="2">
        <f t="shared" si="37"/>
        <v>1.7149999999999999</v>
      </c>
      <c r="P343" s="2">
        <f t="shared" si="38"/>
        <v>59.08</v>
      </c>
      <c r="Q343" s="2">
        <f t="shared" si="39"/>
        <v>0.3147500000000073</v>
      </c>
      <c r="R343" s="2">
        <f t="shared" si="40"/>
        <v>0.29551428571429256</v>
      </c>
      <c r="S343" s="2">
        <f t="shared" si="41"/>
        <v>1.9235714285714745E-2</v>
      </c>
    </row>
    <row r="344" spans="2:19" x14ac:dyDescent="0.25">
      <c r="B344" s="1">
        <f t="shared" si="42"/>
        <v>338</v>
      </c>
      <c r="C344" s="1">
        <v>493</v>
      </c>
      <c r="D344" s="13">
        <v>62.9</v>
      </c>
      <c r="E344" s="1" t="s">
        <v>11</v>
      </c>
      <c r="F344" s="2">
        <v>1.81</v>
      </c>
      <c r="G344" s="1" t="s">
        <v>12</v>
      </c>
      <c r="H344" s="1" t="s">
        <v>13</v>
      </c>
      <c r="I344" s="1" t="s">
        <v>14</v>
      </c>
      <c r="J344" s="14">
        <v>0.64215277777777779</v>
      </c>
      <c r="K344" s="15">
        <v>44751</v>
      </c>
      <c r="M344" s="2">
        <v>1.79</v>
      </c>
      <c r="O344" s="2">
        <f t="shared" si="37"/>
        <v>1.72</v>
      </c>
      <c r="P344" s="2">
        <f t="shared" si="38"/>
        <v>59.125714285714288</v>
      </c>
      <c r="Q344" s="2">
        <f t="shared" si="39"/>
        <v>0.31424999999999326</v>
      </c>
      <c r="R344" s="2">
        <f t="shared" si="40"/>
        <v>0.29574285714285087</v>
      </c>
      <c r="S344" s="2">
        <f t="shared" si="41"/>
        <v>1.8507142857142389E-2</v>
      </c>
    </row>
    <row r="345" spans="2:19" x14ac:dyDescent="0.25">
      <c r="B345" s="1">
        <f t="shared" si="42"/>
        <v>339</v>
      </c>
      <c r="C345" s="1">
        <v>494</v>
      </c>
      <c r="D345" s="13">
        <v>62.8</v>
      </c>
      <c r="E345" s="1" t="s">
        <v>11</v>
      </c>
      <c r="F345" s="2">
        <v>1.8149999999999999</v>
      </c>
      <c r="G345" s="1" t="s">
        <v>12</v>
      </c>
      <c r="H345" s="1" t="s">
        <v>13</v>
      </c>
      <c r="I345" s="1" t="s">
        <v>14</v>
      </c>
      <c r="J345" s="14">
        <v>0.64215277777777779</v>
      </c>
      <c r="K345" s="15">
        <v>44751</v>
      </c>
      <c r="M345" s="2">
        <v>1.7949999999999999</v>
      </c>
      <c r="O345" s="2">
        <f t="shared" si="37"/>
        <v>1.7249999999999999</v>
      </c>
      <c r="P345" s="2">
        <f t="shared" si="38"/>
        <v>59.171428571428578</v>
      </c>
      <c r="Q345" s="2">
        <f t="shared" si="39"/>
        <v>0.31300000000000722</v>
      </c>
      <c r="R345" s="2">
        <f t="shared" si="40"/>
        <v>0.29597142857143544</v>
      </c>
      <c r="S345" s="2">
        <f t="shared" si="41"/>
        <v>1.7028571428571782E-2</v>
      </c>
    </row>
    <row r="346" spans="2:19" x14ac:dyDescent="0.25">
      <c r="B346" s="1">
        <f t="shared" si="42"/>
        <v>340</v>
      </c>
      <c r="C346" s="1">
        <v>496</v>
      </c>
      <c r="D346" s="13">
        <v>62.4</v>
      </c>
      <c r="E346" s="1" t="s">
        <v>11</v>
      </c>
      <c r="F346" s="2">
        <v>1.82</v>
      </c>
      <c r="G346" s="1" t="s">
        <v>12</v>
      </c>
      <c r="H346" s="1" t="s">
        <v>13</v>
      </c>
      <c r="I346" s="1" t="s">
        <v>14</v>
      </c>
      <c r="J346" s="14">
        <v>0.64215277777777779</v>
      </c>
      <c r="K346" s="15">
        <v>44751</v>
      </c>
      <c r="M346" s="2">
        <v>1.8</v>
      </c>
      <c r="O346" s="2">
        <f t="shared" si="37"/>
        <v>1.73</v>
      </c>
      <c r="P346" s="2">
        <f t="shared" si="38"/>
        <v>59.217142857142861</v>
      </c>
      <c r="Q346" s="2">
        <f t="shared" si="39"/>
        <v>0.31099999999999339</v>
      </c>
      <c r="R346" s="2">
        <f t="shared" si="40"/>
        <v>0.29619999999999369</v>
      </c>
      <c r="S346" s="2">
        <f t="shared" si="41"/>
        <v>1.4799999999999702E-2</v>
      </c>
    </row>
    <row r="347" spans="2:19" x14ac:dyDescent="0.25">
      <c r="B347" s="1">
        <f t="shared" si="42"/>
        <v>341</v>
      </c>
      <c r="C347" s="1">
        <v>497</v>
      </c>
      <c r="D347" s="13">
        <v>62</v>
      </c>
      <c r="E347" s="1" t="s">
        <v>11</v>
      </c>
      <c r="F347" s="2">
        <v>1.825</v>
      </c>
      <c r="G347" s="1" t="s">
        <v>12</v>
      </c>
      <c r="H347" s="1" t="s">
        <v>13</v>
      </c>
      <c r="I347" s="1" t="s">
        <v>14</v>
      </c>
      <c r="J347" s="14">
        <v>0.64215277777777779</v>
      </c>
      <c r="K347" s="15">
        <v>44751</v>
      </c>
      <c r="M347" s="2">
        <v>1.8049999999999999</v>
      </c>
      <c r="O347" s="2">
        <f t="shared" si="37"/>
        <v>1.7349999999999999</v>
      </c>
      <c r="P347" s="2">
        <f t="shared" si="38"/>
        <v>59.262857142857143</v>
      </c>
      <c r="Q347" s="2">
        <f t="shared" si="39"/>
        <v>0.31050000000000716</v>
      </c>
      <c r="R347" s="2">
        <f t="shared" si="40"/>
        <v>0.29642857142857831</v>
      </c>
      <c r="S347" s="2">
        <f t="shared" si="41"/>
        <v>1.4071428571428846E-2</v>
      </c>
    </row>
    <row r="348" spans="2:19" x14ac:dyDescent="0.25">
      <c r="B348" s="1">
        <f t="shared" si="42"/>
        <v>342</v>
      </c>
      <c r="C348" s="1">
        <v>499</v>
      </c>
      <c r="D348" s="13">
        <v>62.2</v>
      </c>
      <c r="E348" s="1" t="s">
        <v>11</v>
      </c>
      <c r="F348" s="2">
        <v>1.83</v>
      </c>
      <c r="G348" s="1" t="s">
        <v>12</v>
      </c>
      <c r="H348" s="1" t="s">
        <v>13</v>
      </c>
      <c r="I348" s="1" t="s">
        <v>14</v>
      </c>
      <c r="J348" s="14">
        <v>0.64216435185185183</v>
      </c>
      <c r="K348" s="15">
        <v>44751</v>
      </c>
      <c r="M348" s="2">
        <v>1.81</v>
      </c>
      <c r="O348" s="2">
        <f t="shared" si="37"/>
        <v>1.74</v>
      </c>
      <c r="P348" s="2">
        <f t="shared" si="38"/>
        <v>59.308571428571433</v>
      </c>
      <c r="Q348" s="2">
        <f t="shared" si="39"/>
        <v>0.31049999999999339</v>
      </c>
      <c r="R348" s="2">
        <f t="shared" si="40"/>
        <v>0.29665714285713657</v>
      </c>
      <c r="S348" s="2">
        <f t="shared" si="41"/>
        <v>1.3842857142856824E-2</v>
      </c>
    </row>
    <row r="349" spans="2:19" x14ac:dyDescent="0.25">
      <c r="B349" s="1">
        <f t="shared" si="42"/>
        <v>343</v>
      </c>
      <c r="C349" s="1">
        <v>500</v>
      </c>
      <c r="D349" s="13">
        <v>62</v>
      </c>
      <c r="E349" s="1" t="s">
        <v>11</v>
      </c>
      <c r="F349" s="2">
        <v>1.835</v>
      </c>
      <c r="G349" s="1" t="s">
        <v>12</v>
      </c>
      <c r="H349" s="1" t="s">
        <v>13</v>
      </c>
      <c r="I349" s="1" t="s">
        <v>14</v>
      </c>
      <c r="J349" s="14">
        <v>0.64216435185185183</v>
      </c>
      <c r="K349" s="15">
        <v>44751</v>
      </c>
      <c r="M349" s="2">
        <v>1.8149999999999999</v>
      </c>
      <c r="O349" s="2">
        <f t="shared" si="37"/>
        <v>1.7449999999999999</v>
      </c>
      <c r="P349" s="2">
        <f t="shared" si="38"/>
        <v>59.354285714285716</v>
      </c>
      <c r="Q349" s="2">
        <f t="shared" si="39"/>
        <v>0.31000000000000716</v>
      </c>
      <c r="R349" s="2">
        <f t="shared" si="40"/>
        <v>0.29688571428572114</v>
      </c>
      <c r="S349" s="2">
        <f t="shared" si="41"/>
        <v>1.3114285714286023E-2</v>
      </c>
    </row>
    <row r="350" spans="2:19" x14ac:dyDescent="0.25">
      <c r="B350" s="1">
        <f t="shared" si="42"/>
        <v>344</v>
      </c>
      <c r="C350" s="1">
        <v>501</v>
      </c>
      <c r="D350" s="13">
        <v>62</v>
      </c>
      <c r="E350" s="1" t="s">
        <v>11</v>
      </c>
      <c r="F350" s="2">
        <v>1.84</v>
      </c>
      <c r="G350" s="1" t="s">
        <v>12</v>
      </c>
      <c r="H350" s="1" t="s">
        <v>13</v>
      </c>
      <c r="I350" s="1" t="s">
        <v>14</v>
      </c>
      <c r="J350" s="14">
        <v>0.64216435185185183</v>
      </c>
      <c r="K350" s="15">
        <v>44751</v>
      </c>
      <c r="M350" s="2">
        <v>1.82</v>
      </c>
      <c r="O350" s="2">
        <f t="shared" si="37"/>
        <v>1.75</v>
      </c>
      <c r="P350" s="2">
        <f t="shared" si="38"/>
        <v>59.400000000000006</v>
      </c>
      <c r="Q350" s="2">
        <f t="shared" si="39"/>
        <v>0.30999999999999339</v>
      </c>
      <c r="R350" s="2">
        <f t="shared" si="40"/>
        <v>0.29711428571427939</v>
      </c>
      <c r="S350" s="2">
        <f t="shared" si="41"/>
        <v>1.2885714285714001E-2</v>
      </c>
    </row>
    <row r="351" spans="2:19" x14ac:dyDescent="0.25">
      <c r="B351" s="1">
        <f t="shared" si="42"/>
        <v>345</v>
      </c>
      <c r="C351" s="1">
        <v>503</v>
      </c>
      <c r="D351" s="13">
        <v>62</v>
      </c>
      <c r="E351" s="1" t="s">
        <v>11</v>
      </c>
      <c r="F351" s="2">
        <v>1.845</v>
      </c>
      <c r="G351" s="1" t="s">
        <v>12</v>
      </c>
      <c r="H351" s="1" t="s">
        <v>13</v>
      </c>
      <c r="I351" s="1" t="s">
        <v>14</v>
      </c>
      <c r="J351" s="14">
        <v>0.64216435185185183</v>
      </c>
      <c r="K351" s="15">
        <v>44751</v>
      </c>
      <c r="M351" s="2">
        <v>1.825</v>
      </c>
      <c r="O351" s="2">
        <f t="shared" si="37"/>
        <v>1.7549999999999999</v>
      </c>
      <c r="P351" s="2">
        <f t="shared" si="38"/>
        <v>59.445714285714288</v>
      </c>
      <c r="Q351" s="2">
        <f t="shared" si="39"/>
        <v>0.30975000000000719</v>
      </c>
      <c r="R351" s="2">
        <f t="shared" si="40"/>
        <v>0.29734285714286401</v>
      </c>
      <c r="S351" s="2">
        <f t="shared" si="41"/>
        <v>1.2407142857143172E-2</v>
      </c>
    </row>
    <row r="352" spans="2:19" x14ac:dyDescent="0.25">
      <c r="B352" s="1">
        <f t="shared" si="42"/>
        <v>346</v>
      </c>
      <c r="C352" s="1">
        <v>504</v>
      </c>
      <c r="D352" s="13">
        <v>61.9</v>
      </c>
      <c r="E352" s="1" t="s">
        <v>11</v>
      </c>
      <c r="F352" s="2">
        <v>1.85</v>
      </c>
      <c r="G352" s="1" t="s">
        <v>12</v>
      </c>
      <c r="H352" s="1" t="s">
        <v>13</v>
      </c>
      <c r="I352" s="1" t="s">
        <v>14</v>
      </c>
      <c r="J352" s="14">
        <v>0.64216435185185183</v>
      </c>
      <c r="K352" s="15">
        <v>44751</v>
      </c>
      <c r="M352" s="2">
        <v>1.83</v>
      </c>
      <c r="O352" s="2">
        <f t="shared" si="37"/>
        <v>1.76</v>
      </c>
      <c r="P352" s="2">
        <f t="shared" si="38"/>
        <v>59.491428571428571</v>
      </c>
      <c r="Q352" s="2">
        <f t="shared" si="39"/>
        <v>0.30824999999999342</v>
      </c>
      <c r="R352" s="2">
        <f t="shared" si="40"/>
        <v>0.29757142857142227</v>
      </c>
      <c r="S352" s="2">
        <f t="shared" si="41"/>
        <v>1.0678571428571149E-2</v>
      </c>
    </row>
    <row r="353" spans="2:19" x14ac:dyDescent="0.25">
      <c r="B353" s="1">
        <f t="shared" si="42"/>
        <v>347</v>
      </c>
      <c r="C353" s="1">
        <v>505</v>
      </c>
      <c r="D353" s="13">
        <v>61.4</v>
      </c>
      <c r="E353" s="1" t="s">
        <v>11</v>
      </c>
      <c r="F353" s="2">
        <v>1.855</v>
      </c>
      <c r="G353" s="1" t="s">
        <v>12</v>
      </c>
      <c r="H353" s="1" t="s">
        <v>13</v>
      </c>
      <c r="I353" s="1" t="s">
        <v>14</v>
      </c>
      <c r="J353" s="14">
        <v>0.64216435185185183</v>
      </c>
      <c r="K353" s="15">
        <v>44751</v>
      </c>
      <c r="M353" s="2">
        <v>1.835</v>
      </c>
      <c r="O353" s="2">
        <f t="shared" si="37"/>
        <v>1.7649999999999999</v>
      </c>
      <c r="P353" s="2">
        <f t="shared" si="38"/>
        <v>59.537142857142861</v>
      </c>
      <c r="Q353" s="2">
        <f t="shared" si="39"/>
        <v>0.29200000000000675</v>
      </c>
      <c r="R353" s="2">
        <f t="shared" si="40"/>
        <v>0.29780000000000689</v>
      </c>
      <c r="S353" s="2">
        <f t="shared" si="41"/>
        <v>-5.8000000000001384E-3</v>
      </c>
    </row>
    <row r="354" spans="2:19" x14ac:dyDescent="0.25">
      <c r="B354" s="1">
        <f t="shared" si="42"/>
        <v>348</v>
      </c>
      <c r="C354" s="1">
        <v>507</v>
      </c>
      <c r="D354" s="13">
        <v>55.4</v>
      </c>
      <c r="E354" s="1" t="s">
        <v>11</v>
      </c>
      <c r="F354" s="2">
        <v>1.86</v>
      </c>
      <c r="G354" s="1" t="s">
        <v>12</v>
      </c>
      <c r="H354" s="1" t="s">
        <v>13</v>
      </c>
      <c r="I354" s="1" t="s">
        <v>14</v>
      </c>
      <c r="J354" s="14">
        <v>0.64216435185185183</v>
      </c>
      <c r="K354" s="15">
        <v>44751</v>
      </c>
      <c r="M354" s="2">
        <v>1.84</v>
      </c>
      <c r="O354" s="2">
        <f t="shared" si="37"/>
        <v>1.77</v>
      </c>
      <c r="P354" s="2">
        <f t="shared" si="38"/>
        <v>59.582857142857151</v>
      </c>
      <c r="Q354" s="2">
        <f t="shared" si="39"/>
        <v>0.28474999999999395</v>
      </c>
      <c r="R354" s="2">
        <f t="shared" si="40"/>
        <v>0.29802857142856509</v>
      </c>
      <c r="S354" s="2">
        <f t="shared" si="41"/>
        <v>-1.327857142857114E-2</v>
      </c>
    </row>
    <row r="355" spans="2:19" x14ac:dyDescent="0.25">
      <c r="B355" s="1">
        <f t="shared" si="42"/>
        <v>349</v>
      </c>
      <c r="C355" s="1">
        <v>508</v>
      </c>
      <c r="D355" s="13">
        <v>58.5</v>
      </c>
      <c r="E355" s="1" t="s">
        <v>11</v>
      </c>
      <c r="F355" s="2">
        <v>1.865</v>
      </c>
      <c r="G355" s="1" t="s">
        <v>12</v>
      </c>
      <c r="H355" s="1" t="s">
        <v>13</v>
      </c>
      <c r="I355" s="1" t="s">
        <v>14</v>
      </c>
      <c r="J355" s="14">
        <v>0.64216435185185183</v>
      </c>
      <c r="K355" s="15">
        <v>44751</v>
      </c>
      <c r="M355" s="2">
        <v>1.845</v>
      </c>
      <c r="O355" s="2">
        <f t="shared" si="37"/>
        <v>1.7749999999999999</v>
      </c>
      <c r="P355" s="2">
        <f t="shared" si="38"/>
        <v>59.628571428571433</v>
      </c>
      <c r="Q355" s="2">
        <f t="shared" si="39"/>
        <v>0.29250000000000675</v>
      </c>
      <c r="R355" s="2">
        <f t="shared" si="40"/>
        <v>0.29825714285714977</v>
      </c>
      <c r="S355" s="2">
        <f t="shared" si="41"/>
        <v>-5.7571428571430161E-3</v>
      </c>
    </row>
    <row r="356" spans="2:19" x14ac:dyDescent="0.25">
      <c r="B356" s="1">
        <f t="shared" si="42"/>
        <v>350</v>
      </c>
      <c r="C356" s="1">
        <v>509</v>
      </c>
      <c r="D356" s="13">
        <v>58.5</v>
      </c>
      <c r="E356" s="1" t="s">
        <v>11</v>
      </c>
      <c r="F356" s="2">
        <v>1.87</v>
      </c>
      <c r="G356" s="1" t="s">
        <v>12</v>
      </c>
      <c r="H356" s="1" t="s">
        <v>13</v>
      </c>
      <c r="I356" s="1" t="s">
        <v>14</v>
      </c>
      <c r="J356" s="14">
        <v>0.64217592592592598</v>
      </c>
      <c r="K356" s="15">
        <v>44751</v>
      </c>
      <c r="M356" s="2">
        <v>1.85</v>
      </c>
      <c r="O356" s="2">
        <f t="shared" si="37"/>
        <v>1.78</v>
      </c>
      <c r="P356" s="2">
        <f t="shared" si="38"/>
        <v>59.674285714285716</v>
      </c>
      <c r="Q356" s="2">
        <f t="shared" si="39"/>
        <v>0.28949999999999382</v>
      </c>
      <c r="R356" s="2">
        <f t="shared" si="40"/>
        <v>0.29848571428570791</v>
      </c>
      <c r="S356" s="2">
        <f t="shared" si="41"/>
        <v>-8.985714285714097E-3</v>
      </c>
    </row>
    <row r="357" spans="2:19" x14ac:dyDescent="0.25">
      <c r="B357" s="1">
        <f t="shared" si="42"/>
        <v>351</v>
      </c>
      <c r="C357" s="1">
        <v>510</v>
      </c>
      <c r="D357" s="13">
        <v>57.3</v>
      </c>
      <c r="E357" s="1" t="s">
        <v>11</v>
      </c>
      <c r="F357" s="2">
        <v>1.875</v>
      </c>
      <c r="G357" s="1" t="s">
        <v>12</v>
      </c>
      <c r="H357" s="1" t="s">
        <v>13</v>
      </c>
      <c r="I357" s="1" t="s">
        <v>14</v>
      </c>
      <c r="J357" s="14">
        <v>0.64217592592592598</v>
      </c>
      <c r="K357" s="15">
        <v>44751</v>
      </c>
      <c r="M357" s="2">
        <v>1.855</v>
      </c>
      <c r="O357" s="2">
        <f t="shared" si="37"/>
        <v>1.7849999999999999</v>
      </c>
      <c r="P357" s="2">
        <f t="shared" si="38"/>
        <v>59.72</v>
      </c>
      <c r="Q357" s="2">
        <f t="shared" si="39"/>
        <v>0.28749999999999387</v>
      </c>
      <c r="R357" s="2">
        <f t="shared" si="40"/>
        <v>0.29871428571427938</v>
      </c>
      <c r="S357" s="2">
        <f t="shared" si="41"/>
        <v>-1.121428571428551E-2</v>
      </c>
    </row>
    <row r="358" spans="2:19" x14ac:dyDescent="0.25">
      <c r="B358" s="1">
        <f t="shared" si="42"/>
        <v>352</v>
      </c>
      <c r="C358" s="1">
        <v>511</v>
      </c>
      <c r="D358" s="13">
        <v>57.7</v>
      </c>
      <c r="E358" s="1" t="s">
        <v>11</v>
      </c>
      <c r="F358" s="2">
        <v>1.88</v>
      </c>
      <c r="G358" s="1" t="s">
        <v>12</v>
      </c>
      <c r="H358" s="1" t="s">
        <v>13</v>
      </c>
      <c r="I358" s="1" t="s">
        <v>14</v>
      </c>
      <c r="J358" s="14">
        <v>0.64217592592592598</v>
      </c>
      <c r="K358" s="15">
        <v>44751</v>
      </c>
      <c r="M358" s="2">
        <v>1.8599999999999999</v>
      </c>
      <c r="O358" s="2">
        <f t="shared" si="37"/>
        <v>1.7899999999999998</v>
      </c>
      <c r="P358" s="2">
        <f t="shared" si="38"/>
        <v>59.765714285714289</v>
      </c>
      <c r="Q358" s="2">
        <f t="shared" si="39"/>
        <v>0.28875000000000667</v>
      </c>
      <c r="R358" s="2">
        <f t="shared" si="40"/>
        <v>0.29894285714286406</v>
      </c>
      <c r="S358" s="2">
        <f t="shared" si="41"/>
        <v>-1.0192857142857392E-2</v>
      </c>
    </row>
    <row r="359" spans="2:19" x14ac:dyDescent="0.25">
      <c r="B359" s="1">
        <f t="shared" si="42"/>
        <v>353</v>
      </c>
      <c r="C359" s="1">
        <v>512</v>
      </c>
      <c r="D359" s="13">
        <v>57.8</v>
      </c>
      <c r="E359" s="1" t="s">
        <v>11</v>
      </c>
      <c r="F359" s="2">
        <v>1.885</v>
      </c>
      <c r="G359" s="1" t="s">
        <v>12</v>
      </c>
      <c r="H359" s="1" t="s">
        <v>13</v>
      </c>
      <c r="I359" s="1" t="s">
        <v>14</v>
      </c>
      <c r="J359" s="14">
        <v>0.64217592592592598</v>
      </c>
      <c r="K359" s="15">
        <v>44751</v>
      </c>
      <c r="M359" s="2">
        <v>1.865</v>
      </c>
      <c r="O359" s="2">
        <f t="shared" si="37"/>
        <v>1.7949999999999999</v>
      </c>
      <c r="P359" s="2">
        <f t="shared" si="38"/>
        <v>59.811428571428578</v>
      </c>
      <c r="Q359" s="2">
        <f t="shared" si="39"/>
        <v>0.28824999999999384</v>
      </c>
      <c r="R359" s="2">
        <f t="shared" si="40"/>
        <v>0.2991714285714222</v>
      </c>
      <c r="S359" s="2">
        <f t="shared" si="41"/>
        <v>-1.092142857142836E-2</v>
      </c>
    </row>
    <row r="360" spans="2:19" x14ac:dyDescent="0.25">
      <c r="B360" s="1">
        <f t="shared" si="42"/>
        <v>354</v>
      </c>
      <c r="C360" s="1">
        <v>513</v>
      </c>
      <c r="D360" s="13">
        <v>57.5</v>
      </c>
      <c r="E360" s="1" t="s">
        <v>11</v>
      </c>
      <c r="F360" s="2">
        <v>1.89</v>
      </c>
      <c r="G360" s="1" t="s">
        <v>12</v>
      </c>
      <c r="H360" s="1" t="s">
        <v>13</v>
      </c>
      <c r="I360" s="1" t="s">
        <v>14</v>
      </c>
      <c r="J360" s="14">
        <v>0.64217592592592598</v>
      </c>
      <c r="K360" s="15">
        <v>44751</v>
      </c>
      <c r="M360" s="2">
        <v>1.8699999999999999</v>
      </c>
      <c r="O360" s="2">
        <f t="shared" si="37"/>
        <v>1.7999999999999998</v>
      </c>
      <c r="P360" s="2">
        <f t="shared" si="38"/>
        <v>59.857142857142861</v>
      </c>
      <c r="Q360" s="2">
        <f t="shared" si="39"/>
        <v>0.57500000000000051</v>
      </c>
      <c r="R360" s="2">
        <f t="shared" si="40"/>
        <v>0.59902857142857202</v>
      </c>
      <c r="S360" s="2">
        <f t="shared" si="41"/>
        <v>-2.402857142857151E-2</v>
      </c>
    </row>
    <row r="361" spans="2:19" x14ac:dyDescent="0.25">
      <c r="B361" s="1">
        <f t="shared" si="42"/>
        <v>355</v>
      </c>
      <c r="C361" s="1">
        <v>514</v>
      </c>
      <c r="D361" s="13">
        <v>57.5</v>
      </c>
      <c r="E361" s="1" t="s">
        <v>11</v>
      </c>
      <c r="F361" s="2">
        <v>1.9</v>
      </c>
      <c r="G361" s="1" t="s">
        <v>12</v>
      </c>
      <c r="H361" s="1" t="s">
        <v>13</v>
      </c>
      <c r="I361" s="1" t="s">
        <v>14</v>
      </c>
      <c r="J361" s="14">
        <v>0.64217592592592598</v>
      </c>
      <c r="K361" s="15">
        <v>44751</v>
      </c>
      <c r="M361" s="2">
        <v>1.88</v>
      </c>
      <c r="O361" s="2">
        <f t="shared" si="37"/>
        <v>1.8099999999999998</v>
      </c>
      <c r="P361" s="2">
        <f t="shared" si="38"/>
        <v>59.948571428571427</v>
      </c>
      <c r="Q361" s="2">
        <f t="shared" si="39"/>
        <v>0.28725000000000667</v>
      </c>
      <c r="R361" s="2">
        <f t="shared" si="40"/>
        <v>0.29985714285714982</v>
      </c>
      <c r="S361" s="2">
        <f t="shared" si="41"/>
        <v>-1.260714285714315E-2</v>
      </c>
    </row>
    <row r="362" spans="2:19" x14ac:dyDescent="0.25">
      <c r="B362" s="1">
        <f t="shared" si="42"/>
        <v>356</v>
      </c>
      <c r="C362" s="1">
        <v>515</v>
      </c>
      <c r="D362" s="13">
        <v>57.4</v>
      </c>
      <c r="E362" s="1" t="s">
        <v>11</v>
      </c>
      <c r="F362" s="2">
        <v>1.905</v>
      </c>
      <c r="G362" s="1" t="s">
        <v>12</v>
      </c>
      <c r="H362" s="1" t="s">
        <v>13</v>
      </c>
      <c r="I362" s="1" t="s">
        <v>14</v>
      </c>
      <c r="J362" s="14">
        <v>0.64217592592592598</v>
      </c>
      <c r="K362" s="15">
        <v>44751</v>
      </c>
      <c r="M362" s="2">
        <v>1.885</v>
      </c>
      <c r="O362" s="2">
        <f t="shared" si="37"/>
        <v>1.8149999999999999</v>
      </c>
      <c r="P362" s="2">
        <f t="shared" si="38"/>
        <v>59.994285714285716</v>
      </c>
      <c r="Q362" s="2">
        <f t="shared" si="39"/>
        <v>0.28699999999999387</v>
      </c>
      <c r="R362" s="2">
        <f t="shared" si="40"/>
        <v>0.30008571428570791</v>
      </c>
      <c r="S362" s="2">
        <f t="shared" si="41"/>
        <v>-1.3085714285714034E-2</v>
      </c>
    </row>
    <row r="363" spans="2:19" x14ac:dyDescent="0.25">
      <c r="B363" s="1">
        <f t="shared" si="42"/>
        <v>357</v>
      </c>
      <c r="C363" s="1">
        <v>517</v>
      </c>
      <c r="D363" s="13">
        <v>57.4</v>
      </c>
      <c r="E363" s="1" t="s">
        <v>11</v>
      </c>
      <c r="F363" s="2">
        <v>1.91</v>
      </c>
      <c r="G363" s="1" t="s">
        <v>12</v>
      </c>
      <c r="H363" s="1" t="s">
        <v>13</v>
      </c>
      <c r="I363" s="1" t="s">
        <v>14</v>
      </c>
      <c r="J363" s="14">
        <v>0.64217592592592598</v>
      </c>
      <c r="K363" s="15">
        <v>44751</v>
      </c>
      <c r="M363" s="2">
        <v>1.89</v>
      </c>
      <c r="O363" s="2">
        <f t="shared" si="37"/>
        <v>1.8199999999999998</v>
      </c>
      <c r="P363" s="2">
        <f t="shared" si="38"/>
        <v>60.040000000000006</v>
      </c>
      <c r="Q363" s="2">
        <f t="shared" si="39"/>
        <v>0.28725000000000667</v>
      </c>
      <c r="R363" s="2">
        <f t="shared" si="40"/>
        <v>0.30031428571429269</v>
      </c>
      <c r="S363" s="2">
        <f t="shared" si="41"/>
        <v>-1.3064285714286028E-2</v>
      </c>
    </row>
    <row r="364" spans="2:19" x14ac:dyDescent="0.25">
      <c r="B364" s="1">
        <f t="shared" si="42"/>
        <v>358</v>
      </c>
      <c r="C364" s="1">
        <v>518</v>
      </c>
      <c r="D364" s="13">
        <v>57.5</v>
      </c>
      <c r="E364" s="1" t="s">
        <v>11</v>
      </c>
      <c r="F364" s="2">
        <v>1.915</v>
      </c>
      <c r="G364" s="1" t="s">
        <v>12</v>
      </c>
      <c r="H364" s="1" t="s">
        <v>13</v>
      </c>
      <c r="I364" s="1" t="s">
        <v>14</v>
      </c>
      <c r="J364" s="14">
        <v>0.64217592592592598</v>
      </c>
      <c r="K364" s="15">
        <v>44751</v>
      </c>
      <c r="M364" s="2">
        <v>1.895</v>
      </c>
      <c r="O364" s="2">
        <f t="shared" si="37"/>
        <v>1.825</v>
      </c>
      <c r="P364" s="2">
        <f t="shared" si="38"/>
        <v>60.085714285714289</v>
      </c>
      <c r="Q364" s="2">
        <f t="shared" si="39"/>
        <v>0.28749999999999387</v>
      </c>
      <c r="R364" s="2">
        <f t="shared" si="40"/>
        <v>0.30054285714285073</v>
      </c>
      <c r="S364" s="2">
        <f t="shared" si="41"/>
        <v>-1.3042857142856856E-2</v>
      </c>
    </row>
    <row r="365" spans="2:19" x14ac:dyDescent="0.25">
      <c r="B365" s="1">
        <f t="shared" si="42"/>
        <v>359</v>
      </c>
      <c r="C365" s="1">
        <v>519</v>
      </c>
      <c r="D365" s="13">
        <v>57.5</v>
      </c>
      <c r="E365" s="1" t="s">
        <v>11</v>
      </c>
      <c r="F365" s="2">
        <v>1.92</v>
      </c>
      <c r="G365" s="1" t="s">
        <v>12</v>
      </c>
      <c r="H365" s="1" t="s">
        <v>13</v>
      </c>
      <c r="I365" s="1" t="s">
        <v>14</v>
      </c>
      <c r="J365" s="14">
        <v>0.64218750000000002</v>
      </c>
      <c r="K365" s="15">
        <v>44751</v>
      </c>
      <c r="M365" s="2">
        <v>1.9</v>
      </c>
      <c r="O365" s="2">
        <f t="shared" si="37"/>
        <v>1.8299999999999998</v>
      </c>
      <c r="P365" s="2">
        <f t="shared" si="38"/>
        <v>60.131428571428572</v>
      </c>
      <c r="Q365" s="2">
        <f t="shared" si="39"/>
        <v>0.28750000000000664</v>
      </c>
      <c r="R365" s="2">
        <f t="shared" si="40"/>
        <v>0.30077142857143557</v>
      </c>
      <c r="S365" s="2">
        <f t="shared" si="41"/>
        <v>-1.3271428571428934E-2</v>
      </c>
    </row>
    <row r="366" spans="2:19" x14ac:dyDescent="0.25">
      <c r="B366" s="1">
        <f t="shared" si="42"/>
        <v>360</v>
      </c>
      <c r="C366" s="1">
        <v>521</v>
      </c>
      <c r="D366" s="13">
        <v>57.5</v>
      </c>
      <c r="E366" s="1" t="s">
        <v>11</v>
      </c>
      <c r="F366" s="2">
        <v>1.925</v>
      </c>
      <c r="G366" s="1" t="s">
        <v>12</v>
      </c>
      <c r="H366" s="1" t="s">
        <v>13</v>
      </c>
      <c r="I366" s="1" t="s">
        <v>14</v>
      </c>
      <c r="J366" s="14">
        <v>0.64218750000000002</v>
      </c>
      <c r="K366" s="15">
        <v>44751</v>
      </c>
      <c r="M366" s="2">
        <v>1.905</v>
      </c>
      <c r="O366" s="2">
        <f t="shared" si="37"/>
        <v>1.835</v>
      </c>
      <c r="P366" s="2">
        <f t="shared" si="38"/>
        <v>60.177142857142861</v>
      </c>
      <c r="Q366" s="2">
        <f t="shared" si="39"/>
        <v>0.28699999999999387</v>
      </c>
      <c r="R366" s="2">
        <f t="shared" si="40"/>
        <v>0.30099999999999361</v>
      </c>
      <c r="S366" s="2">
        <f t="shared" si="41"/>
        <v>-1.3999999999999735E-2</v>
      </c>
    </row>
    <row r="367" spans="2:19" x14ac:dyDescent="0.25">
      <c r="B367" s="1">
        <f t="shared" si="42"/>
        <v>361</v>
      </c>
      <c r="C367" s="1">
        <v>522</v>
      </c>
      <c r="D367" s="13">
        <v>57.3</v>
      </c>
      <c r="E367" s="1" t="s">
        <v>11</v>
      </c>
      <c r="F367" s="2">
        <v>1.93</v>
      </c>
      <c r="G367" s="1" t="s">
        <v>12</v>
      </c>
      <c r="H367" s="1" t="s">
        <v>13</v>
      </c>
      <c r="I367" s="1" t="s">
        <v>14</v>
      </c>
      <c r="J367" s="14">
        <v>0.64218750000000002</v>
      </c>
      <c r="K367" s="15">
        <v>44751</v>
      </c>
      <c r="M367" s="2">
        <v>1.91</v>
      </c>
      <c r="O367" s="2">
        <f t="shared" si="37"/>
        <v>1.8399999999999999</v>
      </c>
      <c r="P367" s="2">
        <f t="shared" si="38"/>
        <v>60.222857142857144</v>
      </c>
      <c r="Q367" s="2">
        <f t="shared" si="39"/>
        <v>0.28600000000000664</v>
      </c>
      <c r="R367" s="2">
        <f t="shared" si="40"/>
        <v>0.3012285714285784</v>
      </c>
      <c r="S367" s="2">
        <f t="shared" si="41"/>
        <v>-1.5228571428571758E-2</v>
      </c>
    </row>
    <row r="368" spans="2:19" x14ac:dyDescent="0.25">
      <c r="B368" s="1">
        <f t="shared" si="42"/>
        <v>362</v>
      </c>
      <c r="C368" s="1">
        <v>524</v>
      </c>
      <c r="D368" s="13">
        <v>57.1</v>
      </c>
      <c r="E368" s="1" t="s">
        <v>11</v>
      </c>
      <c r="F368" s="2">
        <v>1.9350000000000001</v>
      </c>
      <c r="G368" s="1" t="s">
        <v>12</v>
      </c>
      <c r="H368" s="1" t="s">
        <v>13</v>
      </c>
      <c r="I368" s="1" t="s">
        <v>14</v>
      </c>
      <c r="J368" s="14">
        <v>0.64218750000000002</v>
      </c>
      <c r="K368" s="15">
        <v>44751</v>
      </c>
      <c r="M368" s="2">
        <v>1.915</v>
      </c>
      <c r="O368" s="2">
        <f t="shared" si="37"/>
        <v>1.845</v>
      </c>
      <c r="P368" s="2">
        <f t="shared" si="38"/>
        <v>60.268571428571434</v>
      </c>
      <c r="Q368" s="2">
        <f t="shared" si="39"/>
        <v>0.28499999999999392</v>
      </c>
      <c r="R368" s="2">
        <f t="shared" si="40"/>
        <v>0.30145714285713643</v>
      </c>
      <c r="S368" s="2">
        <f t="shared" si="41"/>
        <v>-1.6457142857142504E-2</v>
      </c>
    </row>
    <row r="369" spans="2:19" x14ac:dyDescent="0.25">
      <c r="B369" s="1">
        <f t="shared" si="42"/>
        <v>363</v>
      </c>
      <c r="C369" s="1">
        <v>525</v>
      </c>
      <c r="D369" s="13">
        <v>56.9</v>
      </c>
      <c r="E369" s="1" t="s">
        <v>11</v>
      </c>
      <c r="F369" s="2">
        <v>1.94</v>
      </c>
      <c r="G369" s="1" t="s">
        <v>12</v>
      </c>
      <c r="H369" s="1" t="s">
        <v>13</v>
      </c>
      <c r="I369" s="1" t="s">
        <v>14</v>
      </c>
      <c r="J369" s="14">
        <v>0.64218750000000002</v>
      </c>
      <c r="K369" s="15">
        <v>44751</v>
      </c>
      <c r="M369" s="2">
        <v>1.92</v>
      </c>
      <c r="O369" s="2">
        <f t="shared" si="37"/>
        <v>1.8499999999999999</v>
      </c>
      <c r="P369" s="2">
        <f t="shared" si="38"/>
        <v>60.314285714285717</v>
      </c>
      <c r="Q369" s="2">
        <f t="shared" si="39"/>
        <v>0.28425000000000655</v>
      </c>
      <c r="R369" s="2">
        <f t="shared" si="40"/>
        <v>0.30168571428572127</v>
      </c>
      <c r="S369" s="2">
        <f t="shared" si="41"/>
        <v>-1.7435714285714721E-2</v>
      </c>
    </row>
    <row r="370" spans="2:19" x14ac:dyDescent="0.25">
      <c r="B370" s="1">
        <f t="shared" si="42"/>
        <v>364</v>
      </c>
      <c r="C370" s="1">
        <v>526</v>
      </c>
      <c r="D370" s="13">
        <v>56.8</v>
      </c>
      <c r="E370" s="1" t="s">
        <v>11</v>
      </c>
      <c r="F370" s="2">
        <v>1.9450000000000001</v>
      </c>
      <c r="G370" s="1" t="s">
        <v>12</v>
      </c>
      <c r="H370" s="1" t="s">
        <v>13</v>
      </c>
      <c r="I370" s="1" t="s">
        <v>14</v>
      </c>
      <c r="J370" s="14">
        <v>0.64218750000000002</v>
      </c>
      <c r="K370" s="15">
        <v>44751</v>
      </c>
      <c r="M370" s="2">
        <v>1.925</v>
      </c>
      <c r="O370" s="2">
        <f t="shared" si="37"/>
        <v>1.855</v>
      </c>
      <c r="P370" s="2">
        <f t="shared" si="38"/>
        <v>60.36</v>
      </c>
      <c r="Q370" s="2">
        <f t="shared" si="39"/>
        <v>0.28374999999999395</v>
      </c>
      <c r="R370" s="2">
        <f t="shared" si="40"/>
        <v>0.30191428571427931</v>
      </c>
      <c r="S370" s="2">
        <f t="shared" si="41"/>
        <v>-1.8164285714285355E-2</v>
      </c>
    </row>
    <row r="371" spans="2:19" x14ac:dyDescent="0.25">
      <c r="B371" s="1">
        <f t="shared" si="42"/>
        <v>365</v>
      </c>
      <c r="C371" s="1">
        <v>527</v>
      </c>
      <c r="D371" s="13">
        <v>56.7</v>
      </c>
      <c r="E371" s="1" t="s">
        <v>11</v>
      </c>
      <c r="F371" s="2">
        <v>1.95</v>
      </c>
      <c r="G371" s="1" t="s">
        <v>12</v>
      </c>
      <c r="H371" s="1" t="s">
        <v>13</v>
      </c>
      <c r="I371" s="1" t="s">
        <v>14</v>
      </c>
      <c r="J371" s="14">
        <v>0.64218750000000002</v>
      </c>
      <c r="K371" s="15">
        <v>44751</v>
      </c>
      <c r="M371" s="2">
        <v>1.93</v>
      </c>
      <c r="O371" s="2">
        <f t="shared" si="37"/>
        <v>1.8599999999999999</v>
      </c>
      <c r="P371" s="2">
        <f t="shared" si="38"/>
        <v>60.405714285714289</v>
      </c>
      <c r="Q371" s="2">
        <f t="shared" si="39"/>
        <v>0.28325000000000655</v>
      </c>
      <c r="R371" s="2">
        <f t="shared" si="40"/>
        <v>0.30214285714286415</v>
      </c>
      <c r="S371" s="2">
        <f t="shared" si="41"/>
        <v>-1.88928571428576E-2</v>
      </c>
    </row>
    <row r="372" spans="2:19" x14ac:dyDescent="0.25">
      <c r="B372" s="1">
        <f t="shared" si="42"/>
        <v>366</v>
      </c>
      <c r="C372" s="1">
        <v>529</v>
      </c>
      <c r="D372" s="13">
        <v>56.6</v>
      </c>
      <c r="E372" s="1" t="s">
        <v>11</v>
      </c>
      <c r="F372" s="2">
        <v>1.9550000000000001</v>
      </c>
      <c r="G372" s="1" t="s">
        <v>12</v>
      </c>
      <c r="H372" s="1" t="s">
        <v>13</v>
      </c>
      <c r="I372" s="1" t="s">
        <v>14</v>
      </c>
      <c r="J372" s="14">
        <v>0.64219907407407406</v>
      </c>
      <c r="K372" s="15">
        <v>44751</v>
      </c>
      <c r="M372" s="2">
        <v>1.9350000000000001</v>
      </c>
      <c r="O372" s="2">
        <f t="shared" si="37"/>
        <v>1.865</v>
      </c>
      <c r="P372" s="2">
        <f t="shared" si="38"/>
        <v>60.451428571428579</v>
      </c>
      <c r="Q372" s="2">
        <f t="shared" si="39"/>
        <v>0.28249999999999398</v>
      </c>
      <c r="R372" s="2">
        <f t="shared" si="40"/>
        <v>0.30237142857142213</v>
      </c>
      <c r="S372" s="2">
        <f t="shared" si="41"/>
        <v>-1.9871428571428151E-2</v>
      </c>
    </row>
    <row r="373" spans="2:19" x14ac:dyDescent="0.25">
      <c r="B373" s="1">
        <f t="shared" si="42"/>
        <v>367</v>
      </c>
      <c r="C373" s="1">
        <v>530</v>
      </c>
      <c r="D373" s="13">
        <v>56.4</v>
      </c>
      <c r="E373" s="1" t="s">
        <v>11</v>
      </c>
      <c r="F373" s="2">
        <v>1.96</v>
      </c>
      <c r="G373" s="1" t="s">
        <v>12</v>
      </c>
      <c r="H373" s="1" t="s">
        <v>13</v>
      </c>
      <c r="I373" s="1" t="s">
        <v>14</v>
      </c>
      <c r="J373" s="14">
        <v>0.64219907407407406</v>
      </c>
      <c r="K373" s="15">
        <v>44751</v>
      </c>
      <c r="M373" s="2">
        <v>1.94</v>
      </c>
      <c r="O373" s="2">
        <f t="shared" si="37"/>
        <v>1.8699999999999999</v>
      </c>
      <c r="P373" s="2">
        <f t="shared" si="38"/>
        <v>60.497142857142862</v>
      </c>
      <c r="Q373" s="2">
        <f t="shared" si="39"/>
        <v>0.2817500000000065</v>
      </c>
      <c r="R373" s="2">
        <f t="shared" si="40"/>
        <v>0.30260000000000703</v>
      </c>
      <c r="S373" s="2">
        <f t="shared" si="41"/>
        <v>-2.0850000000000535E-2</v>
      </c>
    </row>
    <row r="374" spans="2:19" x14ac:dyDescent="0.25">
      <c r="B374" s="1">
        <f t="shared" si="42"/>
        <v>368</v>
      </c>
      <c r="C374" s="1">
        <v>531</v>
      </c>
      <c r="D374" s="13">
        <v>56.3</v>
      </c>
      <c r="E374" s="1" t="s">
        <v>11</v>
      </c>
      <c r="F374" s="2">
        <v>1.9650000000000001</v>
      </c>
      <c r="G374" s="1" t="s">
        <v>12</v>
      </c>
      <c r="H374" s="1" t="s">
        <v>13</v>
      </c>
      <c r="I374" s="1" t="s">
        <v>14</v>
      </c>
      <c r="J374" s="14">
        <v>0.64219907407407406</v>
      </c>
      <c r="K374" s="15">
        <v>44751</v>
      </c>
      <c r="M374" s="2">
        <v>1.9450000000000001</v>
      </c>
      <c r="O374" s="2">
        <f t="shared" si="37"/>
        <v>1.875</v>
      </c>
      <c r="P374" s="2">
        <f t="shared" si="38"/>
        <v>60.542857142857144</v>
      </c>
      <c r="Q374" s="2">
        <f t="shared" si="39"/>
        <v>0.28099999999999403</v>
      </c>
      <c r="R374" s="2">
        <f t="shared" si="40"/>
        <v>0.30282857142856495</v>
      </c>
      <c r="S374" s="2">
        <f t="shared" si="41"/>
        <v>-2.182857142857092E-2</v>
      </c>
    </row>
    <row r="375" spans="2:19" x14ac:dyDescent="0.25">
      <c r="B375" s="1">
        <f t="shared" si="42"/>
        <v>369</v>
      </c>
      <c r="C375" s="1">
        <v>533</v>
      </c>
      <c r="D375" s="13">
        <v>56.1</v>
      </c>
      <c r="E375" s="1" t="s">
        <v>11</v>
      </c>
      <c r="F375" s="2">
        <v>1.97</v>
      </c>
      <c r="G375" s="1" t="s">
        <v>12</v>
      </c>
      <c r="H375" s="1" t="s">
        <v>13</v>
      </c>
      <c r="I375" s="1" t="s">
        <v>14</v>
      </c>
      <c r="J375" s="14">
        <v>0.64219907407407406</v>
      </c>
      <c r="K375" s="15">
        <v>44751</v>
      </c>
      <c r="M375" s="2">
        <v>1.95</v>
      </c>
      <c r="O375" s="2">
        <f t="shared" si="37"/>
        <v>1.88</v>
      </c>
      <c r="P375" s="2">
        <f t="shared" si="38"/>
        <v>60.588571428571427</v>
      </c>
      <c r="Q375" s="2">
        <f t="shared" si="39"/>
        <v>0.28025000000000644</v>
      </c>
      <c r="R375" s="2">
        <f t="shared" si="40"/>
        <v>0.30305714285714985</v>
      </c>
      <c r="S375" s="2">
        <f t="shared" si="41"/>
        <v>-2.2807142857143414E-2</v>
      </c>
    </row>
    <row r="376" spans="2:19" x14ac:dyDescent="0.25">
      <c r="B376" s="1">
        <f t="shared" si="42"/>
        <v>370</v>
      </c>
      <c r="C376" s="1">
        <v>534</v>
      </c>
      <c r="D376" s="13">
        <v>56</v>
      </c>
      <c r="E376" s="1" t="s">
        <v>11</v>
      </c>
      <c r="F376" s="2">
        <v>1.9750000000000001</v>
      </c>
      <c r="G376" s="1" t="s">
        <v>12</v>
      </c>
      <c r="H376" s="1" t="s">
        <v>13</v>
      </c>
      <c r="I376" s="1" t="s">
        <v>14</v>
      </c>
      <c r="J376" s="14">
        <v>0.64219907407407406</v>
      </c>
      <c r="K376" s="15">
        <v>44751</v>
      </c>
      <c r="M376" s="2">
        <v>1.9550000000000001</v>
      </c>
      <c r="O376" s="2">
        <f t="shared" si="37"/>
        <v>1.885</v>
      </c>
      <c r="P376" s="2">
        <f t="shared" si="38"/>
        <v>60.634285714285717</v>
      </c>
      <c r="Q376" s="2">
        <f t="shared" si="39"/>
        <v>0.27924999999999406</v>
      </c>
      <c r="R376" s="2">
        <f t="shared" si="40"/>
        <v>0.30328571428570783</v>
      </c>
      <c r="S376" s="2">
        <f t="shared" si="41"/>
        <v>-2.4035714285713772E-2</v>
      </c>
    </row>
    <row r="377" spans="2:19" x14ac:dyDescent="0.25">
      <c r="B377" s="1">
        <f t="shared" si="42"/>
        <v>371</v>
      </c>
      <c r="C377" s="1">
        <v>536</v>
      </c>
      <c r="D377" s="13">
        <v>55.7</v>
      </c>
      <c r="E377" s="1" t="s">
        <v>11</v>
      </c>
      <c r="F377" s="2">
        <v>1.98</v>
      </c>
      <c r="G377" s="1" t="s">
        <v>12</v>
      </c>
      <c r="H377" s="1" t="s">
        <v>13</v>
      </c>
      <c r="I377" s="1" t="s">
        <v>14</v>
      </c>
      <c r="J377" s="14">
        <v>0.64219907407407406</v>
      </c>
      <c r="K377" s="15">
        <v>44751</v>
      </c>
      <c r="M377" s="2">
        <v>1.96</v>
      </c>
      <c r="O377" s="2">
        <f t="shared" si="37"/>
        <v>1.89</v>
      </c>
      <c r="P377" s="2">
        <f t="shared" si="38"/>
        <v>60.680000000000007</v>
      </c>
      <c r="Q377" s="2">
        <f t="shared" si="39"/>
        <v>0.27850000000000646</v>
      </c>
      <c r="R377" s="2">
        <f t="shared" si="40"/>
        <v>0.30351428571429273</v>
      </c>
      <c r="S377" s="2">
        <f t="shared" si="41"/>
        <v>-2.5014285714286266E-2</v>
      </c>
    </row>
    <row r="378" spans="2:19" x14ac:dyDescent="0.25">
      <c r="B378" s="1">
        <f t="shared" si="42"/>
        <v>372</v>
      </c>
      <c r="C378" s="1">
        <v>538</v>
      </c>
      <c r="D378" s="13">
        <v>55.7</v>
      </c>
      <c r="E378" s="1" t="s">
        <v>11</v>
      </c>
      <c r="F378" s="2">
        <v>1.9850000000000001</v>
      </c>
      <c r="G378" s="1" t="s">
        <v>12</v>
      </c>
      <c r="H378" s="1" t="s">
        <v>13</v>
      </c>
      <c r="I378" s="1" t="s">
        <v>14</v>
      </c>
      <c r="J378" s="14">
        <v>0.64219907407407406</v>
      </c>
      <c r="K378" s="15">
        <v>44751</v>
      </c>
      <c r="M378" s="2">
        <v>1.9650000000000001</v>
      </c>
      <c r="O378" s="2">
        <f t="shared" si="37"/>
        <v>1.895</v>
      </c>
      <c r="P378" s="2">
        <f t="shared" si="38"/>
        <v>60.72571428571429</v>
      </c>
      <c r="Q378" s="2">
        <f t="shared" si="39"/>
        <v>0.27799999999999409</v>
      </c>
      <c r="R378" s="2">
        <f t="shared" si="40"/>
        <v>0.30374285714285065</v>
      </c>
      <c r="S378" s="2">
        <f t="shared" si="41"/>
        <v>-2.5742857142856568E-2</v>
      </c>
    </row>
    <row r="379" spans="2:19" x14ac:dyDescent="0.25">
      <c r="B379" s="1">
        <f t="shared" si="42"/>
        <v>373</v>
      </c>
      <c r="C379" s="1">
        <v>540</v>
      </c>
      <c r="D379" s="13">
        <v>55.5</v>
      </c>
      <c r="E379" s="1" t="s">
        <v>11</v>
      </c>
      <c r="F379" s="2">
        <v>1.99</v>
      </c>
      <c r="G379" s="1" t="s">
        <v>12</v>
      </c>
      <c r="H379" s="1" t="s">
        <v>13</v>
      </c>
      <c r="I379" s="1" t="s">
        <v>14</v>
      </c>
      <c r="J379" s="14">
        <v>0.6422106481481481</v>
      </c>
      <c r="K379" s="15">
        <v>44751</v>
      </c>
      <c r="M379" s="2">
        <v>1.97</v>
      </c>
      <c r="O379" s="2">
        <f t="shared" si="37"/>
        <v>1.9</v>
      </c>
      <c r="P379" s="2">
        <f t="shared" si="38"/>
        <v>60.771428571428572</v>
      </c>
      <c r="Q379" s="2">
        <f t="shared" si="39"/>
        <v>0.27750000000000641</v>
      </c>
      <c r="R379" s="2">
        <f t="shared" si="40"/>
        <v>0.30397142857143561</v>
      </c>
      <c r="S379" s="2">
        <f t="shared" si="41"/>
        <v>-2.6471428571429201E-2</v>
      </c>
    </row>
    <row r="380" spans="2:19" x14ac:dyDescent="0.25">
      <c r="B380" s="1">
        <f t="shared" si="42"/>
        <v>374</v>
      </c>
      <c r="C380" s="1">
        <v>542</v>
      </c>
      <c r="D380" s="13">
        <v>55.5</v>
      </c>
      <c r="E380" s="1" t="s">
        <v>11</v>
      </c>
      <c r="F380" s="2">
        <v>1.9950000000000001</v>
      </c>
      <c r="G380" s="1" t="s">
        <v>12</v>
      </c>
      <c r="H380" s="1" t="s">
        <v>13</v>
      </c>
      <c r="I380" s="1" t="s">
        <v>14</v>
      </c>
      <c r="J380" s="14">
        <v>0.6422106481481481</v>
      </c>
      <c r="K380" s="15">
        <v>44751</v>
      </c>
      <c r="M380" s="2">
        <v>1.9750000000000001</v>
      </c>
      <c r="O380" s="2">
        <f t="shared" si="37"/>
        <v>1.905</v>
      </c>
      <c r="P380" s="2">
        <f t="shared" si="38"/>
        <v>60.817142857142862</v>
      </c>
      <c r="Q380" s="2">
        <f t="shared" si="39"/>
        <v>0.27724999999999411</v>
      </c>
      <c r="R380" s="2">
        <f t="shared" si="40"/>
        <v>0.30419999999999353</v>
      </c>
      <c r="S380" s="2">
        <f t="shared" si="41"/>
        <v>-2.6949999999999419E-2</v>
      </c>
    </row>
    <row r="381" spans="2:19" x14ac:dyDescent="0.25">
      <c r="B381" s="1">
        <f t="shared" si="42"/>
        <v>375</v>
      </c>
      <c r="C381" s="1">
        <v>544</v>
      </c>
      <c r="D381" s="13">
        <v>55.4</v>
      </c>
      <c r="E381" s="1" t="s">
        <v>11</v>
      </c>
      <c r="F381" s="2">
        <v>2</v>
      </c>
      <c r="G381" s="1" t="s">
        <v>12</v>
      </c>
      <c r="H381" s="1" t="s">
        <v>13</v>
      </c>
      <c r="I381" s="1" t="s">
        <v>14</v>
      </c>
      <c r="J381" s="14">
        <v>0.6422106481481481</v>
      </c>
      <c r="K381" s="15">
        <v>44751</v>
      </c>
      <c r="M381" s="2">
        <v>1.98</v>
      </c>
      <c r="O381" s="2">
        <f t="shared" si="37"/>
        <v>1.91</v>
      </c>
      <c r="P381" s="2">
        <f t="shared" si="38"/>
        <v>60.862857142857145</v>
      </c>
      <c r="Q381" s="2">
        <f t="shared" si="39"/>
        <v>0.27674999999999406</v>
      </c>
      <c r="R381" s="2">
        <f t="shared" si="40"/>
        <v>0.30442857142856494</v>
      </c>
      <c r="S381" s="2">
        <f t="shared" si="41"/>
        <v>-2.7678571428570886E-2</v>
      </c>
    </row>
    <row r="382" spans="2:19" x14ac:dyDescent="0.25">
      <c r="B382" s="1">
        <f t="shared" si="42"/>
        <v>376</v>
      </c>
      <c r="C382" s="1">
        <v>546</v>
      </c>
      <c r="D382" s="13">
        <v>55.3</v>
      </c>
      <c r="E382" s="1" t="s">
        <v>11</v>
      </c>
      <c r="F382" s="2">
        <v>2.0049999999999999</v>
      </c>
      <c r="G382" s="1" t="s">
        <v>12</v>
      </c>
      <c r="H382" s="1" t="s">
        <v>13</v>
      </c>
      <c r="I382" s="1" t="s">
        <v>14</v>
      </c>
      <c r="J382" s="14">
        <v>0.6422106481481481</v>
      </c>
      <c r="K382" s="15">
        <v>44751</v>
      </c>
      <c r="M382" s="2">
        <v>1.9849999999999999</v>
      </c>
      <c r="O382" s="2">
        <f t="shared" si="37"/>
        <v>1.9149999999999998</v>
      </c>
      <c r="P382" s="2">
        <f t="shared" si="38"/>
        <v>60.908571428571435</v>
      </c>
      <c r="Q382" s="2">
        <f t="shared" si="39"/>
        <v>0.27624999999999411</v>
      </c>
      <c r="R382" s="2">
        <f t="shared" si="40"/>
        <v>0.30465714285713641</v>
      </c>
      <c r="S382" s="2">
        <f t="shared" si="41"/>
        <v>-2.8407142857142298E-2</v>
      </c>
    </row>
    <row r="383" spans="2:19" x14ac:dyDescent="0.25">
      <c r="B383" s="1">
        <f t="shared" si="42"/>
        <v>377</v>
      </c>
      <c r="C383" s="1">
        <v>548</v>
      </c>
      <c r="D383" s="13">
        <v>55.2</v>
      </c>
      <c r="E383" s="1" t="s">
        <v>11</v>
      </c>
      <c r="F383" s="2">
        <v>2.0099999999999998</v>
      </c>
      <c r="G383" s="1" t="s">
        <v>12</v>
      </c>
      <c r="H383" s="1" t="s">
        <v>13</v>
      </c>
      <c r="I383" s="1" t="s">
        <v>14</v>
      </c>
      <c r="J383" s="14">
        <v>0.6422106481481481</v>
      </c>
      <c r="K383" s="15">
        <v>44751</v>
      </c>
      <c r="M383" s="2">
        <v>1.9899999999999998</v>
      </c>
      <c r="O383" s="2">
        <f t="shared" si="37"/>
        <v>1.9199999999999997</v>
      </c>
      <c r="P383" s="2">
        <f t="shared" si="38"/>
        <v>60.954285714285717</v>
      </c>
      <c r="Q383" s="2">
        <f t="shared" si="39"/>
        <v>0.27575000000001865</v>
      </c>
      <c r="R383" s="2">
        <f t="shared" si="40"/>
        <v>0.30488571428573485</v>
      </c>
      <c r="S383" s="2">
        <f t="shared" si="41"/>
        <v>-2.9135714285716208E-2</v>
      </c>
    </row>
    <row r="384" spans="2:19" x14ac:dyDescent="0.25">
      <c r="B384" s="1">
        <f t="shared" si="42"/>
        <v>378</v>
      </c>
      <c r="C384" s="1">
        <v>551</v>
      </c>
      <c r="D384" s="13">
        <v>55.1</v>
      </c>
      <c r="E384" s="1" t="s">
        <v>11</v>
      </c>
      <c r="F384" s="2">
        <v>2.0150000000000001</v>
      </c>
      <c r="G384" s="1" t="s">
        <v>12</v>
      </c>
      <c r="H384" s="1" t="s">
        <v>13</v>
      </c>
      <c r="I384" s="1" t="s">
        <v>14</v>
      </c>
      <c r="J384" s="14">
        <v>0.64222222222222225</v>
      </c>
      <c r="K384" s="15">
        <v>44751</v>
      </c>
      <c r="M384" s="2">
        <v>1.9950000000000001</v>
      </c>
      <c r="O384" s="2">
        <f t="shared" si="37"/>
        <v>1.925</v>
      </c>
      <c r="P384" s="2">
        <f t="shared" si="38"/>
        <v>61</v>
      </c>
      <c r="Q384" s="2">
        <f t="shared" si="39"/>
        <v>0.27549999999999414</v>
      </c>
      <c r="R384" s="2">
        <f t="shared" si="40"/>
        <v>0.30511428571427923</v>
      </c>
      <c r="S384" s="2">
        <f t="shared" si="41"/>
        <v>-2.9614285714285093E-2</v>
      </c>
    </row>
    <row r="385" spans="2:19" x14ac:dyDescent="0.25">
      <c r="B385" s="1">
        <f t="shared" si="42"/>
        <v>379</v>
      </c>
      <c r="C385" s="1">
        <v>553</v>
      </c>
      <c r="D385" s="13">
        <v>55.1</v>
      </c>
      <c r="E385" s="1" t="s">
        <v>11</v>
      </c>
      <c r="F385" s="2">
        <v>2.02</v>
      </c>
      <c r="G385" s="1" t="s">
        <v>12</v>
      </c>
      <c r="H385" s="1" t="s">
        <v>13</v>
      </c>
      <c r="I385" s="1" t="s">
        <v>14</v>
      </c>
      <c r="J385" s="14">
        <v>0.64222222222222225</v>
      </c>
      <c r="K385" s="15">
        <v>44751</v>
      </c>
      <c r="M385" s="2">
        <v>2</v>
      </c>
      <c r="O385" s="2">
        <f t="shared" si="37"/>
        <v>1.93</v>
      </c>
      <c r="P385" s="2">
        <f t="shared" si="38"/>
        <v>61.04571428571429</v>
      </c>
      <c r="Q385" s="2">
        <f t="shared" si="39"/>
        <v>0.27524999999999411</v>
      </c>
      <c r="R385" s="2">
        <f t="shared" si="40"/>
        <v>0.30534285714285064</v>
      </c>
      <c r="S385" s="2">
        <f t="shared" si="41"/>
        <v>-3.0092857142856533E-2</v>
      </c>
    </row>
    <row r="386" spans="2:19" x14ac:dyDescent="0.25">
      <c r="B386" s="1">
        <f t="shared" si="42"/>
        <v>380</v>
      </c>
      <c r="C386" s="1">
        <v>555</v>
      </c>
      <c r="D386" s="13">
        <v>55</v>
      </c>
      <c r="E386" s="1" t="s">
        <v>11</v>
      </c>
      <c r="F386" s="2">
        <v>2.0249999999999999</v>
      </c>
      <c r="G386" s="1" t="s">
        <v>12</v>
      </c>
      <c r="H386" s="1" t="s">
        <v>13</v>
      </c>
      <c r="I386" s="1" t="s">
        <v>14</v>
      </c>
      <c r="J386" s="14">
        <v>0.64222222222222225</v>
      </c>
      <c r="K386" s="15">
        <v>44751</v>
      </c>
      <c r="M386" s="2">
        <v>2.0049999999999999</v>
      </c>
      <c r="O386" s="2">
        <f t="shared" si="37"/>
        <v>1.9349999999999998</v>
      </c>
      <c r="P386" s="2">
        <f t="shared" si="38"/>
        <v>61.09142857142858</v>
      </c>
      <c r="Q386" s="2">
        <f t="shared" si="39"/>
        <v>0.27474999999999417</v>
      </c>
      <c r="R386" s="2">
        <f t="shared" si="40"/>
        <v>0.30557142857142211</v>
      </c>
      <c r="S386" s="2">
        <f t="shared" si="41"/>
        <v>-3.0821428571427945E-2</v>
      </c>
    </row>
    <row r="387" spans="2:19" x14ac:dyDescent="0.25">
      <c r="B387" s="1">
        <f t="shared" si="42"/>
        <v>381</v>
      </c>
      <c r="C387" s="1">
        <v>557</v>
      </c>
      <c r="D387" s="13">
        <v>54.9</v>
      </c>
      <c r="E387" s="1" t="s">
        <v>11</v>
      </c>
      <c r="F387" s="2">
        <v>2.0299999999999998</v>
      </c>
      <c r="G387" s="1" t="s">
        <v>12</v>
      </c>
      <c r="H387" s="1" t="s">
        <v>13</v>
      </c>
      <c r="I387" s="1" t="s">
        <v>14</v>
      </c>
      <c r="J387" s="14">
        <v>0.64222222222222225</v>
      </c>
      <c r="K387" s="15">
        <v>44751</v>
      </c>
      <c r="M387" s="2">
        <v>2.0099999999999998</v>
      </c>
      <c r="O387" s="2">
        <f t="shared" si="37"/>
        <v>1.9399999999999997</v>
      </c>
      <c r="P387" s="2">
        <f t="shared" si="38"/>
        <v>61.137142857142862</v>
      </c>
      <c r="Q387" s="2">
        <f t="shared" si="39"/>
        <v>0.27450000000001851</v>
      </c>
      <c r="R387" s="2">
        <f t="shared" si="40"/>
        <v>0.30580000000002067</v>
      </c>
      <c r="S387" s="2">
        <f t="shared" si="41"/>
        <v>-3.1300000000002159E-2</v>
      </c>
    </row>
    <row r="388" spans="2:19" x14ac:dyDescent="0.25">
      <c r="B388" s="1">
        <f t="shared" si="42"/>
        <v>382</v>
      </c>
      <c r="C388" s="1">
        <v>559</v>
      </c>
      <c r="D388" s="13">
        <v>54.9</v>
      </c>
      <c r="E388" s="1" t="s">
        <v>11</v>
      </c>
      <c r="F388" s="2">
        <v>2.0350000000000001</v>
      </c>
      <c r="G388" s="1" t="s">
        <v>12</v>
      </c>
      <c r="H388" s="1" t="s">
        <v>13</v>
      </c>
      <c r="I388" s="1" t="s">
        <v>14</v>
      </c>
      <c r="J388" s="14">
        <v>0.64223379629629629</v>
      </c>
      <c r="K388" s="15">
        <v>44751</v>
      </c>
      <c r="M388" s="2">
        <v>2.0150000000000001</v>
      </c>
      <c r="O388" s="2">
        <f t="shared" si="37"/>
        <v>1.9450000000000001</v>
      </c>
      <c r="P388" s="2">
        <f t="shared" si="38"/>
        <v>61.182857142857145</v>
      </c>
      <c r="Q388" s="2">
        <f t="shared" si="39"/>
        <v>0.27424999999999411</v>
      </c>
      <c r="R388" s="2">
        <f t="shared" si="40"/>
        <v>0.30602857142856493</v>
      </c>
      <c r="S388" s="2">
        <f t="shared" si="41"/>
        <v>-3.1778571428570823E-2</v>
      </c>
    </row>
    <row r="389" spans="2:19" x14ac:dyDescent="0.25">
      <c r="B389" s="1">
        <f t="shared" si="42"/>
        <v>383</v>
      </c>
      <c r="C389" s="1">
        <v>561</v>
      </c>
      <c r="D389" s="13">
        <v>54.8</v>
      </c>
      <c r="E389" s="1" t="s">
        <v>11</v>
      </c>
      <c r="F389" s="2">
        <v>2.04</v>
      </c>
      <c r="G389" s="1" t="s">
        <v>12</v>
      </c>
      <c r="H389" s="1" t="s">
        <v>13</v>
      </c>
      <c r="I389" s="1" t="s">
        <v>14</v>
      </c>
      <c r="J389" s="14">
        <v>0.64223379629629629</v>
      </c>
      <c r="K389" s="15">
        <v>44751</v>
      </c>
      <c r="M389" s="2">
        <v>2.02</v>
      </c>
      <c r="O389" s="2">
        <f t="shared" si="37"/>
        <v>1.95</v>
      </c>
      <c r="P389" s="2">
        <f t="shared" si="38"/>
        <v>61.228571428571428</v>
      </c>
      <c r="Q389" s="2">
        <f t="shared" si="39"/>
        <v>0.27399999999999414</v>
      </c>
      <c r="R389" s="2">
        <f t="shared" si="40"/>
        <v>0.30625714285713634</v>
      </c>
      <c r="S389" s="2">
        <f t="shared" si="41"/>
        <v>-3.2257142857142207E-2</v>
      </c>
    </row>
    <row r="390" spans="2:19" x14ac:dyDescent="0.25">
      <c r="B390" s="1">
        <f t="shared" si="42"/>
        <v>384</v>
      </c>
      <c r="C390" s="1">
        <v>563</v>
      </c>
      <c r="D390" s="13">
        <v>54.8</v>
      </c>
      <c r="E390" s="1" t="s">
        <v>11</v>
      </c>
      <c r="F390" s="2">
        <v>2.0449999999999999</v>
      </c>
      <c r="G390" s="1" t="s">
        <v>12</v>
      </c>
      <c r="H390" s="1" t="s">
        <v>13</v>
      </c>
      <c r="I390" s="1" t="s">
        <v>14</v>
      </c>
      <c r="J390" s="14">
        <v>0.64223379629629629</v>
      </c>
      <c r="K390" s="15">
        <v>44751</v>
      </c>
      <c r="M390" s="2">
        <v>2.0249999999999999</v>
      </c>
      <c r="O390" s="2">
        <f t="shared" si="37"/>
        <v>1.9549999999999998</v>
      </c>
      <c r="P390" s="2">
        <f t="shared" si="38"/>
        <v>61.274285714285718</v>
      </c>
      <c r="Q390" s="2">
        <f t="shared" si="39"/>
        <v>0.27399999999999414</v>
      </c>
      <c r="R390" s="2">
        <f t="shared" si="40"/>
        <v>0.30648571428570776</v>
      </c>
      <c r="S390" s="2">
        <f t="shared" si="41"/>
        <v>-3.2485714285713618E-2</v>
      </c>
    </row>
    <row r="391" spans="2:19" x14ac:dyDescent="0.25">
      <c r="B391" s="1">
        <f t="shared" si="42"/>
        <v>385</v>
      </c>
      <c r="C391" s="1">
        <v>566</v>
      </c>
      <c r="D391" s="13">
        <v>54.8</v>
      </c>
      <c r="E391" s="1" t="s">
        <v>11</v>
      </c>
      <c r="F391" s="2">
        <v>2.0499999999999998</v>
      </c>
      <c r="G391" s="1" t="s">
        <v>12</v>
      </c>
      <c r="H391" s="1" t="s">
        <v>13</v>
      </c>
      <c r="I391" s="1" t="s">
        <v>14</v>
      </c>
      <c r="J391" s="14">
        <v>0.64223379629629629</v>
      </c>
      <c r="K391" s="15">
        <v>44751</v>
      </c>
      <c r="M391" s="2">
        <v>2.0299999999999998</v>
      </c>
      <c r="O391" s="2">
        <f t="shared" si="37"/>
        <v>1.9599999999999997</v>
      </c>
      <c r="P391" s="2">
        <f t="shared" si="38"/>
        <v>61.320000000000007</v>
      </c>
      <c r="Q391" s="2">
        <f t="shared" si="39"/>
        <v>0.27400000000001851</v>
      </c>
      <c r="R391" s="2">
        <f t="shared" si="40"/>
        <v>0.30671428571430642</v>
      </c>
      <c r="S391" s="2">
        <f t="shared" si="41"/>
        <v>-3.2714285714287916E-2</v>
      </c>
    </row>
    <row r="392" spans="2:19" x14ac:dyDescent="0.25">
      <c r="B392" s="1">
        <f t="shared" si="42"/>
        <v>386</v>
      </c>
      <c r="C392" s="1">
        <v>569</v>
      </c>
      <c r="D392" s="13">
        <v>54.8</v>
      </c>
      <c r="E392" s="1" t="s">
        <v>11</v>
      </c>
      <c r="F392" s="2">
        <v>2.0550000000000002</v>
      </c>
      <c r="G392" s="1" t="s">
        <v>12</v>
      </c>
      <c r="H392" s="1" t="s">
        <v>13</v>
      </c>
      <c r="I392" s="1" t="s">
        <v>14</v>
      </c>
      <c r="J392" s="14">
        <v>0.64224537037037044</v>
      </c>
      <c r="K392" s="15">
        <v>44751</v>
      </c>
      <c r="M392" s="2">
        <v>2.0350000000000001</v>
      </c>
      <c r="O392" s="2">
        <f t="shared" ref="O392:O455" si="43">M392-$X$23</f>
        <v>1.9650000000000001</v>
      </c>
      <c r="P392" s="2">
        <f t="shared" ref="P392:P455" si="44">O392*$AC$21+$Y$23</f>
        <v>61.36571428571429</v>
      </c>
      <c r="Q392" s="2">
        <f t="shared" ref="Q392:Q455" si="45">((D392+D393)/2)*(M393-M392)</f>
        <v>0.27374999999999416</v>
      </c>
      <c r="R392" s="2">
        <f t="shared" ref="R392:R455" si="46">((P392+P393)/2)*(O393-O392)</f>
        <v>0.30694285714285063</v>
      </c>
      <c r="S392" s="2">
        <f t="shared" ref="S392:S455" si="47">Q392-R392</f>
        <v>-3.3192857142856469E-2</v>
      </c>
    </row>
    <row r="393" spans="2:19" x14ac:dyDescent="0.25">
      <c r="B393" s="1">
        <f t="shared" ref="B393:B456" si="48">B392+1</f>
        <v>387</v>
      </c>
      <c r="C393" s="1">
        <v>571</v>
      </c>
      <c r="D393" s="13">
        <v>54.7</v>
      </c>
      <c r="E393" s="1" t="s">
        <v>11</v>
      </c>
      <c r="F393" s="2">
        <v>2.06</v>
      </c>
      <c r="G393" s="1" t="s">
        <v>12</v>
      </c>
      <c r="H393" s="1" t="s">
        <v>13</v>
      </c>
      <c r="I393" s="1" t="s">
        <v>14</v>
      </c>
      <c r="J393" s="14">
        <v>0.64224537037037044</v>
      </c>
      <c r="K393" s="15">
        <v>44751</v>
      </c>
      <c r="M393" s="2">
        <v>2.04</v>
      </c>
      <c r="O393" s="2">
        <f t="shared" si="43"/>
        <v>1.97</v>
      </c>
      <c r="P393" s="2">
        <f t="shared" si="44"/>
        <v>61.411428571428573</v>
      </c>
      <c r="Q393" s="2">
        <f t="shared" si="45"/>
        <v>0.27374999999999416</v>
      </c>
      <c r="R393" s="2">
        <f t="shared" si="46"/>
        <v>0.30717142857142204</v>
      </c>
      <c r="S393" s="2">
        <f t="shared" si="47"/>
        <v>-3.342142857142788E-2</v>
      </c>
    </row>
    <row r="394" spans="2:19" x14ac:dyDescent="0.25">
      <c r="B394" s="1">
        <f t="shared" si="48"/>
        <v>388</v>
      </c>
      <c r="C394" s="1">
        <v>573</v>
      </c>
      <c r="D394" s="13">
        <v>54.8</v>
      </c>
      <c r="E394" s="1" t="s">
        <v>11</v>
      </c>
      <c r="F394" s="2">
        <v>2.0649999999999999</v>
      </c>
      <c r="G394" s="1" t="s">
        <v>12</v>
      </c>
      <c r="H394" s="1" t="s">
        <v>13</v>
      </c>
      <c r="I394" s="1" t="s">
        <v>14</v>
      </c>
      <c r="J394" s="14">
        <v>0.64224537037037044</v>
      </c>
      <c r="K394" s="15">
        <v>44751</v>
      </c>
      <c r="M394" s="2">
        <v>2.0449999999999999</v>
      </c>
      <c r="O394" s="2">
        <f t="shared" si="43"/>
        <v>1.9749999999999999</v>
      </c>
      <c r="P394" s="2">
        <f t="shared" si="44"/>
        <v>61.457142857142856</v>
      </c>
      <c r="Q394" s="2">
        <f t="shared" si="45"/>
        <v>0.27374999999999416</v>
      </c>
      <c r="R394" s="2">
        <f t="shared" si="46"/>
        <v>0.30739999999999346</v>
      </c>
      <c r="S394" s="2">
        <f t="shared" si="47"/>
        <v>-3.3649999999999292E-2</v>
      </c>
    </row>
    <row r="395" spans="2:19" x14ac:dyDescent="0.25">
      <c r="B395" s="1">
        <f t="shared" si="48"/>
        <v>389</v>
      </c>
      <c r="C395" s="1">
        <v>575</v>
      </c>
      <c r="D395" s="13">
        <v>54.7</v>
      </c>
      <c r="E395" s="1" t="s">
        <v>11</v>
      </c>
      <c r="F395" s="2">
        <v>2.0699999999999998</v>
      </c>
      <c r="G395" s="1" t="s">
        <v>12</v>
      </c>
      <c r="H395" s="1" t="s">
        <v>13</v>
      </c>
      <c r="I395" s="1" t="s">
        <v>14</v>
      </c>
      <c r="J395" s="14">
        <v>0.64224537037037044</v>
      </c>
      <c r="K395" s="15">
        <v>44751</v>
      </c>
      <c r="M395" s="2">
        <v>2.0499999999999998</v>
      </c>
      <c r="O395" s="2">
        <f t="shared" si="43"/>
        <v>1.9799999999999998</v>
      </c>
      <c r="P395" s="2">
        <f t="shared" si="44"/>
        <v>61.502857142857145</v>
      </c>
      <c r="Q395" s="2">
        <f t="shared" si="45"/>
        <v>0.27300000000001845</v>
      </c>
      <c r="R395" s="2">
        <f t="shared" si="46"/>
        <v>0.30762857142859218</v>
      </c>
      <c r="S395" s="2">
        <f t="shared" si="47"/>
        <v>-3.4628571428573729E-2</v>
      </c>
    </row>
    <row r="396" spans="2:19" x14ac:dyDescent="0.25">
      <c r="B396" s="1">
        <f t="shared" si="48"/>
        <v>390</v>
      </c>
      <c r="C396" s="1">
        <v>577</v>
      </c>
      <c r="D396" s="13">
        <v>54.5</v>
      </c>
      <c r="E396" s="1" t="s">
        <v>11</v>
      </c>
      <c r="F396" s="2">
        <v>2.0750000000000002</v>
      </c>
      <c r="G396" s="1" t="s">
        <v>12</v>
      </c>
      <c r="H396" s="1" t="s">
        <v>13</v>
      </c>
      <c r="I396" s="1" t="s">
        <v>14</v>
      </c>
      <c r="J396" s="14">
        <v>0.64224537037037044</v>
      </c>
      <c r="K396" s="15">
        <v>44751</v>
      </c>
      <c r="M396" s="2">
        <v>2.0550000000000002</v>
      </c>
      <c r="O396" s="2">
        <f t="shared" si="43"/>
        <v>1.9850000000000001</v>
      </c>
      <c r="P396" s="2">
        <f t="shared" si="44"/>
        <v>61.548571428571435</v>
      </c>
      <c r="Q396" s="2">
        <f t="shared" si="45"/>
        <v>0.27199999999999419</v>
      </c>
      <c r="R396" s="2">
        <f t="shared" si="46"/>
        <v>0.30785714285713633</v>
      </c>
      <c r="S396" s="2">
        <f t="shared" si="47"/>
        <v>-3.5857142857142144E-2</v>
      </c>
    </row>
    <row r="397" spans="2:19" x14ac:dyDescent="0.25">
      <c r="B397" s="1">
        <f t="shared" si="48"/>
        <v>391</v>
      </c>
      <c r="C397" s="1">
        <v>580</v>
      </c>
      <c r="D397" s="13">
        <v>54.3</v>
      </c>
      <c r="E397" s="1" t="s">
        <v>11</v>
      </c>
      <c r="F397" s="2">
        <v>2.08</v>
      </c>
      <c r="G397" s="1" t="s">
        <v>12</v>
      </c>
      <c r="H397" s="1" t="s">
        <v>13</v>
      </c>
      <c r="I397" s="1" t="s">
        <v>14</v>
      </c>
      <c r="J397" s="14">
        <v>0.64225694444444448</v>
      </c>
      <c r="K397" s="15">
        <v>44751</v>
      </c>
      <c r="M397" s="2">
        <v>2.06</v>
      </c>
      <c r="O397" s="2">
        <f t="shared" si="43"/>
        <v>1.99</v>
      </c>
      <c r="P397" s="2">
        <f t="shared" si="44"/>
        <v>61.594285714285718</v>
      </c>
      <c r="Q397" s="2">
        <f t="shared" si="45"/>
        <v>0.27174999999999416</v>
      </c>
      <c r="R397" s="2">
        <f t="shared" si="46"/>
        <v>0.30808571428570775</v>
      </c>
      <c r="S397" s="2">
        <f t="shared" si="47"/>
        <v>-3.6335714285713583E-2</v>
      </c>
    </row>
    <row r="398" spans="2:19" x14ac:dyDescent="0.25">
      <c r="B398" s="1">
        <f t="shared" si="48"/>
        <v>392</v>
      </c>
      <c r="C398" s="1">
        <v>583</v>
      </c>
      <c r="D398" s="13">
        <v>54.4</v>
      </c>
      <c r="E398" s="1" t="s">
        <v>11</v>
      </c>
      <c r="F398" s="2">
        <v>2.085</v>
      </c>
      <c r="G398" s="1" t="s">
        <v>12</v>
      </c>
      <c r="H398" s="1" t="s">
        <v>13</v>
      </c>
      <c r="I398" s="1" t="s">
        <v>14</v>
      </c>
      <c r="J398" s="14">
        <v>0.64225694444444448</v>
      </c>
      <c r="K398" s="15">
        <v>44751</v>
      </c>
      <c r="M398" s="2">
        <v>2.0649999999999999</v>
      </c>
      <c r="O398" s="2">
        <f t="shared" si="43"/>
        <v>1.9949999999999999</v>
      </c>
      <c r="P398" s="2">
        <f t="shared" si="44"/>
        <v>61.64</v>
      </c>
      <c r="Q398" s="2">
        <f t="shared" si="45"/>
        <v>0.27174999999999416</v>
      </c>
      <c r="R398" s="2">
        <f t="shared" si="46"/>
        <v>0.30831428571427916</v>
      </c>
      <c r="S398" s="2">
        <f t="shared" si="47"/>
        <v>-3.6564285714284994E-2</v>
      </c>
    </row>
    <row r="399" spans="2:19" x14ac:dyDescent="0.25">
      <c r="B399" s="1">
        <f t="shared" si="48"/>
        <v>393</v>
      </c>
      <c r="C399" s="1">
        <v>587</v>
      </c>
      <c r="D399" s="13">
        <v>54.3</v>
      </c>
      <c r="E399" s="1" t="s">
        <v>11</v>
      </c>
      <c r="F399" s="2">
        <v>2.09</v>
      </c>
      <c r="G399" s="1" t="s">
        <v>12</v>
      </c>
      <c r="H399" s="1" t="s">
        <v>13</v>
      </c>
      <c r="I399" s="1" t="s">
        <v>14</v>
      </c>
      <c r="J399" s="14">
        <v>0.64225694444444448</v>
      </c>
      <c r="K399" s="15">
        <v>44751</v>
      </c>
      <c r="M399" s="2">
        <v>2.0699999999999998</v>
      </c>
      <c r="O399" s="2">
        <f t="shared" si="43"/>
        <v>1.9999999999999998</v>
      </c>
      <c r="P399" s="2">
        <f t="shared" si="44"/>
        <v>61.685714285714283</v>
      </c>
      <c r="Q399" s="2">
        <f t="shared" si="45"/>
        <v>0.27075000000001825</v>
      </c>
      <c r="R399" s="2">
        <f t="shared" si="46"/>
        <v>0.3085428571428917</v>
      </c>
      <c r="S399" s="2">
        <f t="shared" si="47"/>
        <v>-3.7792857142873448E-2</v>
      </c>
    </row>
    <row r="400" spans="2:19" x14ac:dyDescent="0.25">
      <c r="B400" s="1">
        <f t="shared" si="48"/>
        <v>394</v>
      </c>
      <c r="C400" s="1">
        <v>590</v>
      </c>
      <c r="D400" s="13">
        <v>54</v>
      </c>
      <c r="E400" s="1" t="s">
        <v>11</v>
      </c>
      <c r="F400" s="2">
        <v>2.0950000000000002</v>
      </c>
      <c r="G400" s="1" t="s">
        <v>12</v>
      </c>
      <c r="H400" s="1" t="s">
        <v>13</v>
      </c>
      <c r="I400" s="1" t="s">
        <v>14</v>
      </c>
      <c r="J400" s="14">
        <v>0.64226851851851852</v>
      </c>
      <c r="K400" s="15">
        <v>44751</v>
      </c>
      <c r="M400" s="2">
        <v>2.0750000000000002</v>
      </c>
      <c r="O400" s="2">
        <f t="shared" si="43"/>
        <v>2.0050000000000003</v>
      </c>
      <c r="P400" s="2">
        <f t="shared" si="44"/>
        <v>61.73142857142858</v>
      </c>
      <c r="Q400" s="2">
        <f t="shared" si="45"/>
        <v>0.27024999999999422</v>
      </c>
      <c r="R400" s="2">
        <f t="shared" si="46"/>
        <v>0.30877142857142204</v>
      </c>
      <c r="S400" s="2">
        <f t="shared" si="47"/>
        <v>-3.8521428571427818E-2</v>
      </c>
    </row>
    <row r="401" spans="2:19" x14ac:dyDescent="0.25">
      <c r="B401" s="1">
        <f t="shared" si="48"/>
        <v>395</v>
      </c>
      <c r="C401" s="1">
        <v>592</v>
      </c>
      <c r="D401" s="13">
        <v>54.1</v>
      </c>
      <c r="E401" s="1" t="s">
        <v>11</v>
      </c>
      <c r="F401" s="2">
        <v>2.1</v>
      </c>
      <c r="G401" s="1" t="s">
        <v>12</v>
      </c>
      <c r="H401" s="1" t="s">
        <v>13</v>
      </c>
      <c r="I401" s="1" t="s">
        <v>14</v>
      </c>
      <c r="J401" s="14">
        <v>0.64226851851851852</v>
      </c>
      <c r="K401" s="15">
        <v>44751</v>
      </c>
      <c r="M401" s="2">
        <v>2.08</v>
      </c>
      <c r="O401" s="2">
        <f t="shared" si="43"/>
        <v>2.0100000000000002</v>
      </c>
      <c r="P401" s="2">
        <f t="shared" si="44"/>
        <v>61.777142857142863</v>
      </c>
      <c r="Q401" s="2">
        <f t="shared" si="45"/>
        <v>0.26999999999999424</v>
      </c>
      <c r="R401" s="2">
        <f t="shared" si="46"/>
        <v>0.30899999999999345</v>
      </c>
      <c r="S401" s="2">
        <f t="shared" si="47"/>
        <v>-3.8999999999999202E-2</v>
      </c>
    </row>
    <row r="402" spans="2:19" x14ac:dyDescent="0.25">
      <c r="B402" s="1">
        <f t="shared" si="48"/>
        <v>396</v>
      </c>
      <c r="C402" s="1">
        <v>596</v>
      </c>
      <c r="D402" s="13">
        <v>53.9</v>
      </c>
      <c r="E402" s="1" t="s">
        <v>11</v>
      </c>
      <c r="F402" s="2">
        <v>2.105</v>
      </c>
      <c r="G402" s="1" t="s">
        <v>12</v>
      </c>
      <c r="H402" s="1" t="s">
        <v>13</v>
      </c>
      <c r="I402" s="1" t="s">
        <v>14</v>
      </c>
      <c r="J402" s="14">
        <v>0.64226851851851852</v>
      </c>
      <c r="K402" s="15">
        <v>44751</v>
      </c>
      <c r="M402" s="2">
        <v>2.085</v>
      </c>
      <c r="O402" s="2">
        <f t="shared" si="43"/>
        <v>2.0150000000000001</v>
      </c>
      <c r="P402" s="2">
        <f t="shared" si="44"/>
        <v>61.822857142857146</v>
      </c>
      <c r="Q402" s="2">
        <f t="shared" si="45"/>
        <v>0.27024999999999422</v>
      </c>
      <c r="R402" s="2">
        <f t="shared" si="46"/>
        <v>0.30922857142856486</v>
      </c>
      <c r="S402" s="2">
        <f t="shared" si="47"/>
        <v>-3.8978571428570641E-2</v>
      </c>
    </row>
    <row r="403" spans="2:19" x14ac:dyDescent="0.25">
      <c r="B403" s="1">
        <f t="shared" si="48"/>
        <v>397</v>
      </c>
      <c r="C403" s="1">
        <v>599</v>
      </c>
      <c r="D403" s="13">
        <v>54.2</v>
      </c>
      <c r="E403" s="1" t="s">
        <v>11</v>
      </c>
      <c r="F403" s="2">
        <v>2.11</v>
      </c>
      <c r="G403" s="1" t="s">
        <v>12</v>
      </c>
      <c r="H403" s="1" t="s">
        <v>13</v>
      </c>
      <c r="I403" s="1" t="s">
        <v>14</v>
      </c>
      <c r="J403" s="14">
        <v>0.64228009259259256</v>
      </c>
      <c r="K403" s="15">
        <v>44751</v>
      </c>
      <c r="M403" s="2">
        <v>2.09</v>
      </c>
      <c r="O403" s="2">
        <f t="shared" si="43"/>
        <v>2.02</v>
      </c>
      <c r="P403" s="2">
        <f t="shared" si="44"/>
        <v>61.868571428571428</v>
      </c>
      <c r="Q403" s="2">
        <f t="shared" si="45"/>
        <v>0.27025000000001825</v>
      </c>
      <c r="R403" s="2">
        <f t="shared" si="46"/>
        <v>0.30945714285716375</v>
      </c>
      <c r="S403" s="2">
        <f t="shared" si="47"/>
        <v>-3.9207142857145494E-2</v>
      </c>
    </row>
    <row r="404" spans="2:19" x14ac:dyDescent="0.25">
      <c r="B404" s="1">
        <f t="shared" si="48"/>
        <v>398</v>
      </c>
      <c r="C404" s="1">
        <v>602</v>
      </c>
      <c r="D404" s="13">
        <v>53.9</v>
      </c>
      <c r="E404" s="1" t="s">
        <v>11</v>
      </c>
      <c r="F404" s="2">
        <v>2.1150000000000002</v>
      </c>
      <c r="G404" s="1" t="s">
        <v>12</v>
      </c>
      <c r="H404" s="1" t="s">
        <v>13</v>
      </c>
      <c r="I404" s="1" t="s">
        <v>14</v>
      </c>
      <c r="J404" s="14">
        <v>0.64228009259259256</v>
      </c>
      <c r="K404" s="15">
        <v>44751</v>
      </c>
      <c r="M404" s="2">
        <v>2.0950000000000002</v>
      </c>
      <c r="O404" s="2">
        <f t="shared" si="43"/>
        <v>2.0250000000000004</v>
      </c>
      <c r="P404" s="2">
        <f t="shared" si="44"/>
        <v>61.914285714285725</v>
      </c>
      <c r="Q404" s="2">
        <f t="shared" si="45"/>
        <v>0.26974999999999427</v>
      </c>
      <c r="R404" s="2">
        <f t="shared" si="46"/>
        <v>0.30968571428570774</v>
      </c>
      <c r="S404" s="2">
        <f t="shared" si="47"/>
        <v>-3.9935714285713464E-2</v>
      </c>
    </row>
    <row r="405" spans="2:19" x14ac:dyDescent="0.25">
      <c r="B405" s="1">
        <f t="shared" si="48"/>
        <v>399</v>
      </c>
      <c r="C405" s="1">
        <v>605</v>
      </c>
      <c r="D405" s="13">
        <v>54</v>
      </c>
      <c r="E405" s="1" t="s">
        <v>11</v>
      </c>
      <c r="F405" s="2">
        <v>2.12</v>
      </c>
      <c r="G405" s="1" t="s">
        <v>12</v>
      </c>
      <c r="H405" s="1" t="s">
        <v>13</v>
      </c>
      <c r="I405" s="1" t="s">
        <v>14</v>
      </c>
      <c r="J405" s="14">
        <v>0.64228009259259256</v>
      </c>
      <c r="K405" s="15">
        <v>44751</v>
      </c>
      <c r="M405" s="2">
        <v>2.1</v>
      </c>
      <c r="O405" s="2">
        <f t="shared" si="43"/>
        <v>2.0300000000000002</v>
      </c>
      <c r="P405" s="2">
        <f t="shared" si="44"/>
        <v>61.960000000000008</v>
      </c>
      <c r="Q405" s="2">
        <f t="shared" si="45"/>
        <v>0.26974999999999427</v>
      </c>
      <c r="R405" s="2">
        <f t="shared" si="46"/>
        <v>0.30991428571427915</v>
      </c>
      <c r="S405" s="2">
        <f t="shared" si="47"/>
        <v>-4.0164285714284875E-2</v>
      </c>
    </row>
    <row r="406" spans="2:19" x14ac:dyDescent="0.25">
      <c r="B406" s="1">
        <f t="shared" si="48"/>
        <v>400</v>
      </c>
      <c r="C406" s="1">
        <v>607</v>
      </c>
      <c r="D406" s="13">
        <v>53.9</v>
      </c>
      <c r="E406" s="1" t="s">
        <v>11</v>
      </c>
      <c r="F406" s="2">
        <v>2.125</v>
      </c>
      <c r="G406" s="1" t="s">
        <v>12</v>
      </c>
      <c r="H406" s="1" t="s">
        <v>13</v>
      </c>
      <c r="I406" s="1" t="s">
        <v>14</v>
      </c>
      <c r="J406" s="14">
        <v>0.64228009259259256</v>
      </c>
      <c r="K406" s="15">
        <v>44751</v>
      </c>
      <c r="M406" s="2">
        <v>2.105</v>
      </c>
      <c r="O406" s="2">
        <f t="shared" si="43"/>
        <v>2.0350000000000001</v>
      </c>
      <c r="P406" s="2">
        <f t="shared" si="44"/>
        <v>62.005714285714291</v>
      </c>
      <c r="Q406" s="2">
        <f t="shared" si="45"/>
        <v>0.26974999999999427</v>
      </c>
      <c r="R406" s="2">
        <f t="shared" si="46"/>
        <v>0.31014285714285056</v>
      </c>
      <c r="S406" s="2">
        <f t="shared" si="47"/>
        <v>-4.0392857142856287E-2</v>
      </c>
    </row>
    <row r="407" spans="2:19" x14ac:dyDescent="0.25">
      <c r="B407" s="1">
        <f t="shared" si="48"/>
        <v>401</v>
      </c>
      <c r="C407" s="1">
        <v>609</v>
      </c>
      <c r="D407" s="13">
        <v>54</v>
      </c>
      <c r="E407" s="1" t="s">
        <v>11</v>
      </c>
      <c r="F407" s="2">
        <v>2.13</v>
      </c>
      <c r="G407" s="1" t="s">
        <v>12</v>
      </c>
      <c r="H407" s="1" t="s">
        <v>13</v>
      </c>
      <c r="I407" s="1" t="s">
        <v>14</v>
      </c>
      <c r="J407" s="14">
        <v>0.64229166666666659</v>
      </c>
      <c r="K407" s="15">
        <v>44751</v>
      </c>
      <c r="M407" s="2">
        <v>2.11</v>
      </c>
      <c r="O407" s="2">
        <f t="shared" si="43"/>
        <v>2.04</v>
      </c>
      <c r="P407" s="2">
        <f t="shared" si="44"/>
        <v>62.051428571428573</v>
      </c>
      <c r="Q407" s="2">
        <f t="shared" si="45"/>
        <v>0.27024999999999422</v>
      </c>
      <c r="R407" s="2">
        <f t="shared" si="46"/>
        <v>0.31037142857142197</v>
      </c>
      <c r="S407" s="2">
        <f t="shared" si="47"/>
        <v>-4.0121428571427753E-2</v>
      </c>
    </row>
    <row r="408" spans="2:19" x14ac:dyDescent="0.25">
      <c r="B408" s="1">
        <f t="shared" si="48"/>
        <v>402</v>
      </c>
      <c r="C408" s="1">
        <v>610</v>
      </c>
      <c r="D408" s="13">
        <v>54.1</v>
      </c>
      <c r="E408" s="1" t="s">
        <v>11</v>
      </c>
      <c r="F408" s="2">
        <v>2.1349999999999998</v>
      </c>
      <c r="G408" s="1" t="s">
        <v>12</v>
      </c>
      <c r="H408" s="1" t="s">
        <v>13</v>
      </c>
      <c r="I408" s="1" t="s">
        <v>14</v>
      </c>
      <c r="J408" s="14">
        <v>0.64229166666666659</v>
      </c>
      <c r="K408" s="15">
        <v>44751</v>
      </c>
      <c r="M408" s="2">
        <v>2.1149999999999998</v>
      </c>
      <c r="O408" s="2">
        <f t="shared" si="43"/>
        <v>2.0449999999999999</v>
      </c>
      <c r="P408" s="2">
        <f t="shared" si="44"/>
        <v>62.097142857142856</v>
      </c>
      <c r="Q408" s="2">
        <f t="shared" si="45"/>
        <v>0.27100000000001828</v>
      </c>
      <c r="R408" s="2">
        <f t="shared" si="46"/>
        <v>0.31060000000002097</v>
      </c>
      <c r="S408" s="2">
        <f t="shared" si="47"/>
        <v>-3.9600000000002689E-2</v>
      </c>
    </row>
    <row r="409" spans="2:19" x14ac:dyDescent="0.25">
      <c r="B409" s="1">
        <f t="shared" si="48"/>
        <v>403</v>
      </c>
      <c r="C409" s="1">
        <v>611</v>
      </c>
      <c r="D409" s="13">
        <v>54.3</v>
      </c>
      <c r="E409" s="1" t="s">
        <v>11</v>
      </c>
      <c r="F409" s="2">
        <v>2.14</v>
      </c>
      <c r="G409" s="1" t="s">
        <v>12</v>
      </c>
      <c r="H409" s="1" t="s">
        <v>13</v>
      </c>
      <c r="I409" s="1" t="s">
        <v>14</v>
      </c>
      <c r="J409" s="14">
        <v>0.64229166666666659</v>
      </c>
      <c r="K409" s="15">
        <v>44751</v>
      </c>
      <c r="M409" s="2">
        <v>2.12</v>
      </c>
      <c r="O409" s="2">
        <f t="shared" si="43"/>
        <v>2.0500000000000003</v>
      </c>
      <c r="P409" s="2">
        <f t="shared" si="44"/>
        <v>62.142857142857153</v>
      </c>
      <c r="Q409" s="2">
        <f t="shared" si="45"/>
        <v>0.27174999999999416</v>
      </c>
      <c r="R409" s="2">
        <f t="shared" si="46"/>
        <v>0.31082857142856485</v>
      </c>
      <c r="S409" s="2">
        <f t="shared" si="47"/>
        <v>-3.9078571428570685E-2</v>
      </c>
    </row>
    <row r="410" spans="2:19" x14ac:dyDescent="0.25">
      <c r="B410" s="1">
        <f t="shared" si="48"/>
        <v>404</v>
      </c>
      <c r="C410" s="1">
        <v>612</v>
      </c>
      <c r="D410" s="13">
        <v>54.4</v>
      </c>
      <c r="E410" s="1" t="s">
        <v>11</v>
      </c>
      <c r="F410" s="2">
        <v>2.145</v>
      </c>
      <c r="G410" s="1" t="s">
        <v>12</v>
      </c>
      <c r="H410" s="1" t="s">
        <v>13</v>
      </c>
      <c r="I410" s="1" t="s">
        <v>14</v>
      </c>
      <c r="J410" s="14">
        <v>0.64229166666666659</v>
      </c>
      <c r="K410" s="15">
        <v>44751</v>
      </c>
      <c r="M410" s="2">
        <v>2.125</v>
      </c>
      <c r="O410" s="2">
        <f t="shared" si="43"/>
        <v>2.0550000000000002</v>
      </c>
      <c r="P410" s="2">
        <f t="shared" si="44"/>
        <v>62.188571428571436</v>
      </c>
      <c r="Q410" s="2">
        <f t="shared" si="45"/>
        <v>0.27224999999999422</v>
      </c>
      <c r="R410" s="2">
        <f t="shared" si="46"/>
        <v>0.31105714285713626</v>
      </c>
      <c r="S410" s="2">
        <f t="shared" si="47"/>
        <v>-3.8807142857142041E-2</v>
      </c>
    </row>
    <row r="411" spans="2:19" x14ac:dyDescent="0.25">
      <c r="B411" s="1">
        <f t="shared" si="48"/>
        <v>405</v>
      </c>
      <c r="C411" s="1">
        <v>613</v>
      </c>
      <c r="D411" s="13">
        <v>54.5</v>
      </c>
      <c r="E411" s="1" t="s">
        <v>11</v>
      </c>
      <c r="F411" s="2">
        <v>2.15</v>
      </c>
      <c r="G411" s="1" t="s">
        <v>12</v>
      </c>
      <c r="H411" s="1" t="s">
        <v>13</v>
      </c>
      <c r="I411" s="1" t="s">
        <v>14</v>
      </c>
      <c r="J411" s="14">
        <v>0.64229166666666659</v>
      </c>
      <c r="K411" s="15">
        <v>44751</v>
      </c>
      <c r="M411" s="2">
        <v>2.13</v>
      </c>
      <c r="O411" s="2">
        <f t="shared" si="43"/>
        <v>2.06</v>
      </c>
      <c r="P411" s="2">
        <f t="shared" si="44"/>
        <v>62.234285714285718</v>
      </c>
      <c r="Q411" s="2">
        <f t="shared" si="45"/>
        <v>0.27249999999999419</v>
      </c>
      <c r="R411" s="2">
        <f t="shared" si="46"/>
        <v>0.31128571428570767</v>
      </c>
      <c r="S411" s="2">
        <f t="shared" si="47"/>
        <v>-3.878571428571348E-2</v>
      </c>
    </row>
    <row r="412" spans="2:19" x14ac:dyDescent="0.25">
      <c r="B412" s="1">
        <f t="shared" si="48"/>
        <v>406</v>
      </c>
      <c r="C412" s="1">
        <v>614</v>
      </c>
      <c r="D412" s="13">
        <v>54.5</v>
      </c>
      <c r="E412" s="1" t="s">
        <v>11</v>
      </c>
      <c r="F412" s="2">
        <v>2.1549999999999998</v>
      </c>
      <c r="G412" s="1" t="s">
        <v>12</v>
      </c>
      <c r="H412" s="1" t="s">
        <v>13</v>
      </c>
      <c r="I412" s="1" t="s">
        <v>14</v>
      </c>
      <c r="J412" s="14">
        <v>0.64229166666666659</v>
      </c>
      <c r="K412" s="15">
        <v>44751</v>
      </c>
      <c r="M412" s="2">
        <v>2.1349999999999998</v>
      </c>
      <c r="O412" s="2">
        <f t="shared" si="43"/>
        <v>2.0649999999999999</v>
      </c>
      <c r="P412" s="2">
        <f t="shared" si="44"/>
        <v>62.28</v>
      </c>
      <c r="Q412" s="2">
        <f t="shared" si="45"/>
        <v>0.27200000000001834</v>
      </c>
      <c r="R412" s="2">
        <f t="shared" si="46"/>
        <v>0.31151428571430678</v>
      </c>
      <c r="S412" s="2">
        <f t="shared" si="47"/>
        <v>-3.9514285714288444E-2</v>
      </c>
    </row>
    <row r="413" spans="2:19" x14ac:dyDescent="0.25">
      <c r="B413" s="1">
        <f t="shared" si="48"/>
        <v>407</v>
      </c>
      <c r="C413" s="1">
        <v>615</v>
      </c>
      <c r="D413" s="13">
        <v>54.3</v>
      </c>
      <c r="E413" s="1" t="s">
        <v>11</v>
      </c>
      <c r="F413" s="2">
        <v>2.16</v>
      </c>
      <c r="G413" s="1" t="s">
        <v>12</v>
      </c>
      <c r="H413" s="1" t="s">
        <v>13</v>
      </c>
      <c r="I413" s="1" t="s">
        <v>14</v>
      </c>
      <c r="J413" s="14">
        <v>0.64229166666666659</v>
      </c>
      <c r="K413" s="15">
        <v>44751</v>
      </c>
      <c r="M413" s="2">
        <v>2.14</v>
      </c>
      <c r="O413" s="2">
        <f t="shared" si="43"/>
        <v>2.0700000000000003</v>
      </c>
      <c r="P413" s="2">
        <f t="shared" si="44"/>
        <v>62.325714285714298</v>
      </c>
      <c r="Q413" s="2">
        <f t="shared" si="45"/>
        <v>0.27149999999999419</v>
      </c>
      <c r="R413" s="2">
        <f t="shared" si="46"/>
        <v>0.31174285714285055</v>
      </c>
      <c r="S413" s="2">
        <f t="shared" si="47"/>
        <v>-4.0242857142856359E-2</v>
      </c>
    </row>
    <row r="414" spans="2:19" x14ac:dyDescent="0.25">
      <c r="B414" s="1">
        <f t="shared" si="48"/>
        <v>408</v>
      </c>
      <c r="C414" s="1">
        <v>616</v>
      </c>
      <c r="D414" s="13">
        <v>54.3</v>
      </c>
      <c r="E414" s="1" t="s">
        <v>11</v>
      </c>
      <c r="F414" s="2">
        <v>2.165</v>
      </c>
      <c r="G414" s="1" t="s">
        <v>12</v>
      </c>
      <c r="H414" s="1" t="s">
        <v>13</v>
      </c>
      <c r="I414" s="1" t="s">
        <v>14</v>
      </c>
      <c r="J414" s="14">
        <v>0.64229166666666659</v>
      </c>
      <c r="K414" s="15">
        <v>44751</v>
      </c>
      <c r="M414" s="2">
        <v>2.145</v>
      </c>
      <c r="O414" s="2">
        <f t="shared" si="43"/>
        <v>2.0750000000000002</v>
      </c>
      <c r="P414" s="2">
        <f t="shared" si="44"/>
        <v>62.371428571428581</v>
      </c>
      <c r="Q414" s="2">
        <f t="shared" si="45"/>
        <v>0.27124999999999422</v>
      </c>
      <c r="R414" s="2">
        <f t="shared" si="46"/>
        <v>0.31197142857142196</v>
      </c>
      <c r="S414" s="2">
        <f t="shared" si="47"/>
        <v>-4.0721428571427742E-2</v>
      </c>
    </row>
    <row r="415" spans="2:19" x14ac:dyDescent="0.25">
      <c r="B415" s="1">
        <f t="shared" si="48"/>
        <v>409</v>
      </c>
      <c r="C415" s="1">
        <v>618</v>
      </c>
      <c r="D415" s="13">
        <v>54.2</v>
      </c>
      <c r="E415" s="1" t="s">
        <v>11</v>
      </c>
      <c r="F415" s="2">
        <v>2.17</v>
      </c>
      <c r="G415" s="1" t="s">
        <v>12</v>
      </c>
      <c r="H415" s="1" t="s">
        <v>13</v>
      </c>
      <c r="I415" s="1" t="s">
        <v>14</v>
      </c>
      <c r="J415" s="14">
        <v>0.64229166666666659</v>
      </c>
      <c r="K415" s="15">
        <v>44751</v>
      </c>
      <c r="M415" s="2">
        <v>2.15</v>
      </c>
      <c r="O415" s="2">
        <f t="shared" si="43"/>
        <v>2.08</v>
      </c>
      <c r="P415" s="2">
        <f t="shared" si="44"/>
        <v>62.417142857142863</v>
      </c>
      <c r="Q415" s="2">
        <f t="shared" si="45"/>
        <v>0.27124999999999422</v>
      </c>
      <c r="R415" s="2">
        <f t="shared" si="46"/>
        <v>0.31219999999999337</v>
      </c>
      <c r="S415" s="2">
        <f t="shared" si="47"/>
        <v>-4.0949999999999154E-2</v>
      </c>
    </row>
    <row r="416" spans="2:19" x14ac:dyDescent="0.25">
      <c r="B416" s="1">
        <f t="shared" si="48"/>
        <v>410</v>
      </c>
      <c r="C416" s="1">
        <v>619</v>
      </c>
      <c r="D416" s="13">
        <v>54.3</v>
      </c>
      <c r="E416" s="1" t="s">
        <v>11</v>
      </c>
      <c r="F416" s="2">
        <v>2.1749999999999998</v>
      </c>
      <c r="G416" s="1" t="s">
        <v>12</v>
      </c>
      <c r="H416" s="1" t="s">
        <v>13</v>
      </c>
      <c r="I416" s="1" t="s">
        <v>14</v>
      </c>
      <c r="J416" s="14">
        <v>0.64230324074074074</v>
      </c>
      <c r="K416" s="15">
        <v>44751</v>
      </c>
      <c r="M416" s="2">
        <v>2.1549999999999998</v>
      </c>
      <c r="O416" s="2">
        <f t="shared" si="43"/>
        <v>2.085</v>
      </c>
      <c r="P416" s="2">
        <f t="shared" si="44"/>
        <v>62.462857142857146</v>
      </c>
      <c r="Q416" s="2">
        <f t="shared" si="45"/>
        <v>0.27150000000001834</v>
      </c>
      <c r="R416" s="2">
        <f t="shared" si="46"/>
        <v>0.31242857142859254</v>
      </c>
      <c r="S416" s="2">
        <f t="shared" si="47"/>
        <v>-4.0928571428574201E-2</v>
      </c>
    </row>
    <row r="417" spans="2:19" x14ac:dyDescent="0.25">
      <c r="B417" s="1">
        <f t="shared" si="48"/>
        <v>411</v>
      </c>
      <c r="C417" s="1">
        <v>620</v>
      </c>
      <c r="D417" s="13">
        <v>54.3</v>
      </c>
      <c r="E417" s="1" t="s">
        <v>11</v>
      </c>
      <c r="F417" s="2">
        <v>2.1800000000000002</v>
      </c>
      <c r="G417" s="1" t="s">
        <v>12</v>
      </c>
      <c r="H417" s="1" t="s">
        <v>13</v>
      </c>
      <c r="I417" s="1" t="s">
        <v>14</v>
      </c>
      <c r="J417" s="14">
        <v>0.64230324074074074</v>
      </c>
      <c r="K417" s="15">
        <v>44751</v>
      </c>
      <c r="M417" s="2">
        <v>2.16</v>
      </c>
      <c r="O417" s="2">
        <f t="shared" si="43"/>
        <v>2.0900000000000003</v>
      </c>
      <c r="P417" s="2">
        <f t="shared" si="44"/>
        <v>62.508571428571436</v>
      </c>
      <c r="Q417" s="2">
        <f t="shared" si="45"/>
        <v>0.27149999999999419</v>
      </c>
      <c r="R417" s="2">
        <f t="shared" si="46"/>
        <v>0.31265714285713619</v>
      </c>
      <c r="S417" s="2">
        <f t="shared" si="47"/>
        <v>-4.1157142857142004E-2</v>
      </c>
    </row>
    <row r="418" spans="2:19" x14ac:dyDescent="0.25">
      <c r="B418" s="1">
        <f t="shared" si="48"/>
        <v>412</v>
      </c>
      <c r="C418" s="1">
        <v>621</v>
      </c>
      <c r="D418" s="13">
        <v>54.3</v>
      </c>
      <c r="E418" s="1" t="s">
        <v>11</v>
      </c>
      <c r="F418" s="2">
        <v>2.1850000000000001</v>
      </c>
      <c r="G418" s="1" t="s">
        <v>12</v>
      </c>
      <c r="H418" s="1" t="s">
        <v>13</v>
      </c>
      <c r="I418" s="1" t="s">
        <v>14</v>
      </c>
      <c r="J418" s="14">
        <v>0.64230324074074074</v>
      </c>
      <c r="K418" s="15">
        <v>44751</v>
      </c>
      <c r="M418" s="2">
        <v>2.165</v>
      </c>
      <c r="O418" s="2">
        <f t="shared" si="43"/>
        <v>2.0950000000000002</v>
      </c>
      <c r="P418" s="2">
        <f t="shared" si="44"/>
        <v>62.554285714285726</v>
      </c>
      <c r="Q418" s="2">
        <f t="shared" si="45"/>
        <v>0.27174999999999416</v>
      </c>
      <c r="R418" s="2">
        <f t="shared" si="46"/>
        <v>0.31288571428570766</v>
      </c>
      <c r="S418" s="2">
        <f t="shared" si="47"/>
        <v>-4.1135714285713498E-2</v>
      </c>
    </row>
    <row r="419" spans="2:19" x14ac:dyDescent="0.25">
      <c r="B419" s="1">
        <f t="shared" si="48"/>
        <v>413</v>
      </c>
      <c r="C419" s="1">
        <v>623</v>
      </c>
      <c r="D419" s="13">
        <v>54.4</v>
      </c>
      <c r="E419" s="1" t="s">
        <v>11</v>
      </c>
      <c r="F419" s="2">
        <v>2.19</v>
      </c>
      <c r="G419" s="1" t="s">
        <v>12</v>
      </c>
      <c r="H419" s="1" t="s">
        <v>13</v>
      </c>
      <c r="I419" s="1" t="s">
        <v>14</v>
      </c>
      <c r="J419" s="14">
        <v>0.64230324074074074</v>
      </c>
      <c r="K419" s="15">
        <v>44751</v>
      </c>
      <c r="M419" s="2">
        <v>2.17</v>
      </c>
      <c r="O419" s="2">
        <f t="shared" si="43"/>
        <v>2.1</v>
      </c>
      <c r="P419" s="2">
        <f t="shared" si="44"/>
        <v>62.600000000000009</v>
      </c>
      <c r="Q419" s="2">
        <f t="shared" si="45"/>
        <v>0.27224999999999422</v>
      </c>
      <c r="R419" s="2">
        <f t="shared" si="46"/>
        <v>0.31311428571427907</v>
      </c>
      <c r="S419" s="2">
        <f t="shared" si="47"/>
        <v>-4.0864285714284854E-2</v>
      </c>
    </row>
    <row r="420" spans="2:19" x14ac:dyDescent="0.25">
      <c r="B420" s="1">
        <f t="shared" si="48"/>
        <v>414</v>
      </c>
      <c r="C420" s="1">
        <v>624</v>
      </c>
      <c r="D420" s="13">
        <v>54.5</v>
      </c>
      <c r="E420" s="1" t="s">
        <v>11</v>
      </c>
      <c r="F420" s="2">
        <v>2.1949999999999998</v>
      </c>
      <c r="G420" s="1" t="s">
        <v>12</v>
      </c>
      <c r="H420" s="1" t="s">
        <v>13</v>
      </c>
      <c r="I420" s="1" t="s">
        <v>14</v>
      </c>
      <c r="J420" s="14">
        <v>0.64230324074074074</v>
      </c>
      <c r="K420" s="15">
        <v>44751</v>
      </c>
      <c r="M420" s="2">
        <v>2.1749999999999998</v>
      </c>
      <c r="O420" s="2">
        <f t="shared" si="43"/>
        <v>2.105</v>
      </c>
      <c r="P420" s="2">
        <f t="shared" si="44"/>
        <v>62.645714285714291</v>
      </c>
      <c r="Q420" s="2">
        <f t="shared" si="45"/>
        <v>0.27300000000001845</v>
      </c>
      <c r="R420" s="2">
        <f t="shared" si="46"/>
        <v>0.31334285714287835</v>
      </c>
      <c r="S420" s="2">
        <f t="shared" si="47"/>
        <v>-4.03428571428599E-2</v>
      </c>
    </row>
    <row r="421" spans="2:19" x14ac:dyDescent="0.25">
      <c r="B421" s="1">
        <f t="shared" si="48"/>
        <v>415</v>
      </c>
      <c r="C421" s="1">
        <v>626</v>
      </c>
      <c r="D421" s="13">
        <v>54.7</v>
      </c>
      <c r="E421" s="1" t="s">
        <v>11</v>
      </c>
      <c r="F421" s="2">
        <v>2.2000000000000002</v>
      </c>
      <c r="G421" s="1" t="s">
        <v>12</v>
      </c>
      <c r="H421" s="1" t="s">
        <v>13</v>
      </c>
      <c r="I421" s="1" t="s">
        <v>14</v>
      </c>
      <c r="J421" s="14">
        <v>0.64230324074074074</v>
      </c>
      <c r="K421" s="15">
        <v>44751</v>
      </c>
      <c r="M421" s="2">
        <v>2.1800000000000002</v>
      </c>
      <c r="O421" s="2">
        <f t="shared" si="43"/>
        <v>2.1100000000000003</v>
      </c>
      <c r="P421" s="2">
        <f t="shared" si="44"/>
        <v>62.691428571428581</v>
      </c>
      <c r="Q421" s="2">
        <f t="shared" si="45"/>
        <v>0.27374999999999416</v>
      </c>
      <c r="R421" s="2">
        <f t="shared" si="46"/>
        <v>0.31357142857142195</v>
      </c>
      <c r="S421" s="2">
        <f t="shared" si="47"/>
        <v>-3.9821428571427786E-2</v>
      </c>
    </row>
    <row r="422" spans="2:19" x14ac:dyDescent="0.25">
      <c r="B422" s="1">
        <f t="shared" si="48"/>
        <v>416</v>
      </c>
      <c r="C422" s="1">
        <v>628</v>
      </c>
      <c r="D422" s="13">
        <v>54.8</v>
      </c>
      <c r="E422" s="1" t="s">
        <v>11</v>
      </c>
      <c r="F422" s="2">
        <v>2.2050000000000001</v>
      </c>
      <c r="G422" s="1" t="s">
        <v>12</v>
      </c>
      <c r="H422" s="1" t="s">
        <v>13</v>
      </c>
      <c r="I422" s="1" t="s">
        <v>14</v>
      </c>
      <c r="J422" s="14">
        <v>0.64230324074074074</v>
      </c>
      <c r="K422" s="15">
        <v>44751</v>
      </c>
      <c r="M422" s="2">
        <v>2.1850000000000001</v>
      </c>
      <c r="O422" s="2">
        <f t="shared" si="43"/>
        <v>2.1150000000000002</v>
      </c>
      <c r="P422" s="2">
        <f t="shared" si="44"/>
        <v>62.737142857142864</v>
      </c>
      <c r="Q422" s="2">
        <f t="shared" si="45"/>
        <v>0.27374999999999416</v>
      </c>
      <c r="R422" s="2">
        <f t="shared" si="46"/>
        <v>0.31379999999999336</v>
      </c>
      <c r="S422" s="2">
        <f t="shared" si="47"/>
        <v>-4.0049999999999197E-2</v>
      </c>
    </row>
    <row r="423" spans="2:19" x14ac:dyDescent="0.25">
      <c r="B423" s="1">
        <f t="shared" si="48"/>
        <v>417</v>
      </c>
      <c r="C423" s="1">
        <v>629</v>
      </c>
      <c r="D423" s="13">
        <v>54.7</v>
      </c>
      <c r="E423" s="1" t="s">
        <v>11</v>
      </c>
      <c r="F423" s="2">
        <v>2.21</v>
      </c>
      <c r="G423" s="1" t="s">
        <v>12</v>
      </c>
      <c r="H423" s="1" t="s">
        <v>13</v>
      </c>
      <c r="I423" s="1" t="s">
        <v>14</v>
      </c>
      <c r="J423" s="14">
        <v>0.64231481481481478</v>
      </c>
      <c r="K423" s="15">
        <v>44751</v>
      </c>
      <c r="M423" s="2">
        <v>2.19</v>
      </c>
      <c r="O423" s="2">
        <f t="shared" si="43"/>
        <v>2.12</v>
      </c>
      <c r="P423" s="2">
        <f t="shared" si="44"/>
        <v>62.782857142857154</v>
      </c>
      <c r="Q423" s="2">
        <f t="shared" si="45"/>
        <v>0.27349999999999419</v>
      </c>
      <c r="R423" s="2">
        <f t="shared" si="46"/>
        <v>0.31402857142856477</v>
      </c>
      <c r="S423" s="2">
        <f t="shared" si="47"/>
        <v>-4.0528571428570581E-2</v>
      </c>
    </row>
    <row r="424" spans="2:19" x14ac:dyDescent="0.25">
      <c r="B424" s="1">
        <f t="shared" si="48"/>
        <v>418</v>
      </c>
      <c r="C424" s="1">
        <v>631</v>
      </c>
      <c r="D424" s="13">
        <v>54.7</v>
      </c>
      <c r="E424" s="1" t="s">
        <v>11</v>
      </c>
      <c r="F424" s="2">
        <v>2.2149999999999999</v>
      </c>
      <c r="G424" s="1" t="s">
        <v>12</v>
      </c>
      <c r="H424" s="1" t="s">
        <v>13</v>
      </c>
      <c r="I424" s="1" t="s">
        <v>14</v>
      </c>
      <c r="J424" s="14">
        <v>0.64231481481481478</v>
      </c>
      <c r="K424" s="15">
        <v>44751</v>
      </c>
      <c r="M424" s="2">
        <v>2.1949999999999998</v>
      </c>
      <c r="O424" s="2">
        <f t="shared" si="43"/>
        <v>2.125</v>
      </c>
      <c r="P424" s="2">
        <f t="shared" si="44"/>
        <v>62.828571428571436</v>
      </c>
      <c r="Q424" s="2">
        <f t="shared" si="45"/>
        <v>0.27325000000001848</v>
      </c>
      <c r="R424" s="2">
        <f t="shared" si="46"/>
        <v>0.31425714285716411</v>
      </c>
      <c r="S424" s="2">
        <f t="shared" si="47"/>
        <v>-4.1007142857145629E-2</v>
      </c>
    </row>
    <row r="425" spans="2:19" x14ac:dyDescent="0.25">
      <c r="B425" s="1">
        <f t="shared" si="48"/>
        <v>419</v>
      </c>
      <c r="C425" s="1">
        <v>632</v>
      </c>
      <c r="D425" s="13">
        <v>54.6</v>
      </c>
      <c r="E425" s="1" t="s">
        <v>11</v>
      </c>
      <c r="F425" s="2">
        <v>2.2200000000000002</v>
      </c>
      <c r="G425" s="1" t="s">
        <v>12</v>
      </c>
      <c r="H425" s="1" t="s">
        <v>13</v>
      </c>
      <c r="I425" s="1" t="s">
        <v>14</v>
      </c>
      <c r="J425" s="14">
        <v>0.64231481481481478</v>
      </c>
      <c r="K425" s="15">
        <v>44751</v>
      </c>
      <c r="M425" s="2">
        <v>2.2000000000000002</v>
      </c>
      <c r="O425" s="2">
        <f t="shared" si="43"/>
        <v>2.1300000000000003</v>
      </c>
      <c r="P425" s="2">
        <f t="shared" si="44"/>
        <v>62.874285714285719</v>
      </c>
      <c r="Q425" s="2">
        <f t="shared" si="45"/>
        <v>0.27274999999999416</v>
      </c>
      <c r="R425" s="2">
        <f t="shared" si="46"/>
        <v>0.31448571428570765</v>
      </c>
      <c r="S425" s="2">
        <f t="shared" si="47"/>
        <v>-4.1735714285713488E-2</v>
      </c>
    </row>
    <row r="426" spans="2:19" x14ac:dyDescent="0.25">
      <c r="B426" s="1">
        <f t="shared" si="48"/>
        <v>420</v>
      </c>
      <c r="C426" s="1">
        <v>634</v>
      </c>
      <c r="D426" s="13">
        <v>54.5</v>
      </c>
      <c r="E426" s="1" t="s">
        <v>11</v>
      </c>
      <c r="F426" s="2">
        <v>2.2250000000000001</v>
      </c>
      <c r="G426" s="1" t="s">
        <v>12</v>
      </c>
      <c r="H426" s="1" t="s">
        <v>13</v>
      </c>
      <c r="I426" s="1" t="s">
        <v>14</v>
      </c>
      <c r="J426" s="14">
        <v>0.64231481481481478</v>
      </c>
      <c r="K426" s="15">
        <v>44751</v>
      </c>
      <c r="M426" s="2">
        <v>2.2050000000000001</v>
      </c>
      <c r="O426" s="2">
        <f t="shared" si="43"/>
        <v>2.1350000000000002</v>
      </c>
      <c r="P426" s="2">
        <f t="shared" si="44"/>
        <v>62.920000000000009</v>
      </c>
      <c r="Q426" s="2">
        <f t="shared" si="45"/>
        <v>0.27274999999999416</v>
      </c>
      <c r="R426" s="2">
        <f t="shared" si="46"/>
        <v>0.31471428571427906</v>
      </c>
      <c r="S426" s="2">
        <f t="shared" si="47"/>
        <v>-4.1964285714284899E-2</v>
      </c>
    </row>
    <row r="427" spans="2:19" x14ac:dyDescent="0.25">
      <c r="B427" s="1">
        <f t="shared" si="48"/>
        <v>421</v>
      </c>
      <c r="C427" s="1">
        <v>636</v>
      </c>
      <c r="D427" s="13">
        <v>54.6</v>
      </c>
      <c r="E427" s="1" t="s">
        <v>11</v>
      </c>
      <c r="F427" s="2">
        <v>2.23</v>
      </c>
      <c r="G427" s="1" t="s">
        <v>12</v>
      </c>
      <c r="H427" s="1" t="s">
        <v>13</v>
      </c>
      <c r="I427" s="1" t="s">
        <v>14</v>
      </c>
      <c r="J427" s="14">
        <v>0.64231481481481478</v>
      </c>
      <c r="K427" s="15">
        <v>44751</v>
      </c>
      <c r="M427" s="2">
        <v>2.21</v>
      </c>
      <c r="O427" s="2">
        <f t="shared" si="43"/>
        <v>2.14</v>
      </c>
      <c r="P427" s="2">
        <f t="shared" si="44"/>
        <v>62.965714285714292</v>
      </c>
      <c r="Q427" s="2">
        <f t="shared" si="45"/>
        <v>0.27249999999999419</v>
      </c>
      <c r="R427" s="2">
        <f t="shared" si="46"/>
        <v>0.31494285714285047</v>
      </c>
      <c r="S427" s="2">
        <f t="shared" si="47"/>
        <v>-4.2442857142856283E-2</v>
      </c>
    </row>
    <row r="428" spans="2:19" x14ac:dyDescent="0.25">
      <c r="B428" s="1">
        <f t="shared" si="48"/>
        <v>422</v>
      </c>
      <c r="C428" s="1">
        <v>638</v>
      </c>
      <c r="D428" s="13">
        <v>54.4</v>
      </c>
      <c r="E428" s="1" t="s">
        <v>11</v>
      </c>
      <c r="F428" s="2">
        <v>2.2349999999999999</v>
      </c>
      <c r="G428" s="1" t="s">
        <v>12</v>
      </c>
      <c r="H428" s="1" t="s">
        <v>13</v>
      </c>
      <c r="I428" s="1" t="s">
        <v>14</v>
      </c>
      <c r="J428" s="14">
        <v>0.64231481481481478</v>
      </c>
      <c r="K428" s="15">
        <v>44751</v>
      </c>
      <c r="M428" s="2">
        <v>2.2149999999999999</v>
      </c>
      <c r="O428" s="2">
        <f t="shared" si="43"/>
        <v>2.145</v>
      </c>
      <c r="P428" s="2">
        <f t="shared" si="44"/>
        <v>63.011428571428581</v>
      </c>
      <c r="Q428" s="2">
        <f t="shared" si="45"/>
        <v>0.27200000000001834</v>
      </c>
      <c r="R428" s="2">
        <f t="shared" si="46"/>
        <v>0.31517142857144986</v>
      </c>
      <c r="S428" s="2">
        <f t="shared" si="47"/>
        <v>-4.3171428571431525E-2</v>
      </c>
    </row>
    <row r="429" spans="2:19" x14ac:dyDescent="0.25">
      <c r="B429" s="1">
        <f t="shared" si="48"/>
        <v>423</v>
      </c>
      <c r="C429" s="1">
        <v>639</v>
      </c>
      <c r="D429" s="13">
        <v>54.4</v>
      </c>
      <c r="E429" s="1" t="s">
        <v>11</v>
      </c>
      <c r="F429" s="2">
        <v>2.2400000000000002</v>
      </c>
      <c r="G429" s="1" t="s">
        <v>12</v>
      </c>
      <c r="H429" s="1" t="s">
        <v>13</v>
      </c>
      <c r="I429" s="1" t="s">
        <v>14</v>
      </c>
      <c r="J429" s="14">
        <v>0.64232638888888893</v>
      </c>
      <c r="K429" s="15">
        <v>44751</v>
      </c>
      <c r="M429" s="2">
        <v>2.2200000000000002</v>
      </c>
      <c r="O429" s="2">
        <f t="shared" si="43"/>
        <v>2.1500000000000004</v>
      </c>
      <c r="P429" s="2">
        <f t="shared" si="44"/>
        <v>63.057142857142864</v>
      </c>
      <c r="Q429" s="2">
        <f t="shared" si="45"/>
        <v>0.27149999999999419</v>
      </c>
      <c r="R429" s="2">
        <f t="shared" si="46"/>
        <v>0.3153999999999933</v>
      </c>
      <c r="S429" s="2">
        <f t="shared" si="47"/>
        <v>-4.3899999999999106E-2</v>
      </c>
    </row>
    <row r="430" spans="2:19" x14ac:dyDescent="0.25">
      <c r="B430" s="1">
        <f t="shared" si="48"/>
        <v>424</v>
      </c>
      <c r="C430" s="1">
        <v>641</v>
      </c>
      <c r="D430" s="13">
        <v>54.2</v>
      </c>
      <c r="E430" s="1" t="s">
        <v>11</v>
      </c>
      <c r="F430" s="2">
        <v>2.2450000000000001</v>
      </c>
      <c r="G430" s="1" t="s">
        <v>12</v>
      </c>
      <c r="H430" s="1" t="s">
        <v>13</v>
      </c>
      <c r="I430" s="1" t="s">
        <v>14</v>
      </c>
      <c r="J430" s="14">
        <v>0.64232638888888893</v>
      </c>
      <c r="K430" s="15">
        <v>44751</v>
      </c>
      <c r="M430" s="2">
        <v>2.2250000000000001</v>
      </c>
      <c r="O430" s="2">
        <f t="shared" si="43"/>
        <v>2.1550000000000002</v>
      </c>
      <c r="P430" s="2">
        <f t="shared" si="44"/>
        <v>63.102857142857147</v>
      </c>
      <c r="Q430" s="2">
        <f t="shared" si="45"/>
        <v>0.27174999999999422</v>
      </c>
      <c r="R430" s="2">
        <f t="shared" si="46"/>
        <v>0.31562857142856476</v>
      </c>
      <c r="S430" s="2">
        <f t="shared" si="47"/>
        <v>-4.3878571428570545E-2</v>
      </c>
    </row>
    <row r="431" spans="2:19" x14ac:dyDescent="0.25">
      <c r="B431" s="1">
        <f t="shared" si="48"/>
        <v>425</v>
      </c>
      <c r="C431" s="1">
        <v>643</v>
      </c>
      <c r="D431" s="13">
        <v>54.5</v>
      </c>
      <c r="E431" s="1" t="s">
        <v>11</v>
      </c>
      <c r="F431" s="2">
        <v>2.25</v>
      </c>
      <c r="G431" s="1" t="s">
        <v>12</v>
      </c>
      <c r="H431" s="1" t="s">
        <v>13</v>
      </c>
      <c r="I431" s="1" t="s">
        <v>14</v>
      </c>
      <c r="J431" s="14">
        <v>0.64232638888888893</v>
      </c>
      <c r="K431" s="15">
        <v>44751</v>
      </c>
      <c r="M431" s="2">
        <v>2.23</v>
      </c>
      <c r="O431" s="2">
        <f t="shared" si="43"/>
        <v>2.16</v>
      </c>
      <c r="P431" s="2">
        <f t="shared" si="44"/>
        <v>63.148571428571437</v>
      </c>
      <c r="Q431" s="2">
        <f t="shared" si="45"/>
        <v>0.27299999999999419</v>
      </c>
      <c r="R431" s="2">
        <f t="shared" si="46"/>
        <v>0.31585714285713617</v>
      </c>
      <c r="S431" s="2">
        <f t="shared" si="47"/>
        <v>-4.2857142857141983E-2</v>
      </c>
    </row>
    <row r="432" spans="2:19" x14ac:dyDescent="0.25">
      <c r="B432" s="1">
        <f t="shared" si="48"/>
        <v>426</v>
      </c>
      <c r="C432" s="1">
        <v>644</v>
      </c>
      <c r="D432" s="13">
        <v>54.7</v>
      </c>
      <c r="E432" s="1" t="s">
        <v>11</v>
      </c>
      <c r="F432" s="2">
        <v>2.2549999999999999</v>
      </c>
      <c r="G432" s="1" t="s">
        <v>12</v>
      </c>
      <c r="H432" s="1" t="s">
        <v>13</v>
      </c>
      <c r="I432" s="1" t="s">
        <v>14</v>
      </c>
      <c r="J432" s="14">
        <v>0.64232638888888893</v>
      </c>
      <c r="K432" s="15">
        <v>44751</v>
      </c>
      <c r="M432" s="2">
        <v>2.2349999999999999</v>
      </c>
      <c r="O432" s="2">
        <f t="shared" si="43"/>
        <v>2.165</v>
      </c>
      <c r="P432" s="2">
        <f t="shared" si="44"/>
        <v>63.194285714285719</v>
      </c>
      <c r="Q432" s="2">
        <f t="shared" si="45"/>
        <v>0.27374999999999416</v>
      </c>
      <c r="R432" s="2">
        <f t="shared" si="46"/>
        <v>0.31608571428570759</v>
      </c>
      <c r="S432" s="2">
        <f t="shared" si="47"/>
        <v>-4.2335714285713422E-2</v>
      </c>
    </row>
    <row r="433" spans="2:19" x14ac:dyDescent="0.25">
      <c r="B433" s="1">
        <f t="shared" si="48"/>
        <v>427</v>
      </c>
      <c r="C433" s="1">
        <v>646</v>
      </c>
      <c r="D433" s="13">
        <v>54.8</v>
      </c>
      <c r="E433" s="1" t="s">
        <v>11</v>
      </c>
      <c r="F433" s="2">
        <v>2.2599999999999998</v>
      </c>
      <c r="G433" s="1" t="s">
        <v>12</v>
      </c>
      <c r="H433" s="1" t="s">
        <v>13</v>
      </c>
      <c r="I433" s="1" t="s">
        <v>14</v>
      </c>
      <c r="J433" s="14">
        <v>0.64232638888888893</v>
      </c>
      <c r="K433" s="15">
        <v>44751</v>
      </c>
      <c r="M433" s="2">
        <v>2.2399999999999998</v>
      </c>
      <c r="O433" s="2">
        <f t="shared" si="43"/>
        <v>2.17</v>
      </c>
      <c r="P433" s="2">
        <f t="shared" si="44"/>
        <v>63.240000000000009</v>
      </c>
      <c r="Q433" s="2">
        <f t="shared" si="45"/>
        <v>0.27400000000001851</v>
      </c>
      <c r="R433" s="2">
        <f t="shared" si="46"/>
        <v>0.31631428571430709</v>
      </c>
      <c r="S433" s="2">
        <f t="shared" si="47"/>
        <v>-4.231428571428858E-2</v>
      </c>
    </row>
    <row r="434" spans="2:19" x14ac:dyDescent="0.25">
      <c r="B434" s="1">
        <f t="shared" si="48"/>
        <v>428</v>
      </c>
      <c r="C434" s="1">
        <v>647</v>
      </c>
      <c r="D434" s="13">
        <v>54.8</v>
      </c>
      <c r="E434" s="1" t="s">
        <v>11</v>
      </c>
      <c r="F434" s="2">
        <v>2.2650000000000001</v>
      </c>
      <c r="G434" s="1" t="s">
        <v>12</v>
      </c>
      <c r="H434" s="1" t="s">
        <v>13</v>
      </c>
      <c r="I434" s="1" t="s">
        <v>14</v>
      </c>
      <c r="J434" s="14">
        <v>0.64232638888888893</v>
      </c>
      <c r="K434" s="15">
        <v>44751</v>
      </c>
      <c r="M434" s="2">
        <v>2.2450000000000001</v>
      </c>
      <c r="O434" s="2">
        <f t="shared" si="43"/>
        <v>2.1750000000000003</v>
      </c>
      <c r="P434" s="2">
        <f t="shared" si="44"/>
        <v>63.285714285714292</v>
      </c>
      <c r="Q434" s="2">
        <f t="shared" si="45"/>
        <v>0.27374999999999416</v>
      </c>
      <c r="R434" s="2">
        <f t="shared" si="46"/>
        <v>0.31654285714285041</v>
      </c>
      <c r="S434" s="2">
        <f t="shared" si="47"/>
        <v>-4.2792857142856244E-2</v>
      </c>
    </row>
    <row r="435" spans="2:19" x14ac:dyDescent="0.25">
      <c r="B435" s="1">
        <f t="shared" si="48"/>
        <v>429</v>
      </c>
      <c r="C435" s="1">
        <v>648</v>
      </c>
      <c r="D435" s="13">
        <v>54.7</v>
      </c>
      <c r="E435" s="1" t="s">
        <v>11</v>
      </c>
      <c r="F435" s="2">
        <v>2.27</v>
      </c>
      <c r="G435" s="1" t="s">
        <v>12</v>
      </c>
      <c r="H435" s="1" t="s">
        <v>13</v>
      </c>
      <c r="I435" s="1" t="s">
        <v>14</v>
      </c>
      <c r="J435" s="14">
        <v>0.64232638888888893</v>
      </c>
      <c r="K435" s="15">
        <v>44751</v>
      </c>
      <c r="M435" s="2">
        <v>2.25</v>
      </c>
      <c r="O435" s="2">
        <f t="shared" si="43"/>
        <v>2.1800000000000002</v>
      </c>
      <c r="P435" s="2">
        <f t="shared" si="44"/>
        <v>63.331428571428575</v>
      </c>
      <c r="Q435" s="2">
        <f t="shared" si="45"/>
        <v>0.27374999999999416</v>
      </c>
      <c r="R435" s="2">
        <f t="shared" si="46"/>
        <v>0.31677142857142188</v>
      </c>
      <c r="S435" s="2">
        <f t="shared" si="47"/>
        <v>-4.3021428571427711E-2</v>
      </c>
    </row>
    <row r="436" spans="2:19" x14ac:dyDescent="0.25">
      <c r="B436" s="1">
        <f t="shared" si="48"/>
        <v>430</v>
      </c>
      <c r="C436" s="1">
        <v>649</v>
      </c>
      <c r="D436" s="13">
        <v>54.8</v>
      </c>
      <c r="E436" s="1" t="s">
        <v>11</v>
      </c>
      <c r="F436" s="2">
        <v>2.2749999999999999</v>
      </c>
      <c r="G436" s="1" t="s">
        <v>12</v>
      </c>
      <c r="H436" s="1" t="s">
        <v>13</v>
      </c>
      <c r="I436" s="1" t="s">
        <v>14</v>
      </c>
      <c r="J436" s="14">
        <v>0.64233796296296297</v>
      </c>
      <c r="K436" s="15">
        <v>44751</v>
      </c>
      <c r="M436" s="2">
        <v>2.2549999999999999</v>
      </c>
      <c r="O436" s="2">
        <f t="shared" si="43"/>
        <v>2.1850000000000001</v>
      </c>
      <c r="P436" s="2">
        <f t="shared" si="44"/>
        <v>63.377142857142864</v>
      </c>
      <c r="Q436" s="2">
        <f t="shared" si="45"/>
        <v>0.27399999999999414</v>
      </c>
      <c r="R436" s="2">
        <f t="shared" si="46"/>
        <v>0.31699999999999329</v>
      </c>
      <c r="S436" s="2">
        <f t="shared" si="47"/>
        <v>-4.299999999999915E-2</v>
      </c>
    </row>
    <row r="437" spans="2:19" x14ac:dyDescent="0.25">
      <c r="B437" s="1">
        <f t="shared" si="48"/>
        <v>431</v>
      </c>
      <c r="C437" s="1">
        <v>650</v>
      </c>
      <c r="D437" s="13">
        <v>54.8</v>
      </c>
      <c r="E437" s="1" t="s">
        <v>11</v>
      </c>
      <c r="F437" s="2">
        <v>2.2799999999999998</v>
      </c>
      <c r="G437" s="1" t="s">
        <v>12</v>
      </c>
      <c r="H437" s="1" t="s">
        <v>13</v>
      </c>
      <c r="I437" s="1" t="s">
        <v>14</v>
      </c>
      <c r="J437" s="14">
        <v>0.64233796296296297</v>
      </c>
      <c r="K437" s="15">
        <v>44751</v>
      </c>
      <c r="M437" s="2">
        <v>2.2599999999999998</v>
      </c>
      <c r="O437" s="2">
        <f t="shared" si="43"/>
        <v>2.19</v>
      </c>
      <c r="P437" s="2">
        <f t="shared" si="44"/>
        <v>63.422857142857147</v>
      </c>
      <c r="Q437" s="2">
        <f t="shared" si="45"/>
        <v>0.27400000000001851</v>
      </c>
      <c r="R437" s="2">
        <f t="shared" si="46"/>
        <v>0.31722857142859284</v>
      </c>
      <c r="S437" s="2">
        <f t="shared" si="47"/>
        <v>-4.3228571428574336E-2</v>
      </c>
    </row>
    <row r="438" spans="2:19" x14ac:dyDescent="0.25">
      <c r="B438" s="1">
        <f t="shared" si="48"/>
        <v>432</v>
      </c>
      <c r="C438" s="1">
        <v>651</v>
      </c>
      <c r="D438" s="13">
        <v>54.8</v>
      </c>
      <c r="E438" s="1" t="s">
        <v>11</v>
      </c>
      <c r="F438" s="2">
        <v>2.2850000000000001</v>
      </c>
      <c r="G438" s="1" t="s">
        <v>12</v>
      </c>
      <c r="H438" s="1" t="s">
        <v>13</v>
      </c>
      <c r="I438" s="1" t="s">
        <v>14</v>
      </c>
      <c r="J438" s="14">
        <v>0.64233796296296297</v>
      </c>
      <c r="K438" s="15">
        <v>44751</v>
      </c>
      <c r="M438" s="2">
        <v>2.2650000000000001</v>
      </c>
      <c r="O438" s="2">
        <f t="shared" si="43"/>
        <v>2.1950000000000003</v>
      </c>
      <c r="P438" s="2">
        <f t="shared" si="44"/>
        <v>63.468571428571437</v>
      </c>
      <c r="Q438" s="2">
        <f t="shared" si="45"/>
        <v>0.27399999999999414</v>
      </c>
      <c r="R438" s="2">
        <f t="shared" si="46"/>
        <v>0.31745714285713611</v>
      </c>
      <c r="S438" s="2">
        <f t="shared" si="47"/>
        <v>-4.3457142857141973E-2</v>
      </c>
    </row>
    <row r="439" spans="2:19" x14ac:dyDescent="0.25">
      <c r="B439" s="1">
        <f t="shared" si="48"/>
        <v>433</v>
      </c>
      <c r="C439" s="1">
        <v>652</v>
      </c>
      <c r="D439" s="13">
        <v>54.8</v>
      </c>
      <c r="E439" s="1" t="s">
        <v>11</v>
      </c>
      <c r="F439" s="2">
        <v>2.29</v>
      </c>
      <c r="G439" s="1" t="s">
        <v>12</v>
      </c>
      <c r="H439" s="1" t="s">
        <v>13</v>
      </c>
      <c r="I439" s="1" t="s">
        <v>14</v>
      </c>
      <c r="J439" s="14">
        <v>0.64233796296296297</v>
      </c>
      <c r="K439" s="15">
        <v>44751</v>
      </c>
      <c r="M439" s="2">
        <v>2.27</v>
      </c>
      <c r="O439" s="2">
        <f t="shared" si="43"/>
        <v>2.2000000000000002</v>
      </c>
      <c r="P439" s="2">
        <f t="shared" si="44"/>
        <v>63.51428571428572</v>
      </c>
      <c r="Q439" s="2">
        <f t="shared" si="45"/>
        <v>0.27424999999999411</v>
      </c>
      <c r="R439" s="2">
        <f t="shared" si="46"/>
        <v>0.31768571428570752</v>
      </c>
      <c r="S439" s="2">
        <f t="shared" si="47"/>
        <v>-4.3435714285713412E-2</v>
      </c>
    </row>
    <row r="440" spans="2:19" x14ac:dyDescent="0.25">
      <c r="B440" s="1">
        <f t="shared" si="48"/>
        <v>434</v>
      </c>
      <c r="C440" s="1">
        <v>654</v>
      </c>
      <c r="D440" s="13">
        <v>54.9</v>
      </c>
      <c r="E440" s="1" t="s">
        <v>11</v>
      </c>
      <c r="F440" s="2">
        <v>2.2949999999999999</v>
      </c>
      <c r="G440" s="1" t="s">
        <v>12</v>
      </c>
      <c r="H440" s="1" t="s">
        <v>13</v>
      </c>
      <c r="I440" s="1" t="s">
        <v>14</v>
      </c>
      <c r="J440" s="14">
        <v>0.64233796296296297</v>
      </c>
      <c r="K440" s="15">
        <v>44751</v>
      </c>
      <c r="M440" s="2">
        <v>2.2749999999999999</v>
      </c>
      <c r="O440" s="2">
        <f t="shared" si="43"/>
        <v>2.2050000000000001</v>
      </c>
      <c r="P440" s="2">
        <f t="shared" si="44"/>
        <v>63.56</v>
      </c>
      <c r="Q440" s="2">
        <f t="shared" si="45"/>
        <v>0.27474999999999417</v>
      </c>
      <c r="R440" s="2">
        <f t="shared" si="46"/>
        <v>0.31791428571427899</v>
      </c>
      <c r="S440" s="2">
        <f t="shared" si="47"/>
        <v>-4.3164285714284822E-2</v>
      </c>
    </row>
    <row r="441" spans="2:19" x14ac:dyDescent="0.25">
      <c r="B441" s="1">
        <f t="shared" si="48"/>
        <v>435</v>
      </c>
      <c r="C441" s="1">
        <v>655</v>
      </c>
      <c r="D441" s="13">
        <v>55</v>
      </c>
      <c r="E441" s="1" t="s">
        <v>11</v>
      </c>
      <c r="F441" s="2">
        <v>2.2999999999999998</v>
      </c>
      <c r="G441" s="1" t="s">
        <v>12</v>
      </c>
      <c r="H441" s="1" t="s">
        <v>13</v>
      </c>
      <c r="I441" s="1" t="s">
        <v>14</v>
      </c>
      <c r="J441" s="14">
        <v>0.64233796296296297</v>
      </c>
      <c r="K441" s="15">
        <v>44751</v>
      </c>
      <c r="M441" s="2">
        <v>2.2799999999999998</v>
      </c>
      <c r="O441" s="2">
        <f t="shared" si="43"/>
        <v>2.21</v>
      </c>
      <c r="P441" s="2">
        <f t="shared" si="44"/>
        <v>63.605714285714292</v>
      </c>
      <c r="Q441" s="2">
        <f t="shared" si="45"/>
        <v>0.27475000000001853</v>
      </c>
      <c r="R441" s="2">
        <f t="shared" si="46"/>
        <v>0.31814285714287865</v>
      </c>
      <c r="S441" s="2">
        <f t="shared" si="47"/>
        <v>-4.339285714286012E-2</v>
      </c>
    </row>
    <row r="442" spans="2:19" x14ac:dyDescent="0.25">
      <c r="B442" s="1">
        <f t="shared" si="48"/>
        <v>436</v>
      </c>
      <c r="C442" s="1">
        <v>656</v>
      </c>
      <c r="D442" s="13">
        <v>54.9</v>
      </c>
      <c r="E442" s="1" t="s">
        <v>11</v>
      </c>
      <c r="F442" s="2">
        <v>2.3050000000000002</v>
      </c>
      <c r="G442" s="1" t="s">
        <v>12</v>
      </c>
      <c r="H442" s="1" t="s">
        <v>13</v>
      </c>
      <c r="I442" s="1" t="s">
        <v>14</v>
      </c>
      <c r="J442" s="14">
        <v>0.64233796296296297</v>
      </c>
      <c r="K442" s="15">
        <v>44751</v>
      </c>
      <c r="M442" s="2">
        <v>2.2850000000000001</v>
      </c>
      <c r="O442" s="2">
        <f t="shared" si="43"/>
        <v>2.2150000000000003</v>
      </c>
      <c r="P442" s="2">
        <f t="shared" si="44"/>
        <v>63.651428571428582</v>
      </c>
      <c r="Q442" s="2">
        <f t="shared" si="45"/>
        <v>0.27424999999999411</v>
      </c>
      <c r="R442" s="2">
        <f t="shared" si="46"/>
        <v>0.31837142857142181</v>
      </c>
      <c r="S442" s="2">
        <f t="shared" si="47"/>
        <v>-4.4121428571427701E-2</v>
      </c>
    </row>
    <row r="443" spans="2:19" x14ac:dyDescent="0.25">
      <c r="B443" s="1">
        <f t="shared" si="48"/>
        <v>437</v>
      </c>
      <c r="C443" s="1">
        <v>658</v>
      </c>
      <c r="D443" s="13">
        <v>54.8</v>
      </c>
      <c r="E443" s="1" t="s">
        <v>11</v>
      </c>
      <c r="F443" s="2">
        <v>2.31</v>
      </c>
      <c r="G443" s="1" t="s">
        <v>12</v>
      </c>
      <c r="H443" s="1" t="s">
        <v>13</v>
      </c>
      <c r="I443" s="1" t="s">
        <v>14</v>
      </c>
      <c r="J443" s="14">
        <v>0.64233796296296297</v>
      </c>
      <c r="K443" s="15">
        <v>44751</v>
      </c>
      <c r="M443" s="2">
        <v>2.29</v>
      </c>
      <c r="O443" s="2">
        <f t="shared" si="43"/>
        <v>2.2200000000000002</v>
      </c>
      <c r="P443" s="2">
        <f t="shared" si="44"/>
        <v>63.697142857142865</v>
      </c>
      <c r="Q443" s="2">
        <f t="shared" si="45"/>
        <v>0.27399999999999414</v>
      </c>
      <c r="R443" s="2">
        <f t="shared" si="46"/>
        <v>0.31859999999999322</v>
      </c>
      <c r="S443" s="2">
        <f t="shared" si="47"/>
        <v>-4.4599999999999085E-2</v>
      </c>
    </row>
    <row r="444" spans="2:19" x14ac:dyDescent="0.25">
      <c r="B444" s="1">
        <f t="shared" si="48"/>
        <v>438</v>
      </c>
      <c r="C444" s="1">
        <v>659</v>
      </c>
      <c r="D444" s="13">
        <v>54.8</v>
      </c>
      <c r="E444" s="1" t="s">
        <v>11</v>
      </c>
      <c r="F444" s="2">
        <v>2.3149999999999999</v>
      </c>
      <c r="G444" s="1" t="s">
        <v>12</v>
      </c>
      <c r="H444" s="1" t="s">
        <v>13</v>
      </c>
      <c r="I444" s="1" t="s">
        <v>14</v>
      </c>
      <c r="J444" s="14">
        <v>0.64234953703703701</v>
      </c>
      <c r="K444" s="15">
        <v>44751</v>
      </c>
      <c r="M444" s="2">
        <v>2.2949999999999999</v>
      </c>
      <c r="O444" s="2">
        <f t="shared" si="43"/>
        <v>2.2250000000000001</v>
      </c>
      <c r="P444" s="2">
        <f t="shared" si="44"/>
        <v>63.742857142857147</v>
      </c>
      <c r="Q444" s="2">
        <f t="shared" si="45"/>
        <v>0.27399999999999414</v>
      </c>
      <c r="R444" s="2">
        <f t="shared" si="46"/>
        <v>0.31882857142856463</v>
      </c>
      <c r="S444" s="2">
        <f t="shared" si="47"/>
        <v>-4.4828571428570496E-2</v>
      </c>
    </row>
    <row r="445" spans="2:19" x14ac:dyDescent="0.25">
      <c r="B445" s="1">
        <f t="shared" si="48"/>
        <v>439</v>
      </c>
      <c r="C445" s="1">
        <v>661</v>
      </c>
      <c r="D445" s="13">
        <v>54.8</v>
      </c>
      <c r="E445" s="1" t="s">
        <v>11</v>
      </c>
      <c r="F445" s="2">
        <v>2.3199999999999998</v>
      </c>
      <c r="G445" s="1" t="s">
        <v>12</v>
      </c>
      <c r="H445" s="1" t="s">
        <v>13</v>
      </c>
      <c r="I445" s="1" t="s">
        <v>14</v>
      </c>
      <c r="J445" s="14">
        <v>0.64234953703703701</v>
      </c>
      <c r="K445" s="15">
        <v>44751</v>
      </c>
      <c r="M445" s="2">
        <v>2.2999999999999998</v>
      </c>
      <c r="O445" s="2">
        <f t="shared" si="43"/>
        <v>2.23</v>
      </c>
      <c r="P445" s="2">
        <f t="shared" si="44"/>
        <v>63.78857142857143</v>
      </c>
      <c r="Q445" s="2">
        <f t="shared" si="45"/>
        <v>0.27400000000001851</v>
      </c>
      <c r="R445" s="2">
        <f t="shared" si="46"/>
        <v>0.31905714285716441</v>
      </c>
      <c r="S445" s="2">
        <f t="shared" si="47"/>
        <v>-4.5057142857145904E-2</v>
      </c>
    </row>
    <row r="446" spans="2:19" x14ac:dyDescent="0.25">
      <c r="B446" s="1">
        <f t="shared" si="48"/>
        <v>440</v>
      </c>
      <c r="C446" s="1">
        <v>662</v>
      </c>
      <c r="D446" s="13">
        <v>54.8</v>
      </c>
      <c r="E446" s="1" t="s">
        <v>11</v>
      </c>
      <c r="F446" s="2">
        <v>2.3250000000000002</v>
      </c>
      <c r="G446" s="1" t="s">
        <v>12</v>
      </c>
      <c r="H446" s="1" t="s">
        <v>13</v>
      </c>
      <c r="I446" s="1" t="s">
        <v>14</v>
      </c>
      <c r="J446" s="14">
        <v>0.64234953703703701</v>
      </c>
      <c r="K446" s="15">
        <v>44751</v>
      </c>
      <c r="M446" s="2">
        <v>2.3050000000000002</v>
      </c>
      <c r="O446" s="2">
        <f t="shared" si="43"/>
        <v>2.2350000000000003</v>
      </c>
      <c r="P446" s="2">
        <f t="shared" si="44"/>
        <v>63.834285714285727</v>
      </c>
      <c r="Q446" s="2">
        <f t="shared" si="45"/>
        <v>0.27349999999999419</v>
      </c>
      <c r="R446" s="2">
        <f t="shared" si="46"/>
        <v>0.31928571428570751</v>
      </c>
      <c r="S446" s="2">
        <f t="shared" si="47"/>
        <v>-4.5785714285713319E-2</v>
      </c>
    </row>
    <row r="447" spans="2:19" x14ac:dyDescent="0.25">
      <c r="B447" s="1">
        <f t="shared" si="48"/>
        <v>441</v>
      </c>
      <c r="C447" s="1">
        <v>664</v>
      </c>
      <c r="D447" s="13">
        <v>54.6</v>
      </c>
      <c r="E447" s="1" t="s">
        <v>11</v>
      </c>
      <c r="F447" s="2">
        <v>2.33</v>
      </c>
      <c r="G447" s="1" t="s">
        <v>12</v>
      </c>
      <c r="H447" s="1" t="s">
        <v>13</v>
      </c>
      <c r="I447" s="1" t="s">
        <v>14</v>
      </c>
      <c r="J447" s="14">
        <v>0.64234953703703701</v>
      </c>
      <c r="K447" s="15">
        <v>44751</v>
      </c>
      <c r="M447" s="2">
        <v>2.31</v>
      </c>
      <c r="O447" s="2">
        <f t="shared" si="43"/>
        <v>2.2400000000000002</v>
      </c>
      <c r="P447" s="2">
        <f t="shared" si="44"/>
        <v>63.88000000000001</v>
      </c>
      <c r="Q447" s="2">
        <f t="shared" si="45"/>
        <v>0.27274999999999416</v>
      </c>
      <c r="R447" s="2">
        <f t="shared" si="46"/>
        <v>0.31951428571427892</v>
      </c>
      <c r="S447" s="2">
        <f t="shared" si="47"/>
        <v>-4.6764285714284759E-2</v>
      </c>
    </row>
    <row r="448" spans="2:19" x14ac:dyDescent="0.25">
      <c r="B448" s="1">
        <f t="shared" si="48"/>
        <v>442</v>
      </c>
      <c r="C448" s="1">
        <v>666</v>
      </c>
      <c r="D448" s="13">
        <v>54.5</v>
      </c>
      <c r="E448" s="1" t="s">
        <v>11</v>
      </c>
      <c r="F448" s="2">
        <v>2.335</v>
      </c>
      <c r="G448" s="1" t="s">
        <v>12</v>
      </c>
      <c r="H448" s="1" t="s">
        <v>13</v>
      </c>
      <c r="I448" s="1" t="s">
        <v>14</v>
      </c>
      <c r="J448" s="14">
        <v>0.64234953703703701</v>
      </c>
      <c r="K448" s="15">
        <v>44751</v>
      </c>
      <c r="M448" s="2">
        <v>2.3149999999999999</v>
      </c>
      <c r="O448" s="2">
        <f t="shared" si="43"/>
        <v>2.2450000000000001</v>
      </c>
      <c r="P448" s="2">
        <f t="shared" si="44"/>
        <v>63.925714285714292</v>
      </c>
      <c r="Q448" s="2">
        <f t="shared" si="45"/>
        <v>0.27249999999999419</v>
      </c>
      <c r="R448" s="2">
        <f t="shared" si="46"/>
        <v>0.31974285714285033</v>
      </c>
      <c r="S448" s="2">
        <f t="shared" si="47"/>
        <v>-4.7242857142856143E-2</v>
      </c>
    </row>
    <row r="449" spans="2:19" x14ac:dyDescent="0.25">
      <c r="B449" s="1">
        <f t="shared" si="48"/>
        <v>443</v>
      </c>
      <c r="C449" s="1">
        <v>668</v>
      </c>
      <c r="D449" s="13">
        <v>54.5</v>
      </c>
      <c r="E449" s="1" t="s">
        <v>11</v>
      </c>
      <c r="F449" s="2">
        <v>2.34</v>
      </c>
      <c r="G449" s="1" t="s">
        <v>12</v>
      </c>
      <c r="H449" s="1" t="s">
        <v>13</v>
      </c>
      <c r="I449" s="1" t="s">
        <v>14</v>
      </c>
      <c r="J449" s="14">
        <v>0.64234953703703701</v>
      </c>
      <c r="K449" s="15">
        <v>44751</v>
      </c>
      <c r="M449" s="2">
        <v>2.3199999999999998</v>
      </c>
      <c r="O449" s="2">
        <f t="shared" si="43"/>
        <v>2.25</v>
      </c>
      <c r="P449" s="2">
        <f t="shared" si="44"/>
        <v>63.971428571428575</v>
      </c>
      <c r="Q449" s="2">
        <f t="shared" si="45"/>
        <v>0.27275000000001842</v>
      </c>
      <c r="R449" s="2">
        <f t="shared" si="46"/>
        <v>0.31997142857145017</v>
      </c>
      <c r="S449" s="2">
        <f t="shared" si="47"/>
        <v>-4.7221428571431745E-2</v>
      </c>
    </row>
    <row r="450" spans="2:19" x14ac:dyDescent="0.25">
      <c r="B450" s="1">
        <f t="shared" si="48"/>
        <v>444</v>
      </c>
      <c r="C450" s="1">
        <v>670</v>
      </c>
      <c r="D450" s="13">
        <v>54.6</v>
      </c>
      <c r="E450" s="1" t="s">
        <v>11</v>
      </c>
      <c r="F450" s="2">
        <v>2.3450000000000002</v>
      </c>
      <c r="G450" s="1" t="s">
        <v>12</v>
      </c>
      <c r="H450" s="1" t="s">
        <v>13</v>
      </c>
      <c r="I450" s="1" t="s">
        <v>14</v>
      </c>
      <c r="J450" s="14">
        <v>0.64236111111111105</v>
      </c>
      <c r="K450" s="15">
        <v>44751</v>
      </c>
      <c r="M450" s="2">
        <v>2.3250000000000002</v>
      </c>
      <c r="O450" s="2">
        <f t="shared" si="43"/>
        <v>2.2550000000000003</v>
      </c>
      <c r="P450" s="2">
        <f t="shared" si="44"/>
        <v>64.017142857142858</v>
      </c>
      <c r="Q450" s="2">
        <f t="shared" si="45"/>
        <v>0.27274999999999416</v>
      </c>
      <c r="R450" s="2">
        <f t="shared" si="46"/>
        <v>0.32019999999999321</v>
      </c>
      <c r="S450" s="2">
        <f t="shared" si="47"/>
        <v>-4.7449999999999048E-2</v>
      </c>
    </row>
    <row r="451" spans="2:19" x14ac:dyDescent="0.25">
      <c r="B451" s="1">
        <f t="shared" si="48"/>
        <v>445</v>
      </c>
      <c r="C451" s="1">
        <v>671</v>
      </c>
      <c r="D451" s="13">
        <v>54.5</v>
      </c>
      <c r="E451" s="1" t="s">
        <v>11</v>
      </c>
      <c r="F451" s="2">
        <v>2.35</v>
      </c>
      <c r="G451" s="1" t="s">
        <v>12</v>
      </c>
      <c r="H451" s="1" t="s">
        <v>13</v>
      </c>
      <c r="I451" s="1" t="s">
        <v>14</v>
      </c>
      <c r="J451" s="14">
        <v>0.64236111111111105</v>
      </c>
      <c r="K451" s="15">
        <v>44751</v>
      </c>
      <c r="M451" s="2">
        <v>2.33</v>
      </c>
      <c r="O451" s="2">
        <f t="shared" si="43"/>
        <v>2.2600000000000002</v>
      </c>
      <c r="P451" s="2">
        <f t="shared" si="44"/>
        <v>64.062857142857155</v>
      </c>
      <c r="Q451" s="2">
        <f t="shared" si="45"/>
        <v>0.27199999999999419</v>
      </c>
      <c r="R451" s="2">
        <f t="shared" si="46"/>
        <v>0.32042857142856462</v>
      </c>
      <c r="S451" s="2">
        <f t="shared" si="47"/>
        <v>-4.8428571428570433E-2</v>
      </c>
    </row>
    <row r="452" spans="2:19" x14ac:dyDescent="0.25">
      <c r="B452" s="1">
        <f t="shared" si="48"/>
        <v>446</v>
      </c>
      <c r="C452" s="1">
        <v>673</v>
      </c>
      <c r="D452" s="13">
        <v>54.3</v>
      </c>
      <c r="E452" s="1" t="s">
        <v>11</v>
      </c>
      <c r="F452" s="2">
        <v>2.355</v>
      </c>
      <c r="G452" s="1" t="s">
        <v>12</v>
      </c>
      <c r="H452" s="1" t="s">
        <v>13</v>
      </c>
      <c r="I452" s="1" t="s">
        <v>14</v>
      </c>
      <c r="J452" s="14">
        <v>0.64236111111111105</v>
      </c>
      <c r="K452" s="15">
        <v>44751</v>
      </c>
      <c r="M452" s="2">
        <v>2.335</v>
      </c>
      <c r="O452" s="2">
        <f t="shared" si="43"/>
        <v>2.2650000000000001</v>
      </c>
      <c r="P452" s="2">
        <f t="shared" si="44"/>
        <v>64.108571428571437</v>
      </c>
      <c r="Q452" s="2">
        <f t="shared" si="45"/>
        <v>0.27149999999999419</v>
      </c>
      <c r="R452" s="2">
        <f t="shared" si="46"/>
        <v>0.32065714285713609</v>
      </c>
      <c r="S452" s="2">
        <f t="shared" si="47"/>
        <v>-4.91571428571419E-2</v>
      </c>
    </row>
    <row r="453" spans="2:19" x14ac:dyDescent="0.25">
      <c r="B453" s="1">
        <f t="shared" si="48"/>
        <v>447</v>
      </c>
      <c r="C453" s="1">
        <v>674</v>
      </c>
      <c r="D453" s="13">
        <v>54.3</v>
      </c>
      <c r="E453" s="1" t="s">
        <v>11</v>
      </c>
      <c r="F453" s="2">
        <v>2.36</v>
      </c>
      <c r="G453" s="1" t="s">
        <v>12</v>
      </c>
      <c r="H453" s="1" t="s">
        <v>13</v>
      </c>
      <c r="I453" s="1" t="s">
        <v>14</v>
      </c>
      <c r="J453" s="14">
        <v>0.64236111111111105</v>
      </c>
      <c r="K453" s="15">
        <v>44751</v>
      </c>
      <c r="M453" s="2">
        <v>2.34</v>
      </c>
      <c r="O453" s="2">
        <f t="shared" si="43"/>
        <v>2.27</v>
      </c>
      <c r="P453" s="2">
        <f t="shared" si="44"/>
        <v>64.15428571428572</v>
      </c>
      <c r="Q453" s="2">
        <f t="shared" si="45"/>
        <v>0.27200000000001834</v>
      </c>
      <c r="R453" s="2">
        <f t="shared" si="46"/>
        <v>0.32088571428573598</v>
      </c>
      <c r="S453" s="2">
        <f t="shared" si="47"/>
        <v>-4.8885714285717641E-2</v>
      </c>
    </row>
    <row r="454" spans="2:19" x14ac:dyDescent="0.25">
      <c r="B454" s="1">
        <f t="shared" si="48"/>
        <v>448</v>
      </c>
      <c r="C454" s="1">
        <v>676</v>
      </c>
      <c r="D454" s="13">
        <v>54.5</v>
      </c>
      <c r="E454" s="1" t="s">
        <v>11</v>
      </c>
      <c r="F454" s="2">
        <v>2.3650000000000002</v>
      </c>
      <c r="G454" s="1" t="s">
        <v>12</v>
      </c>
      <c r="H454" s="1" t="s">
        <v>13</v>
      </c>
      <c r="I454" s="1" t="s">
        <v>14</v>
      </c>
      <c r="J454" s="14">
        <v>0.64236111111111105</v>
      </c>
      <c r="K454" s="15">
        <v>44751</v>
      </c>
      <c r="M454" s="2">
        <v>2.3450000000000002</v>
      </c>
      <c r="O454" s="2">
        <f t="shared" si="43"/>
        <v>2.2750000000000004</v>
      </c>
      <c r="P454" s="2">
        <f t="shared" si="44"/>
        <v>64.200000000000017</v>
      </c>
      <c r="Q454" s="2">
        <f t="shared" si="45"/>
        <v>0.27199999999999419</v>
      </c>
      <c r="R454" s="2">
        <f t="shared" si="46"/>
        <v>0.32111428571427891</v>
      </c>
      <c r="S454" s="2">
        <f t="shared" si="47"/>
        <v>-4.9114285714284722E-2</v>
      </c>
    </row>
    <row r="455" spans="2:19" x14ac:dyDescent="0.25">
      <c r="B455" s="1">
        <f t="shared" si="48"/>
        <v>449</v>
      </c>
      <c r="C455" s="1">
        <v>678</v>
      </c>
      <c r="D455" s="13">
        <v>54.3</v>
      </c>
      <c r="E455" s="1" t="s">
        <v>11</v>
      </c>
      <c r="F455" s="2">
        <v>2.37</v>
      </c>
      <c r="G455" s="1" t="s">
        <v>12</v>
      </c>
      <c r="H455" s="1" t="s">
        <v>13</v>
      </c>
      <c r="I455" s="1" t="s">
        <v>14</v>
      </c>
      <c r="J455" s="14">
        <v>0.64236111111111105</v>
      </c>
      <c r="K455" s="15">
        <v>44751</v>
      </c>
      <c r="M455" s="2">
        <v>2.35</v>
      </c>
      <c r="O455" s="2">
        <f t="shared" si="43"/>
        <v>2.2800000000000002</v>
      </c>
      <c r="P455" s="2">
        <f t="shared" si="44"/>
        <v>64.245714285714286</v>
      </c>
      <c r="Q455" s="2">
        <f t="shared" si="45"/>
        <v>0.27124999999999422</v>
      </c>
      <c r="R455" s="2">
        <f t="shared" si="46"/>
        <v>0.32134285714285032</v>
      </c>
      <c r="S455" s="2">
        <f t="shared" si="47"/>
        <v>-5.0092857142856106E-2</v>
      </c>
    </row>
    <row r="456" spans="2:19" x14ac:dyDescent="0.25">
      <c r="B456" s="1">
        <f t="shared" si="48"/>
        <v>450</v>
      </c>
      <c r="C456" s="1">
        <v>679</v>
      </c>
      <c r="D456" s="13">
        <v>54.2</v>
      </c>
      <c r="E456" s="1" t="s">
        <v>11</v>
      </c>
      <c r="F456" s="2">
        <v>2.375</v>
      </c>
      <c r="G456" s="1" t="s">
        <v>12</v>
      </c>
      <c r="H456" s="1" t="s">
        <v>13</v>
      </c>
      <c r="I456" s="1" t="s">
        <v>14</v>
      </c>
      <c r="J456" s="14">
        <v>0.6423726851851852</v>
      </c>
      <c r="K456" s="15">
        <v>44751</v>
      </c>
      <c r="M456" s="2">
        <v>2.355</v>
      </c>
      <c r="O456" s="2">
        <f t="shared" ref="O456:O519" si="49">M456-$X$23</f>
        <v>2.2850000000000001</v>
      </c>
      <c r="P456" s="2">
        <f t="shared" ref="P456:P519" si="50">O456*$AC$21+$Y$23</f>
        <v>64.291428571428582</v>
      </c>
      <c r="Q456" s="2">
        <f t="shared" ref="Q456:Q519" si="51">((D456+D457)/2)*(M457-M456)</f>
        <v>0.27099999999999425</v>
      </c>
      <c r="R456" s="2">
        <f t="shared" ref="R456:R519" si="52">((P456+P457)/2)*(O457-O456)</f>
        <v>0.32157142857142174</v>
      </c>
      <c r="S456" s="2">
        <f t="shared" ref="S456:S519" si="53">Q456-R456</f>
        <v>-5.057142857142749E-2</v>
      </c>
    </row>
    <row r="457" spans="2:19" x14ac:dyDescent="0.25">
      <c r="B457" s="1">
        <f t="shared" ref="B457:B520" si="54">B456+1</f>
        <v>451</v>
      </c>
      <c r="C457" s="1">
        <v>680</v>
      </c>
      <c r="D457" s="13">
        <v>54.2</v>
      </c>
      <c r="E457" s="1" t="s">
        <v>11</v>
      </c>
      <c r="F457" s="2">
        <v>2.38</v>
      </c>
      <c r="G457" s="1" t="s">
        <v>12</v>
      </c>
      <c r="H457" s="1" t="s">
        <v>13</v>
      </c>
      <c r="I457" s="1" t="s">
        <v>14</v>
      </c>
      <c r="J457" s="14">
        <v>0.6423726851851852</v>
      </c>
      <c r="K457" s="15">
        <v>44751</v>
      </c>
      <c r="M457" s="2">
        <v>2.36</v>
      </c>
      <c r="O457" s="2">
        <f t="shared" si="49"/>
        <v>2.29</v>
      </c>
      <c r="P457" s="2">
        <f t="shared" si="50"/>
        <v>64.337142857142865</v>
      </c>
      <c r="Q457" s="2">
        <f t="shared" si="51"/>
        <v>0.26999999999999424</v>
      </c>
      <c r="R457" s="2">
        <f t="shared" si="52"/>
        <v>0.3217999999999932</v>
      </c>
      <c r="S457" s="2">
        <f t="shared" si="53"/>
        <v>-5.1799999999998958E-2</v>
      </c>
    </row>
    <row r="458" spans="2:19" x14ac:dyDescent="0.25">
      <c r="B458" s="1">
        <f t="shared" si="54"/>
        <v>452</v>
      </c>
      <c r="C458" s="1">
        <v>681</v>
      </c>
      <c r="D458" s="13">
        <v>53.8</v>
      </c>
      <c r="E458" s="1" t="s">
        <v>11</v>
      </c>
      <c r="F458" s="2">
        <v>2.3849999999999998</v>
      </c>
      <c r="G458" s="1" t="s">
        <v>12</v>
      </c>
      <c r="H458" s="1" t="s">
        <v>13</v>
      </c>
      <c r="I458" s="1" t="s">
        <v>14</v>
      </c>
      <c r="J458" s="14">
        <v>0.6423726851851852</v>
      </c>
      <c r="K458" s="15">
        <v>44751</v>
      </c>
      <c r="M458" s="2">
        <v>2.3649999999999998</v>
      </c>
      <c r="O458" s="2">
        <f t="shared" si="49"/>
        <v>2.2949999999999999</v>
      </c>
      <c r="P458" s="2">
        <f t="shared" si="50"/>
        <v>64.382857142857148</v>
      </c>
      <c r="Q458" s="2">
        <f t="shared" si="51"/>
        <v>0.53850000000001241</v>
      </c>
      <c r="R458" s="2">
        <f t="shared" si="52"/>
        <v>0.64428571428572923</v>
      </c>
      <c r="S458" s="2">
        <f t="shared" si="53"/>
        <v>-0.10578571428571681</v>
      </c>
    </row>
    <row r="459" spans="2:19" x14ac:dyDescent="0.25">
      <c r="B459" s="1">
        <f t="shared" si="54"/>
        <v>453</v>
      </c>
      <c r="C459" s="1">
        <v>682</v>
      </c>
      <c r="D459" s="13">
        <v>53.9</v>
      </c>
      <c r="E459" s="1" t="s">
        <v>11</v>
      </c>
      <c r="F459" s="2">
        <v>2.395</v>
      </c>
      <c r="G459" s="1" t="s">
        <v>12</v>
      </c>
      <c r="H459" s="1" t="s">
        <v>13</v>
      </c>
      <c r="I459" s="1" t="s">
        <v>14</v>
      </c>
      <c r="J459" s="14">
        <v>0.6423726851851852</v>
      </c>
      <c r="K459" s="15">
        <v>44751</v>
      </c>
      <c r="M459" s="2">
        <v>2.375</v>
      </c>
      <c r="O459" s="2">
        <f t="shared" si="49"/>
        <v>2.3050000000000002</v>
      </c>
      <c r="P459" s="2">
        <f t="shared" si="50"/>
        <v>64.474285714285713</v>
      </c>
      <c r="Q459" s="2">
        <f t="shared" si="51"/>
        <v>0.26949999999999424</v>
      </c>
      <c r="R459" s="2">
        <f t="shared" si="52"/>
        <v>0.32248571428570744</v>
      </c>
      <c r="S459" s="2">
        <f t="shared" si="53"/>
        <v>-5.2985714285713192E-2</v>
      </c>
    </row>
    <row r="460" spans="2:19" x14ac:dyDescent="0.25">
      <c r="B460" s="1">
        <f t="shared" si="54"/>
        <v>454</v>
      </c>
      <c r="C460" s="1">
        <v>684</v>
      </c>
      <c r="D460" s="13">
        <v>53.9</v>
      </c>
      <c r="E460" s="1" t="s">
        <v>11</v>
      </c>
      <c r="F460" s="2">
        <v>2.4</v>
      </c>
      <c r="G460" s="1" t="s">
        <v>12</v>
      </c>
      <c r="H460" s="1" t="s">
        <v>13</v>
      </c>
      <c r="I460" s="1" t="s">
        <v>14</v>
      </c>
      <c r="J460" s="14">
        <v>0.6423726851851852</v>
      </c>
      <c r="K460" s="15">
        <v>44751</v>
      </c>
      <c r="M460" s="2">
        <v>2.38</v>
      </c>
      <c r="O460" s="2">
        <f t="shared" si="49"/>
        <v>2.31</v>
      </c>
      <c r="P460" s="2">
        <f t="shared" si="50"/>
        <v>64.52000000000001</v>
      </c>
      <c r="Q460" s="2">
        <f t="shared" si="51"/>
        <v>0.26999999999999424</v>
      </c>
      <c r="R460" s="2">
        <f t="shared" si="52"/>
        <v>0.32271428571427885</v>
      </c>
      <c r="S460" s="2">
        <f t="shared" si="53"/>
        <v>-5.2714285714284603E-2</v>
      </c>
    </row>
    <row r="461" spans="2:19" x14ac:dyDescent="0.25">
      <c r="B461" s="1">
        <f t="shared" si="54"/>
        <v>455</v>
      </c>
      <c r="C461" s="1">
        <v>685</v>
      </c>
      <c r="D461" s="13">
        <v>54.1</v>
      </c>
      <c r="E461" s="1" t="s">
        <v>11</v>
      </c>
      <c r="F461" s="2">
        <v>2.4049999999999998</v>
      </c>
      <c r="G461" s="1" t="s">
        <v>12</v>
      </c>
      <c r="H461" s="1" t="s">
        <v>13</v>
      </c>
      <c r="I461" s="1" t="s">
        <v>14</v>
      </c>
      <c r="J461" s="14">
        <v>0.6423726851851852</v>
      </c>
      <c r="K461" s="15">
        <v>44751</v>
      </c>
      <c r="M461" s="2">
        <v>2.3849999999999998</v>
      </c>
      <c r="O461" s="2">
        <f t="shared" si="49"/>
        <v>2.3149999999999999</v>
      </c>
      <c r="P461" s="2">
        <f t="shared" si="50"/>
        <v>64.565714285714293</v>
      </c>
      <c r="Q461" s="2">
        <f t="shared" si="51"/>
        <v>0.27025000000001825</v>
      </c>
      <c r="R461" s="2">
        <f t="shared" si="52"/>
        <v>0.32294285714287901</v>
      </c>
      <c r="S461" s="2">
        <f t="shared" si="53"/>
        <v>-5.2692857142860761E-2</v>
      </c>
    </row>
    <row r="462" spans="2:19" x14ac:dyDescent="0.25">
      <c r="B462" s="1">
        <f t="shared" si="54"/>
        <v>456</v>
      </c>
      <c r="C462" s="1">
        <v>686</v>
      </c>
      <c r="D462" s="13">
        <v>54</v>
      </c>
      <c r="E462" s="1" t="s">
        <v>11</v>
      </c>
      <c r="F462" s="2">
        <v>2.41</v>
      </c>
      <c r="G462" s="1" t="s">
        <v>12</v>
      </c>
      <c r="H462" s="1" t="s">
        <v>13</v>
      </c>
      <c r="I462" s="1" t="s">
        <v>14</v>
      </c>
      <c r="J462" s="14">
        <v>0.6423726851851852</v>
      </c>
      <c r="K462" s="15">
        <v>44751</v>
      </c>
      <c r="M462" s="2">
        <v>2.39</v>
      </c>
      <c r="O462" s="2">
        <f t="shared" si="49"/>
        <v>2.3200000000000003</v>
      </c>
      <c r="P462" s="2">
        <f t="shared" si="50"/>
        <v>64.611428571428576</v>
      </c>
      <c r="Q462" s="2">
        <f t="shared" si="51"/>
        <v>0.26974999999999427</v>
      </c>
      <c r="R462" s="2">
        <f t="shared" si="52"/>
        <v>0.32317142857142173</v>
      </c>
      <c r="S462" s="2">
        <f t="shared" si="53"/>
        <v>-5.3421428571427454E-2</v>
      </c>
    </row>
    <row r="463" spans="2:19" x14ac:dyDescent="0.25">
      <c r="B463" s="1">
        <f t="shared" si="54"/>
        <v>457</v>
      </c>
      <c r="C463" s="1">
        <v>687</v>
      </c>
      <c r="D463" s="13">
        <v>53.9</v>
      </c>
      <c r="E463" s="1" t="s">
        <v>11</v>
      </c>
      <c r="F463" s="2">
        <v>2.415</v>
      </c>
      <c r="G463" s="1" t="s">
        <v>12</v>
      </c>
      <c r="H463" s="1" t="s">
        <v>13</v>
      </c>
      <c r="I463" s="1" t="s">
        <v>14</v>
      </c>
      <c r="J463" s="14">
        <v>0.6423726851851852</v>
      </c>
      <c r="K463" s="15">
        <v>44751</v>
      </c>
      <c r="M463" s="2">
        <v>2.395</v>
      </c>
      <c r="O463" s="2">
        <f t="shared" si="49"/>
        <v>2.3250000000000002</v>
      </c>
      <c r="P463" s="2">
        <f t="shared" si="50"/>
        <v>64.657142857142873</v>
      </c>
      <c r="Q463" s="2">
        <f t="shared" si="51"/>
        <v>0.26974999999999427</v>
      </c>
      <c r="R463" s="2">
        <f t="shared" si="52"/>
        <v>0.32339999999999314</v>
      </c>
      <c r="S463" s="2">
        <f t="shared" si="53"/>
        <v>-5.3649999999998865E-2</v>
      </c>
    </row>
    <row r="464" spans="2:19" x14ac:dyDescent="0.25">
      <c r="B464" s="1">
        <f t="shared" si="54"/>
        <v>458</v>
      </c>
      <c r="C464" s="1">
        <v>688</v>
      </c>
      <c r="D464" s="13">
        <v>54</v>
      </c>
      <c r="E464" s="1" t="s">
        <v>11</v>
      </c>
      <c r="F464" s="2">
        <v>2.42</v>
      </c>
      <c r="G464" s="1" t="s">
        <v>12</v>
      </c>
      <c r="H464" s="1" t="s">
        <v>13</v>
      </c>
      <c r="I464" s="1" t="s">
        <v>14</v>
      </c>
      <c r="J464" s="14">
        <v>0.6423726851851852</v>
      </c>
      <c r="K464" s="15">
        <v>44751</v>
      </c>
      <c r="M464" s="2">
        <v>2.4</v>
      </c>
      <c r="O464" s="2">
        <f t="shared" si="49"/>
        <v>2.33</v>
      </c>
      <c r="P464" s="2">
        <f t="shared" si="50"/>
        <v>64.702857142857141</v>
      </c>
      <c r="Q464" s="2">
        <f t="shared" si="51"/>
        <v>0.26999999999999424</v>
      </c>
      <c r="R464" s="2">
        <f t="shared" si="52"/>
        <v>0.32362857142856455</v>
      </c>
      <c r="S464" s="2">
        <f t="shared" si="53"/>
        <v>-5.3628571428570304E-2</v>
      </c>
    </row>
    <row r="465" spans="2:19" x14ac:dyDescent="0.25">
      <c r="B465" s="1">
        <f t="shared" si="54"/>
        <v>459</v>
      </c>
      <c r="C465" s="1">
        <v>689</v>
      </c>
      <c r="D465" s="13">
        <v>54</v>
      </c>
      <c r="E465" s="1" t="s">
        <v>11</v>
      </c>
      <c r="F465" s="2">
        <v>2.4249999999999998</v>
      </c>
      <c r="G465" s="1" t="s">
        <v>12</v>
      </c>
      <c r="H465" s="1" t="s">
        <v>13</v>
      </c>
      <c r="I465" s="1" t="s">
        <v>14</v>
      </c>
      <c r="J465" s="14">
        <v>0.64238425925925924</v>
      </c>
      <c r="K465" s="15">
        <v>44751</v>
      </c>
      <c r="M465" s="2">
        <v>2.4049999999999998</v>
      </c>
      <c r="O465" s="2">
        <f t="shared" si="49"/>
        <v>2.335</v>
      </c>
      <c r="P465" s="2">
        <f t="shared" si="50"/>
        <v>64.748571428571438</v>
      </c>
      <c r="Q465" s="2">
        <f t="shared" si="51"/>
        <v>0.2697500000000182</v>
      </c>
      <c r="R465" s="2">
        <f t="shared" si="52"/>
        <v>0.32385714285716471</v>
      </c>
      <c r="S465" s="2">
        <f t="shared" si="53"/>
        <v>-5.4107142857146517E-2</v>
      </c>
    </row>
    <row r="466" spans="2:19" x14ac:dyDescent="0.25">
      <c r="B466" s="1">
        <f t="shared" si="54"/>
        <v>460</v>
      </c>
      <c r="C466" s="1">
        <v>690</v>
      </c>
      <c r="D466" s="13">
        <v>53.9</v>
      </c>
      <c r="E466" s="1" t="s">
        <v>11</v>
      </c>
      <c r="F466" s="2">
        <v>2.4300000000000002</v>
      </c>
      <c r="G466" s="1" t="s">
        <v>12</v>
      </c>
      <c r="H466" s="1" t="s">
        <v>13</v>
      </c>
      <c r="I466" s="1" t="s">
        <v>14</v>
      </c>
      <c r="J466" s="14">
        <v>0.64238425925925924</v>
      </c>
      <c r="K466" s="15">
        <v>44751</v>
      </c>
      <c r="M466" s="2">
        <v>2.41</v>
      </c>
      <c r="O466" s="2">
        <f t="shared" si="49"/>
        <v>2.3400000000000003</v>
      </c>
      <c r="P466" s="2">
        <f t="shared" si="50"/>
        <v>64.794285714285721</v>
      </c>
      <c r="Q466" s="2">
        <f t="shared" si="51"/>
        <v>0.26949999999999424</v>
      </c>
      <c r="R466" s="2">
        <f t="shared" si="52"/>
        <v>0.32408571428570743</v>
      </c>
      <c r="S466" s="2">
        <f t="shared" si="53"/>
        <v>-5.4585714285713183E-2</v>
      </c>
    </row>
    <row r="467" spans="2:19" x14ac:dyDescent="0.25">
      <c r="B467" s="1">
        <f t="shared" si="54"/>
        <v>461</v>
      </c>
      <c r="C467" s="1">
        <v>691</v>
      </c>
      <c r="D467" s="13">
        <v>53.9</v>
      </c>
      <c r="E467" s="1" t="s">
        <v>11</v>
      </c>
      <c r="F467" s="2">
        <v>2.4350000000000001</v>
      </c>
      <c r="G467" s="1" t="s">
        <v>12</v>
      </c>
      <c r="H467" s="1" t="s">
        <v>13</v>
      </c>
      <c r="I467" s="1" t="s">
        <v>14</v>
      </c>
      <c r="J467" s="14">
        <v>0.64238425925925924</v>
      </c>
      <c r="K467" s="15">
        <v>44751</v>
      </c>
      <c r="M467" s="2">
        <v>2.415</v>
      </c>
      <c r="O467" s="2">
        <f t="shared" si="49"/>
        <v>2.3450000000000002</v>
      </c>
      <c r="P467" s="2">
        <f t="shared" si="50"/>
        <v>64.84</v>
      </c>
      <c r="Q467" s="2">
        <f t="shared" si="51"/>
        <v>0.26949999999999424</v>
      </c>
      <c r="R467" s="2">
        <f t="shared" si="52"/>
        <v>0.32431428571427884</v>
      </c>
      <c r="S467" s="2">
        <f t="shared" si="53"/>
        <v>-5.4814285714284594E-2</v>
      </c>
    </row>
    <row r="468" spans="2:19" x14ac:dyDescent="0.25">
      <c r="B468" s="1">
        <f t="shared" si="54"/>
        <v>462</v>
      </c>
      <c r="C468" s="1">
        <v>692</v>
      </c>
      <c r="D468" s="13">
        <v>53.9</v>
      </c>
      <c r="E468" s="1" t="s">
        <v>11</v>
      </c>
      <c r="F468" s="2">
        <v>2.44</v>
      </c>
      <c r="G468" s="1" t="s">
        <v>12</v>
      </c>
      <c r="H468" s="1" t="s">
        <v>13</v>
      </c>
      <c r="I468" s="1" t="s">
        <v>14</v>
      </c>
      <c r="J468" s="14">
        <v>0.64238425925925924</v>
      </c>
      <c r="K468" s="15">
        <v>44751</v>
      </c>
      <c r="M468" s="2">
        <v>2.42</v>
      </c>
      <c r="O468" s="2">
        <f t="shared" si="49"/>
        <v>2.35</v>
      </c>
      <c r="P468" s="2">
        <f t="shared" si="50"/>
        <v>64.8857142857143</v>
      </c>
      <c r="Q468" s="2">
        <f t="shared" si="51"/>
        <v>0.26974999999999427</v>
      </c>
      <c r="R468" s="2">
        <f t="shared" si="52"/>
        <v>0.32454285714285025</v>
      </c>
      <c r="S468" s="2">
        <f t="shared" si="53"/>
        <v>-5.4792857142855977E-2</v>
      </c>
    </row>
    <row r="469" spans="2:19" x14ac:dyDescent="0.25">
      <c r="B469" s="1">
        <f t="shared" si="54"/>
        <v>463</v>
      </c>
      <c r="C469" s="1">
        <v>693</v>
      </c>
      <c r="D469" s="13">
        <v>54</v>
      </c>
      <c r="E469" s="1" t="s">
        <v>11</v>
      </c>
      <c r="F469" s="2">
        <v>2.4449999999999998</v>
      </c>
      <c r="G469" s="1" t="s">
        <v>12</v>
      </c>
      <c r="H469" s="1" t="s">
        <v>13</v>
      </c>
      <c r="I469" s="1" t="s">
        <v>14</v>
      </c>
      <c r="J469" s="14">
        <v>0.64238425925925924</v>
      </c>
      <c r="K469" s="15">
        <v>44751</v>
      </c>
      <c r="M469" s="2">
        <v>2.4249999999999998</v>
      </c>
      <c r="O469" s="2">
        <f t="shared" si="49"/>
        <v>2.355</v>
      </c>
      <c r="P469" s="2">
        <f t="shared" si="50"/>
        <v>64.931428571428569</v>
      </c>
      <c r="Q469" s="2">
        <f t="shared" si="51"/>
        <v>0.26950000000001817</v>
      </c>
      <c r="R469" s="2">
        <f t="shared" si="52"/>
        <v>0.32477142857145053</v>
      </c>
      <c r="S469" s="2">
        <f t="shared" si="53"/>
        <v>-5.5271428571432357E-2</v>
      </c>
    </row>
    <row r="470" spans="2:19" x14ac:dyDescent="0.25">
      <c r="B470" s="1">
        <f t="shared" si="54"/>
        <v>464</v>
      </c>
      <c r="C470" s="1">
        <v>694</v>
      </c>
      <c r="D470" s="13">
        <v>53.8</v>
      </c>
      <c r="E470" s="1" t="s">
        <v>11</v>
      </c>
      <c r="F470" s="2">
        <v>2.4500000000000002</v>
      </c>
      <c r="G470" s="1" t="s">
        <v>12</v>
      </c>
      <c r="H470" s="1" t="s">
        <v>13</v>
      </c>
      <c r="I470" s="1" t="s">
        <v>14</v>
      </c>
      <c r="J470" s="14">
        <v>0.64238425925925924</v>
      </c>
      <c r="K470" s="15">
        <v>44751</v>
      </c>
      <c r="M470" s="2">
        <v>2.4300000000000002</v>
      </c>
      <c r="O470" s="2">
        <f t="shared" si="49"/>
        <v>2.3600000000000003</v>
      </c>
      <c r="P470" s="2">
        <f t="shared" si="50"/>
        <v>64.977142857142866</v>
      </c>
      <c r="Q470" s="2">
        <f t="shared" si="51"/>
        <v>0.26949999999999424</v>
      </c>
      <c r="R470" s="2">
        <f t="shared" si="52"/>
        <v>0.32499999999999307</v>
      </c>
      <c r="S470" s="2">
        <f t="shared" si="53"/>
        <v>-5.5499999999998828E-2</v>
      </c>
    </row>
    <row r="471" spans="2:19" x14ac:dyDescent="0.25">
      <c r="B471" s="1">
        <f t="shared" si="54"/>
        <v>465</v>
      </c>
      <c r="C471" s="1">
        <v>695</v>
      </c>
      <c r="D471" s="13">
        <v>54</v>
      </c>
      <c r="E471" s="1" t="s">
        <v>11</v>
      </c>
      <c r="F471" s="2">
        <v>2.4550000000000001</v>
      </c>
      <c r="G471" s="1" t="s">
        <v>12</v>
      </c>
      <c r="H471" s="1" t="s">
        <v>13</v>
      </c>
      <c r="I471" s="1" t="s">
        <v>14</v>
      </c>
      <c r="J471" s="14">
        <v>0.64238425925925924</v>
      </c>
      <c r="K471" s="15">
        <v>44751</v>
      </c>
      <c r="M471" s="2">
        <v>2.4350000000000001</v>
      </c>
      <c r="O471" s="2">
        <f t="shared" si="49"/>
        <v>2.3650000000000002</v>
      </c>
      <c r="P471" s="2">
        <f t="shared" si="50"/>
        <v>65.022857142857148</v>
      </c>
      <c r="Q471" s="2">
        <f t="shared" si="51"/>
        <v>0.26949999999999424</v>
      </c>
      <c r="R471" s="2">
        <f t="shared" si="52"/>
        <v>0.32522857142856454</v>
      </c>
      <c r="S471" s="2">
        <f t="shared" si="53"/>
        <v>-5.5728571428570295E-2</v>
      </c>
    </row>
    <row r="472" spans="2:19" x14ac:dyDescent="0.25">
      <c r="B472" s="1">
        <f t="shared" si="54"/>
        <v>466</v>
      </c>
      <c r="C472" s="1">
        <v>697</v>
      </c>
      <c r="D472" s="13">
        <v>53.8</v>
      </c>
      <c r="E472" s="1" t="s">
        <v>11</v>
      </c>
      <c r="F472" s="2">
        <v>2.46</v>
      </c>
      <c r="G472" s="1" t="s">
        <v>12</v>
      </c>
      <c r="H472" s="1" t="s">
        <v>13</v>
      </c>
      <c r="I472" s="1" t="s">
        <v>14</v>
      </c>
      <c r="J472" s="14">
        <v>0.64238425925925924</v>
      </c>
      <c r="K472" s="15">
        <v>44751</v>
      </c>
      <c r="M472" s="2">
        <v>2.44</v>
      </c>
      <c r="O472" s="2">
        <f t="shared" si="49"/>
        <v>2.37</v>
      </c>
      <c r="P472" s="2">
        <f t="shared" si="50"/>
        <v>65.068571428571431</v>
      </c>
      <c r="Q472" s="2">
        <f t="shared" si="51"/>
        <v>0.26874999999999427</v>
      </c>
      <c r="R472" s="2">
        <f t="shared" si="52"/>
        <v>0.32545714285713595</v>
      </c>
      <c r="S472" s="2">
        <f t="shared" si="53"/>
        <v>-5.6707142857141679E-2</v>
      </c>
    </row>
    <row r="473" spans="2:19" x14ac:dyDescent="0.25">
      <c r="B473" s="1">
        <f t="shared" si="54"/>
        <v>467</v>
      </c>
      <c r="C473" s="1">
        <v>698</v>
      </c>
      <c r="D473" s="13">
        <v>53.7</v>
      </c>
      <c r="E473" s="1" t="s">
        <v>11</v>
      </c>
      <c r="F473" s="2">
        <v>2.4649999999999999</v>
      </c>
      <c r="G473" s="1" t="s">
        <v>12</v>
      </c>
      <c r="H473" s="1" t="s">
        <v>13</v>
      </c>
      <c r="I473" s="1" t="s">
        <v>14</v>
      </c>
      <c r="J473" s="14">
        <v>0.64238425925925924</v>
      </c>
      <c r="K473" s="15">
        <v>44751</v>
      </c>
      <c r="M473" s="2">
        <v>2.4449999999999998</v>
      </c>
      <c r="O473" s="2">
        <f t="shared" si="49"/>
        <v>2.375</v>
      </c>
      <c r="P473" s="2">
        <f t="shared" si="50"/>
        <v>65.114285714285728</v>
      </c>
      <c r="Q473" s="2">
        <f t="shared" si="51"/>
        <v>0.26850000000001811</v>
      </c>
      <c r="R473" s="2">
        <f t="shared" si="52"/>
        <v>0.32568571428573628</v>
      </c>
      <c r="S473" s="2">
        <f t="shared" si="53"/>
        <v>-5.718571428571817E-2</v>
      </c>
    </row>
    <row r="474" spans="2:19" x14ac:dyDescent="0.25">
      <c r="B474" s="1">
        <f t="shared" si="54"/>
        <v>468</v>
      </c>
      <c r="C474" s="1">
        <v>699</v>
      </c>
      <c r="D474" s="13">
        <v>53.7</v>
      </c>
      <c r="E474" s="1" t="s">
        <v>11</v>
      </c>
      <c r="F474" s="2">
        <v>2.4700000000000002</v>
      </c>
      <c r="G474" s="1" t="s">
        <v>12</v>
      </c>
      <c r="H474" s="1" t="s">
        <v>13</v>
      </c>
      <c r="I474" s="1" t="s">
        <v>14</v>
      </c>
      <c r="J474" s="14">
        <v>0.64239583333333339</v>
      </c>
      <c r="K474" s="15">
        <v>44751</v>
      </c>
      <c r="M474" s="2">
        <v>2.4500000000000002</v>
      </c>
      <c r="O474" s="2">
        <f t="shared" si="49"/>
        <v>2.3800000000000003</v>
      </c>
      <c r="P474" s="2">
        <f t="shared" si="50"/>
        <v>65.160000000000011</v>
      </c>
      <c r="Q474" s="2">
        <f t="shared" si="51"/>
        <v>0.2684999999999943</v>
      </c>
      <c r="R474" s="2">
        <f t="shared" si="52"/>
        <v>0.32591428571427883</v>
      </c>
      <c r="S474" s="2">
        <f t="shared" si="53"/>
        <v>-5.741428571428453E-2</v>
      </c>
    </row>
    <row r="475" spans="2:19" x14ac:dyDescent="0.25">
      <c r="B475" s="1">
        <f t="shared" si="54"/>
        <v>469</v>
      </c>
      <c r="C475" s="1">
        <v>701</v>
      </c>
      <c r="D475" s="13">
        <v>53.7</v>
      </c>
      <c r="E475" s="1" t="s">
        <v>11</v>
      </c>
      <c r="F475" s="2">
        <v>2.4750000000000001</v>
      </c>
      <c r="G475" s="1" t="s">
        <v>12</v>
      </c>
      <c r="H475" s="1" t="s">
        <v>13</v>
      </c>
      <c r="I475" s="1" t="s">
        <v>14</v>
      </c>
      <c r="J475" s="14">
        <v>0.64239583333333339</v>
      </c>
      <c r="K475" s="15">
        <v>44751</v>
      </c>
      <c r="M475" s="2">
        <v>2.4550000000000001</v>
      </c>
      <c r="O475" s="2">
        <f t="shared" si="49"/>
        <v>2.3850000000000002</v>
      </c>
      <c r="P475" s="2">
        <f t="shared" si="50"/>
        <v>65.205714285714294</v>
      </c>
      <c r="Q475" s="2">
        <f t="shared" si="51"/>
        <v>0.26899999999999424</v>
      </c>
      <c r="R475" s="2">
        <f t="shared" si="52"/>
        <v>0.32614285714285018</v>
      </c>
      <c r="S475" s="2">
        <f t="shared" si="53"/>
        <v>-5.7142857142855941E-2</v>
      </c>
    </row>
    <row r="476" spans="2:19" x14ac:dyDescent="0.25">
      <c r="B476" s="1">
        <f t="shared" si="54"/>
        <v>470</v>
      </c>
      <c r="C476" s="1">
        <v>703</v>
      </c>
      <c r="D476" s="13">
        <v>53.9</v>
      </c>
      <c r="E476" s="1" t="s">
        <v>11</v>
      </c>
      <c r="F476" s="2">
        <v>2.48</v>
      </c>
      <c r="G476" s="1" t="s">
        <v>12</v>
      </c>
      <c r="H476" s="1" t="s">
        <v>13</v>
      </c>
      <c r="I476" s="1" t="s">
        <v>14</v>
      </c>
      <c r="J476" s="14">
        <v>0.64239583333333339</v>
      </c>
      <c r="K476" s="15">
        <v>44751</v>
      </c>
      <c r="M476" s="2">
        <v>2.46</v>
      </c>
      <c r="O476" s="2">
        <f t="shared" si="49"/>
        <v>2.39</v>
      </c>
      <c r="P476" s="2">
        <f t="shared" si="50"/>
        <v>65.251428571428576</v>
      </c>
      <c r="Q476" s="2">
        <f t="shared" si="51"/>
        <v>0.26949999999999424</v>
      </c>
      <c r="R476" s="2">
        <f t="shared" si="52"/>
        <v>0.32637142857142165</v>
      </c>
      <c r="S476" s="2">
        <f t="shared" si="53"/>
        <v>-5.6871428571427407E-2</v>
      </c>
    </row>
    <row r="477" spans="2:19" x14ac:dyDescent="0.25">
      <c r="B477" s="1">
        <f t="shared" si="54"/>
        <v>471</v>
      </c>
      <c r="C477" s="1">
        <v>705</v>
      </c>
      <c r="D477" s="13">
        <v>53.9</v>
      </c>
      <c r="E477" s="1" t="s">
        <v>11</v>
      </c>
      <c r="F477" s="2">
        <v>2.4849999999999999</v>
      </c>
      <c r="G477" s="1" t="s">
        <v>12</v>
      </c>
      <c r="H477" s="1" t="s">
        <v>13</v>
      </c>
      <c r="I477" s="1" t="s">
        <v>14</v>
      </c>
      <c r="J477" s="14">
        <v>0.64239583333333339</v>
      </c>
      <c r="K477" s="15">
        <v>44751</v>
      </c>
      <c r="M477" s="2">
        <v>2.4649999999999999</v>
      </c>
      <c r="O477" s="2">
        <f t="shared" si="49"/>
        <v>2.395</v>
      </c>
      <c r="P477" s="2">
        <f t="shared" si="50"/>
        <v>65.297142857142859</v>
      </c>
      <c r="Q477" s="2">
        <f t="shared" si="51"/>
        <v>0.27000000000001823</v>
      </c>
      <c r="R477" s="2">
        <f t="shared" si="52"/>
        <v>0.32660000000002209</v>
      </c>
      <c r="S477" s="2">
        <f t="shared" si="53"/>
        <v>-5.6600000000003869E-2</v>
      </c>
    </row>
    <row r="478" spans="2:19" x14ac:dyDescent="0.25">
      <c r="B478" s="1">
        <f t="shared" si="54"/>
        <v>472</v>
      </c>
      <c r="C478" s="1">
        <v>707</v>
      </c>
      <c r="D478" s="13">
        <v>54.1</v>
      </c>
      <c r="E478" s="1" t="s">
        <v>11</v>
      </c>
      <c r="F478" s="2">
        <v>2.4900000000000002</v>
      </c>
      <c r="G478" s="1" t="s">
        <v>12</v>
      </c>
      <c r="H478" s="1" t="s">
        <v>13</v>
      </c>
      <c r="I478" s="1" t="s">
        <v>14</v>
      </c>
      <c r="J478" s="14">
        <v>0.64239583333333339</v>
      </c>
      <c r="K478" s="15">
        <v>44751</v>
      </c>
      <c r="M478" s="2">
        <v>2.4700000000000002</v>
      </c>
      <c r="O478" s="2">
        <f t="shared" si="49"/>
        <v>2.4000000000000004</v>
      </c>
      <c r="P478" s="2">
        <f t="shared" si="50"/>
        <v>65.342857142857156</v>
      </c>
      <c r="Q478" s="2">
        <f t="shared" si="51"/>
        <v>0.27074999999999427</v>
      </c>
      <c r="R478" s="2">
        <f t="shared" si="52"/>
        <v>0.32682857142856447</v>
      </c>
      <c r="S478" s="2">
        <f t="shared" si="53"/>
        <v>-5.6078571428570201E-2</v>
      </c>
    </row>
    <row r="479" spans="2:19" x14ac:dyDescent="0.25">
      <c r="B479" s="1">
        <f t="shared" si="54"/>
        <v>473</v>
      </c>
      <c r="C479" s="1">
        <v>709</v>
      </c>
      <c r="D479" s="13">
        <v>54.2</v>
      </c>
      <c r="E479" s="1" t="s">
        <v>11</v>
      </c>
      <c r="F479" s="2">
        <v>2.4950000000000001</v>
      </c>
      <c r="G479" s="1" t="s">
        <v>12</v>
      </c>
      <c r="H479" s="1" t="s">
        <v>13</v>
      </c>
      <c r="I479" s="1" t="s">
        <v>14</v>
      </c>
      <c r="J479" s="14">
        <v>0.64240740740740743</v>
      </c>
      <c r="K479" s="15">
        <v>44751</v>
      </c>
      <c r="M479" s="2">
        <v>2.4750000000000001</v>
      </c>
      <c r="O479" s="2">
        <f t="shared" si="49"/>
        <v>2.4050000000000002</v>
      </c>
      <c r="P479" s="2">
        <f t="shared" si="50"/>
        <v>65.388571428571439</v>
      </c>
      <c r="Q479" s="2">
        <f t="shared" si="51"/>
        <v>0.27099999999999425</v>
      </c>
      <c r="R479" s="2">
        <f t="shared" si="52"/>
        <v>0.32705714285713594</v>
      </c>
      <c r="S479" s="2">
        <f t="shared" si="53"/>
        <v>-5.6057142857141695E-2</v>
      </c>
    </row>
    <row r="480" spans="2:19" x14ac:dyDescent="0.25">
      <c r="B480" s="1">
        <f t="shared" si="54"/>
        <v>474</v>
      </c>
      <c r="C480" s="1">
        <v>710</v>
      </c>
      <c r="D480" s="13">
        <v>54.2</v>
      </c>
      <c r="E480" s="1" t="s">
        <v>11</v>
      </c>
      <c r="F480" s="2">
        <v>2.5</v>
      </c>
      <c r="G480" s="1" t="s">
        <v>12</v>
      </c>
      <c r="H480" s="1" t="s">
        <v>13</v>
      </c>
      <c r="I480" s="1" t="s">
        <v>14</v>
      </c>
      <c r="J480" s="14">
        <v>0.64240740740740743</v>
      </c>
      <c r="K480" s="15">
        <v>44751</v>
      </c>
      <c r="M480" s="2">
        <v>2.48</v>
      </c>
      <c r="O480" s="2">
        <f t="shared" si="49"/>
        <v>2.41</v>
      </c>
      <c r="P480" s="2">
        <f t="shared" si="50"/>
        <v>65.434285714285721</v>
      </c>
      <c r="Q480" s="2">
        <f t="shared" si="51"/>
        <v>0.27074999999999427</v>
      </c>
      <c r="R480" s="2">
        <f t="shared" si="52"/>
        <v>0.3272857142857073</v>
      </c>
      <c r="S480" s="2">
        <f t="shared" si="53"/>
        <v>-5.6535714285713023E-2</v>
      </c>
    </row>
    <row r="481" spans="2:19" x14ac:dyDescent="0.25">
      <c r="B481" s="1">
        <f t="shared" si="54"/>
        <v>475</v>
      </c>
      <c r="C481" s="1">
        <v>711</v>
      </c>
      <c r="D481" s="13">
        <v>54.1</v>
      </c>
      <c r="E481" s="1" t="s">
        <v>11</v>
      </c>
      <c r="F481" s="2">
        <v>2.5049999999999999</v>
      </c>
      <c r="G481" s="1" t="s">
        <v>12</v>
      </c>
      <c r="H481" s="1" t="s">
        <v>13</v>
      </c>
      <c r="I481" s="1" t="s">
        <v>14</v>
      </c>
      <c r="J481" s="14">
        <v>0.64240740740740743</v>
      </c>
      <c r="K481" s="15">
        <v>44751</v>
      </c>
      <c r="M481" s="2">
        <v>2.4849999999999999</v>
      </c>
      <c r="O481" s="2">
        <f t="shared" si="49"/>
        <v>2.415</v>
      </c>
      <c r="P481" s="2">
        <f t="shared" si="50"/>
        <v>65.48</v>
      </c>
      <c r="Q481" s="2">
        <f t="shared" si="51"/>
        <v>0.27049999999999425</v>
      </c>
      <c r="R481" s="2">
        <f t="shared" si="52"/>
        <v>0.32751428571427876</v>
      </c>
      <c r="S481" s="2">
        <f t="shared" si="53"/>
        <v>-5.7014285714284518E-2</v>
      </c>
    </row>
    <row r="482" spans="2:19" x14ac:dyDescent="0.25">
      <c r="B482" s="1">
        <f t="shared" si="54"/>
        <v>476</v>
      </c>
      <c r="C482" s="1">
        <v>712</v>
      </c>
      <c r="D482" s="13">
        <v>54.1</v>
      </c>
      <c r="E482" s="1" t="s">
        <v>11</v>
      </c>
      <c r="F482" s="2">
        <v>2.5099999999999998</v>
      </c>
      <c r="G482" s="1" t="s">
        <v>12</v>
      </c>
      <c r="H482" s="1" t="s">
        <v>13</v>
      </c>
      <c r="I482" s="1" t="s">
        <v>14</v>
      </c>
      <c r="J482" s="14">
        <v>0.64240740740740743</v>
      </c>
      <c r="K482" s="15">
        <v>44751</v>
      </c>
      <c r="M482" s="2">
        <v>2.4899999999999998</v>
      </c>
      <c r="O482" s="2">
        <f t="shared" si="49"/>
        <v>2.42</v>
      </c>
      <c r="P482" s="2">
        <f t="shared" si="50"/>
        <v>65.525714285714287</v>
      </c>
      <c r="Q482" s="2">
        <f t="shared" si="51"/>
        <v>0.27050000000001828</v>
      </c>
      <c r="R482" s="2">
        <f t="shared" si="52"/>
        <v>0.32774285714287932</v>
      </c>
      <c r="S482" s="2">
        <f t="shared" si="53"/>
        <v>-5.7242857142861037E-2</v>
      </c>
    </row>
    <row r="483" spans="2:19" x14ac:dyDescent="0.25">
      <c r="B483" s="1">
        <f t="shared" si="54"/>
        <v>477</v>
      </c>
      <c r="C483" s="1">
        <v>713</v>
      </c>
      <c r="D483" s="13">
        <v>54.1</v>
      </c>
      <c r="E483" s="1" t="s">
        <v>11</v>
      </c>
      <c r="F483" s="2">
        <v>2.5150000000000001</v>
      </c>
      <c r="G483" s="1" t="s">
        <v>12</v>
      </c>
      <c r="H483" s="1" t="s">
        <v>13</v>
      </c>
      <c r="I483" s="1" t="s">
        <v>14</v>
      </c>
      <c r="J483" s="14">
        <v>0.64240740740740743</v>
      </c>
      <c r="K483" s="15">
        <v>44751</v>
      </c>
      <c r="M483" s="2">
        <v>2.4950000000000001</v>
      </c>
      <c r="O483" s="2">
        <f t="shared" si="49"/>
        <v>2.4250000000000003</v>
      </c>
      <c r="P483" s="2">
        <f t="shared" si="50"/>
        <v>65.571428571428584</v>
      </c>
      <c r="Q483" s="2">
        <f t="shared" si="51"/>
        <v>0.27049999999999425</v>
      </c>
      <c r="R483" s="2">
        <f t="shared" si="52"/>
        <v>0.32797142857142159</v>
      </c>
      <c r="S483" s="2">
        <f t="shared" si="53"/>
        <v>-5.7471428571427341E-2</v>
      </c>
    </row>
    <row r="484" spans="2:19" x14ac:dyDescent="0.25">
      <c r="B484" s="1">
        <f t="shared" si="54"/>
        <v>478</v>
      </c>
      <c r="C484" s="1">
        <v>714</v>
      </c>
      <c r="D484" s="13">
        <v>54.1</v>
      </c>
      <c r="E484" s="1" t="s">
        <v>11</v>
      </c>
      <c r="F484" s="2">
        <v>2.52</v>
      </c>
      <c r="G484" s="1" t="s">
        <v>12</v>
      </c>
      <c r="H484" s="1" t="s">
        <v>13</v>
      </c>
      <c r="I484" s="1" t="s">
        <v>14</v>
      </c>
      <c r="J484" s="14">
        <v>0.64240740740740743</v>
      </c>
      <c r="K484" s="15">
        <v>44751</v>
      </c>
      <c r="M484" s="2">
        <v>2.5</v>
      </c>
      <c r="O484" s="2">
        <f t="shared" si="49"/>
        <v>2.4300000000000002</v>
      </c>
      <c r="P484" s="2">
        <f t="shared" si="50"/>
        <v>65.617142857142866</v>
      </c>
      <c r="Q484" s="2">
        <f t="shared" si="51"/>
        <v>0.27049999999999425</v>
      </c>
      <c r="R484" s="2">
        <f t="shared" si="52"/>
        <v>0.32819999999999305</v>
      </c>
      <c r="S484" s="2">
        <f t="shared" si="53"/>
        <v>-5.7699999999998808E-2</v>
      </c>
    </row>
    <row r="485" spans="2:19" x14ac:dyDescent="0.25">
      <c r="B485" s="1">
        <f t="shared" si="54"/>
        <v>479</v>
      </c>
      <c r="C485" s="1">
        <v>716</v>
      </c>
      <c r="D485" s="13">
        <v>54.1</v>
      </c>
      <c r="E485" s="1" t="s">
        <v>11</v>
      </c>
      <c r="F485" s="2">
        <v>2.5249999999999999</v>
      </c>
      <c r="G485" s="1" t="s">
        <v>12</v>
      </c>
      <c r="H485" s="1" t="s">
        <v>13</v>
      </c>
      <c r="I485" s="1" t="s">
        <v>14</v>
      </c>
      <c r="J485" s="14">
        <v>0.64240740740740743</v>
      </c>
      <c r="K485" s="15">
        <v>44751</v>
      </c>
      <c r="M485" s="2">
        <v>2.5049999999999999</v>
      </c>
      <c r="O485" s="2">
        <f t="shared" si="49"/>
        <v>2.4350000000000001</v>
      </c>
      <c r="P485" s="2">
        <f t="shared" si="50"/>
        <v>65.662857142857149</v>
      </c>
      <c r="Q485" s="2">
        <f t="shared" si="51"/>
        <v>0.27074999999999427</v>
      </c>
      <c r="R485" s="2">
        <f t="shared" si="52"/>
        <v>0.32842857142856441</v>
      </c>
      <c r="S485" s="2">
        <f t="shared" si="53"/>
        <v>-5.7678571428570136E-2</v>
      </c>
    </row>
    <row r="486" spans="2:19" x14ac:dyDescent="0.25">
      <c r="B486" s="1">
        <f t="shared" si="54"/>
        <v>480</v>
      </c>
      <c r="C486" s="1">
        <v>717</v>
      </c>
      <c r="D486" s="13">
        <v>54.2</v>
      </c>
      <c r="E486" s="1" t="s">
        <v>11</v>
      </c>
      <c r="F486" s="2">
        <v>2.5299999999999998</v>
      </c>
      <c r="G486" s="1" t="s">
        <v>12</v>
      </c>
      <c r="H486" s="1" t="s">
        <v>13</v>
      </c>
      <c r="I486" s="1" t="s">
        <v>14</v>
      </c>
      <c r="J486" s="14">
        <v>0.64240740740740743</v>
      </c>
      <c r="K486" s="15">
        <v>44751</v>
      </c>
      <c r="M486" s="2">
        <v>2.5099999999999998</v>
      </c>
      <c r="O486" s="2">
        <f t="shared" si="49"/>
        <v>2.44</v>
      </c>
      <c r="P486" s="2">
        <f t="shared" si="50"/>
        <v>65.708571428571432</v>
      </c>
      <c r="Q486" s="2">
        <f t="shared" si="51"/>
        <v>0.27075000000001831</v>
      </c>
      <c r="R486" s="2">
        <f t="shared" si="52"/>
        <v>0.32865714285716507</v>
      </c>
      <c r="S486" s="2">
        <f t="shared" si="53"/>
        <v>-5.7907142857146765E-2</v>
      </c>
    </row>
    <row r="487" spans="2:19" x14ac:dyDescent="0.25">
      <c r="B487" s="1">
        <f t="shared" si="54"/>
        <v>481</v>
      </c>
      <c r="C487" s="1">
        <v>718</v>
      </c>
      <c r="D487" s="13">
        <v>54.1</v>
      </c>
      <c r="E487" s="1" t="s">
        <v>11</v>
      </c>
      <c r="F487" s="2">
        <v>2.5350000000000001</v>
      </c>
      <c r="G487" s="1" t="s">
        <v>12</v>
      </c>
      <c r="H487" s="1" t="s">
        <v>13</v>
      </c>
      <c r="I487" s="1" t="s">
        <v>14</v>
      </c>
      <c r="J487" s="14">
        <v>0.64240740740740743</v>
      </c>
      <c r="K487" s="15">
        <v>44751</v>
      </c>
      <c r="M487" s="2">
        <v>2.5150000000000001</v>
      </c>
      <c r="O487" s="2">
        <f t="shared" si="49"/>
        <v>2.4450000000000003</v>
      </c>
      <c r="P487" s="2">
        <f t="shared" si="50"/>
        <v>65.754285714285714</v>
      </c>
      <c r="Q487" s="2">
        <f t="shared" si="51"/>
        <v>0.27049999999999425</v>
      </c>
      <c r="R487" s="2">
        <f t="shared" si="52"/>
        <v>0.32888571428570729</v>
      </c>
      <c r="S487" s="2">
        <f t="shared" si="53"/>
        <v>-5.8385714285713042E-2</v>
      </c>
    </row>
    <row r="488" spans="2:19" x14ac:dyDescent="0.25">
      <c r="B488" s="1">
        <f t="shared" si="54"/>
        <v>482</v>
      </c>
      <c r="C488" s="1">
        <v>719</v>
      </c>
      <c r="D488" s="13">
        <v>54.1</v>
      </c>
      <c r="E488" s="1" t="s">
        <v>11</v>
      </c>
      <c r="F488" s="2">
        <v>2.54</v>
      </c>
      <c r="G488" s="1" t="s">
        <v>12</v>
      </c>
      <c r="H488" s="1" t="s">
        <v>13</v>
      </c>
      <c r="I488" s="1" t="s">
        <v>14</v>
      </c>
      <c r="J488" s="14">
        <v>0.64241898148148147</v>
      </c>
      <c r="K488" s="15">
        <v>44751</v>
      </c>
      <c r="M488" s="2">
        <v>2.52</v>
      </c>
      <c r="O488" s="2">
        <f t="shared" si="49"/>
        <v>2.4500000000000002</v>
      </c>
      <c r="P488" s="2">
        <f t="shared" si="50"/>
        <v>65.800000000000011</v>
      </c>
      <c r="Q488" s="2">
        <f t="shared" si="51"/>
        <v>0.27049999999999425</v>
      </c>
      <c r="R488" s="2">
        <f t="shared" si="52"/>
        <v>0.3291142857142787</v>
      </c>
      <c r="S488" s="2">
        <f t="shared" si="53"/>
        <v>-5.8614285714284453E-2</v>
      </c>
    </row>
    <row r="489" spans="2:19" x14ac:dyDescent="0.25">
      <c r="B489" s="1">
        <f t="shared" si="54"/>
        <v>483</v>
      </c>
      <c r="C489" s="1">
        <v>720</v>
      </c>
      <c r="D489" s="13">
        <v>54.1</v>
      </c>
      <c r="E489" s="1" t="s">
        <v>11</v>
      </c>
      <c r="F489" s="2">
        <v>2.5449999999999999</v>
      </c>
      <c r="G489" s="1" t="s">
        <v>12</v>
      </c>
      <c r="H489" s="1" t="s">
        <v>13</v>
      </c>
      <c r="I489" s="1" t="s">
        <v>14</v>
      </c>
      <c r="J489" s="14">
        <v>0.64241898148148147</v>
      </c>
      <c r="K489" s="15">
        <v>44751</v>
      </c>
      <c r="M489" s="2">
        <v>2.5249999999999999</v>
      </c>
      <c r="O489" s="2">
        <f t="shared" si="49"/>
        <v>2.4550000000000001</v>
      </c>
      <c r="P489" s="2">
        <f t="shared" si="50"/>
        <v>65.845714285714294</v>
      </c>
      <c r="Q489" s="2">
        <f t="shared" si="51"/>
        <v>0.27049999999999425</v>
      </c>
      <c r="R489" s="2">
        <f t="shared" si="52"/>
        <v>0.32934285714285016</v>
      </c>
      <c r="S489" s="2">
        <f t="shared" si="53"/>
        <v>-5.884285714285592E-2</v>
      </c>
    </row>
    <row r="490" spans="2:19" x14ac:dyDescent="0.25">
      <c r="B490" s="1">
        <f t="shared" si="54"/>
        <v>484</v>
      </c>
      <c r="C490" s="1">
        <v>721</v>
      </c>
      <c r="D490" s="13">
        <v>54.1</v>
      </c>
      <c r="E490" s="1" t="s">
        <v>11</v>
      </c>
      <c r="F490" s="2">
        <v>2.5499999999999998</v>
      </c>
      <c r="G490" s="1" t="s">
        <v>12</v>
      </c>
      <c r="H490" s="1" t="s">
        <v>13</v>
      </c>
      <c r="I490" s="1" t="s">
        <v>14</v>
      </c>
      <c r="J490" s="14">
        <v>0.64241898148148147</v>
      </c>
      <c r="K490" s="15">
        <v>44751</v>
      </c>
      <c r="M490" s="2">
        <v>2.5299999999999998</v>
      </c>
      <c r="O490" s="2">
        <f t="shared" si="49"/>
        <v>2.46</v>
      </c>
      <c r="P490" s="2">
        <f t="shared" si="50"/>
        <v>65.891428571428577</v>
      </c>
      <c r="Q490" s="2">
        <f t="shared" si="51"/>
        <v>0.27000000000001823</v>
      </c>
      <c r="R490" s="2">
        <f t="shared" si="52"/>
        <v>0.32957142857145089</v>
      </c>
      <c r="S490" s="2">
        <f t="shared" si="53"/>
        <v>-5.9571428571432661E-2</v>
      </c>
    </row>
    <row r="491" spans="2:19" x14ac:dyDescent="0.25">
      <c r="B491" s="1">
        <f t="shared" si="54"/>
        <v>485</v>
      </c>
      <c r="C491" s="1">
        <v>723</v>
      </c>
      <c r="D491" s="13">
        <v>53.9</v>
      </c>
      <c r="E491" s="1" t="s">
        <v>11</v>
      </c>
      <c r="F491" s="2">
        <v>2.5550000000000002</v>
      </c>
      <c r="G491" s="1" t="s">
        <v>12</v>
      </c>
      <c r="H491" s="1" t="s">
        <v>13</v>
      </c>
      <c r="I491" s="1" t="s">
        <v>14</v>
      </c>
      <c r="J491" s="14">
        <v>0.64241898148148147</v>
      </c>
      <c r="K491" s="15">
        <v>44751</v>
      </c>
      <c r="M491" s="2">
        <v>2.5350000000000001</v>
      </c>
      <c r="O491" s="2">
        <f t="shared" si="49"/>
        <v>2.4650000000000003</v>
      </c>
      <c r="P491" s="2">
        <f t="shared" si="50"/>
        <v>65.937142857142874</v>
      </c>
      <c r="Q491" s="2">
        <f t="shared" si="51"/>
        <v>0.26974999999999427</v>
      </c>
      <c r="R491" s="2">
        <f t="shared" si="52"/>
        <v>0.32979999999999299</v>
      </c>
      <c r="S491" s="2">
        <f t="shared" si="53"/>
        <v>-6.0049999999998716E-2</v>
      </c>
    </row>
    <row r="492" spans="2:19" x14ac:dyDescent="0.25">
      <c r="B492" s="1">
        <f t="shared" si="54"/>
        <v>486</v>
      </c>
      <c r="C492" s="1">
        <v>724</v>
      </c>
      <c r="D492" s="13">
        <v>54</v>
      </c>
      <c r="E492" s="1" t="s">
        <v>11</v>
      </c>
      <c r="F492" s="2">
        <v>2.56</v>
      </c>
      <c r="G492" s="1" t="s">
        <v>12</v>
      </c>
      <c r="H492" s="1" t="s">
        <v>13</v>
      </c>
      <c r="I492" s="1" t="s">
        <v>14</v>
      </c>
      <c r="J492" s="14">
        <v>0.64241898148148147</v>
      </c>
      <c r="K492" s="15">
        <v>44751</v>
      </c>
      <c r="M492" s="2">
        <v>2.54</v>
      </c>
      <c r="O492" s="2">
        <f t="shared" si="49"/>
        <v>2.4700000000000002</v>
      </c>
      <c r="P492" s="2">
        <f t="shared" si="50"/>
        <v>65.982857142857142</v>
      </c>
      <c r="Q492" s="2">
        <f t="shared" si="51"/>
        <v>0.27024999999999422</v>
      </c>
      <c r="R492" s="2">
        <f t="shared" si="52"/>
        <v>0.3300285714285644</v>
      </c>
      <c r="S492" s="2">
        <f t="shared" si="53"/>
        <v>-5.9778571428570182E-2</v>
      </c>
    </row>
    <row r="493" spans="2:19" x14ac:dyDescent="0.25">
      <c r="B493" s="1">
        <f t="shared" si="54"/>
        <v>487</v>
      </c>
      <c r="C493" s="1">
        <v>726</v>
      </c>
      <c r="D493" s="13">
        <v>54.1</v>
      </c>
      <c r="E493" s="1" t="s">
        <v>11</v>
      </c>
      <c r="F493" s="2">
        <v>2.5649999999999999</v>
      </c>
      <c r="G493" s="1" t="s">
        <v>12</v>
      </c>
      <c r="H493" s="1" t="s">
        <v>13</v>
      </c>
      <c r="I493" s="1" t="s">
        <v>14</v>
      </c>
      <c r="J493" s="14">
        <v>0.64241898148148147</v>
      </c>
      <c r="K493" s="15">
        <v>44751</v>
      </c>
      <c r="M493" s="2">
        <v>2.5449999999999999</v>
      </c>
      <c r="O493" s="2">
        <f t="shared" si="49"/>
        <v>2.4750000000000001</v>
      </c>
      <c r="P493" s="2">
        <f t="shared" si="50"/>
        <v>66.028571428571439</v>
      </c>
      <c r="Q493" s="2">
        <f t="shared" si="51"/>
        <v>0.27049999999999425</v>
      </c>
      <c r="R493" s="2">
        <f t="shared" si="52"/>
        <v>0.33025714285713581</v>
      </c>
      <c r="S493" s="2">
        <f t="shared" si="53"/>
        <v>-5.9757142857141565E-2</v>
      </c>
    </row>
    <row r="494" spans="2:19" x14ac:dyDescent="0.25">
      <c r="B494" s="1">
        <f t="shared" si="54"/>
        <v>488</v>
      </c>
      <c r="C494" s="1">
        <v>727</v>
      </c>
      <c r="D494" s="13">
        <v>54.1</v>
      </c>
      <c r="E494" s="1" t="s">
        <v>11</v>
      </c>
      <c r="F494" s="2">
        <v>2.57</v>
      </c>
      <c r="G494" s="1" t="s">
        <v>12</v>
      </c>
      <c r="H494" s="1" t="s">
        <v>13</v>
      </c>
      <c r="I494" s="1" t="s">
        <v>14</v>
      </c>
      <c r="J494" s="14">
        <v>0.64241898148148147</v>
      </c>
      <c r="K494" s="15">
        <v>44751</v>
      </c>
      <c r="M494" s="2">
        <v>2.5499999999999998</v>
      </c>
      <c r="O494" s="2">
        <f t="shared" si="49"/>
        <v>2.48</v>
      </c>
      <c r="P494" s="2">
        <f t="shared" si="50"/>
        <v>66.074285714285722</v>
      </c>
      <c r="Q494" s="2">
        <f t="shared" si="51"/>
        <v>0.27100000000001828</v>
      </c>
      <c r="R494" s="2">
        <f t="shared" si="52"/>
        <v>0.33048571428573664</v>
      </c>
      <c r="S494" s="2">
        <f t="shared" si="53"/>
        <v>-5.9485714285718361E-2</v>
      </c>
    </row>
    <row r="495" spans="2:19" x14ac:dyDescent="0.25">
      <c r="B495" s="1">
        <f t="shared" si="54"/>
        <v>489</v>
      </c>
      <c r="C495" s="1">
        <v>728</v>
      </c>
      <c r="D495" s="13">
        <v>54.3</v>
      </c>
      <c r="E495" s="1" t="s">
        <v>11</v>
      </c>
      <c r="F495" s="2">
        <v>2.5750000000000002</v>
      </c>
      <c r="G495" s="1" t="s">
        <v>12</v>
      </c>
      <c r="H495" s="1" t="s">
        <v>13</v>
      </c>
      <c r="I495" s="1" t="s">
        <v>14</v>
      </c>
      <c r="J495" s="14">
        <v>0.64241898148148147</v>
      </c>
      <c r="K495" s="15">
        <v>44751</v>
      </c>
      <c r="M495" s="2">
        <v>2.5550000000000002</v>
      </c>
      <c r="O495" s="2">
        <f t="shared" si="49"/>
        <v>2.4850000000000003</v>
      </c>
      <c r="P495" s="2">
        <f t="shared" si="50"/>
        <v>66.12</v>
      </c>
      <c r="Q495" s="2">
        <f t="shared" si="51"/>
        <v>0.27149999999999419</v>
      </c>
      <c r="R495" s="2">
        <f t="shared" si="52"/>
        <v>0.33071428571427869</v>
      </c>
      <c r="S495" s="2">
        <f t="shared" si="53"/>
        <v>-5.9214285714284498E-2</v>
      </c>
    </row>
    <row r="496" spans="2:19" x14ac:dyDescent="0.25">
      <c r="B496" s="1">
        <f t="shared" si="54"/>
        <v>490</v>
      </c>
      <c r="C496" s="1">
        <v>730</v>
      </c>
      <c r="D496" s="13">
        <v>54.3</v>
      </c>
      <c r="E496" s="1" t="s">
        <v>11</v>
      </c>
      <c r="F496" s="2">
        <v>2.58</v>
      </c>
      <c r="G496" s="1" t="s">
        <v>12</v>
      </c>
      <c r="H496" s="1" t="s">
        <v>13</v>
      </c>
      <c r="I496" s="1" t="s">
        <v>14</v>
      </c>
      <c r="J496" s="14">
        <v>0.6424305555555555</v>
      </c>
      <c r="K496" s="15">
        <v>44751</v>
      </c>
      <c r="M496" s="2">
        <v>2.56</v>
      </c>
      <c r="O496" s="2">
        <f t="shared" si="49"/>
        <v>2.4900000000000002</v>
      </c>
      <c r="P496" s="2">
        <f t="shared" si="50"/>
        <v>66.165714285714301</v>
      </c>
      <c r="Q496" s="2">
        <f t="shared" si="51"/>
        <v>0.27149999999999419</v>
      </c>
      <c r="R496" s="2">
        <f t="shared" si="52"/>
        <v>0.3309428571428501</v>
      </c>
      <c r="S496" s="2">
        <f t="shared" si="53"/>
        <v>-5.9442857142855909E-2</v>
      </c>
    </row>
    <row r="497" spans="2:19" x14ac:dyDescent="0.25">
      <c r="B497" s="1">
        <f t="shared" si="54"/>
        <v>491</v>
      </c>
      <c r="C497" s="1">
        <v>731</v>
      </c>
      <c r="D497" s="13">
        <v>54.3</v>
      </c>
      <c r="E497" s="1" t="s">
        <v>11</v>
      </c>
      <c r="F497" s="2">
        <v>2.585</v>
      </c>
      <c r="G497" s="1" t="s">
        <v>12</v>
      </c>
      <c r="H497" s="1" t="s">
        <v>13</v>
      </c>
      <c r="I497" s="1" t="s">
        <v>14</v>
      </c>
      <c r="J497" s="14">
        <v>0.6424305555555555</v>
      </c>
      <c r="K497" s="15">
        <v>44751</v>
      </c>
      <c r="M497" s="2">
        <v>2.5649999999999999</v>
      </c>
      <c r="O497" s="2">
        <f t="shared" si="49"/>
        <v>2.4950000000000001</v>
      </c>
      <c r="P497" s="2">
        <f t="shared" si="50"/>
        <v>66.21142857142857</v>
      </c>
      <c r="Q497" s="2">
        <f t="shared" si="51"/>
        <v>0.27174999999999416</v>
      </c>
      <c r="R497" s="2">
        <f t="shared" si="52"/>
        <v>0.33117142857142151</v>
      </c>
      <c r="S497" s="2">
        <f t="shared" si="53"/>
        <v>-5.9421428571427348E-2</v>
      </c>
    </row>
    <row r="498" spans="2:19" x14ac:dyDescent="0.25">
      <c r="B498" s="1">
        <f t="shared" si="54"/>
        <v>492</v>
      </c>
      <c r="C498" s="1">
        <v>732</v>
      </c>
      <c r="D498" s="13">
        <v>54.4</v>
      </c>
      <c r="E498" s="1" t="s">
        <v>11</v>
      </c>
      <c r="F498" s="2">
        <v>2.59</v>
      </c>
      <c r="G498" s="1" t="s">
        <v>12</v>
      </c>
      <c r="H498" s="1" t="s">
        <v>13</v>
      </c>
      <c r="I498" s="1" t="s">
        <v>14</v>
      </c>
      <c r="J498" s="14">
        <v>0.6424305555555555</v>
      </c>
      <c r="K498" s="15">
        <v>44751</v>
      </c>
      <c r="M498" s="2">
        <v>2.57</v>
      </c>
      <c r="O498" s="2">
        <f t="shared" si="49"/>
        <v>2.5</v>
      </c>
      <c r="P498" s="2">
        <f t="shared" si="50"/>
        <v>66.257142857142867</v>
      </c>
      <c r="Q498" s="2">
        <f t="shared" si="51"/>
        <v>0.27225000000001837</v>
      </c>
      <c r="R498" s="2">
        <f t="shared" si="52"/>
        <v>0.3314000000000224</v>
      </c>
      <c r="S498" s="2">
        <f t="shared" si="53"/>
        <v>-5.9150000000004033E-2</v>
      </c>
    </row>
    <row r="499" spans="2:19" x14ac:dyDescent="0.25">
      <c r="B499" s="1">
        <f t="shared" si="54"/>
        <v>493</v>
      </c>
      <c r="C499" s="1">
        <v>733</v>
      </c>
      <c r="D499" s="13">
        <v>54.5</v>
      </c>
      <c r="E499" s="1" t="s">
        <v>11</v>
      </c>
      <c r="F499" s="2">
        <v>2.5950000000000002</v>
      </c>
      <c r="G499" s="1" t="s">
        <v>12</v>
      </c>
      <c r="H499" s="1" t="s">
        <v>13</v>
      </c>
      <c r="I499" s="1" t="s">
        <v>14</v>
      </c>
      <c r="J499" s="14">
        <v>0.6424305555555555</v>
      </c>
      <c r="K499" s="15">
        <v>44751</v>
      </c>
      <c r="M499" s="2">
        <v>2.5750000000000002</v>
      </c>
      <c r="O499" s="2">
        <f t="shared" si="49"/>
        <v>2.5050000000000003</v>
      </c>
      <c r="P499" s="2">
        <f t="shared" si="50"/>
        <v>66.30285714285715</v>
      </c>
      <c r="Q499" s="2">
        <f t="shared" si="51"/>
        <v>0.27224999999999422</v>
      </c>
      <c r="R499" s="2">
        <f t="shared" si="52"/>
        <v>0.33162857142856444</v>
      </c>
      <c r="S499" s="2">
        <f t="shared" si="53"/>
        <v>-5.9378571428570226E-2</v>
      </c>
    </row>
    <row r="500" spans="2:19" x14ac:dyDescent="0.25">
      <c r="B500" s="1">
        <f t="shared" si="54"/>
        <v>494</v>
      </c>
      <c r="C500" s="1">
        <v>734</v>
      </c>
      <c r="D500" s="13">
        <v>54.4</v>
      </c>
      <c r="E500" s="1" t="s">
        <v>11</v>
      </c>
      <c r="F500" s="2">
        <v>2.6</v>
      </c>
      <c r="G500" s="1" t="s">
        <v>12</v>
      </c>
      <c r="H500" s="1" t="s">
        <v>13</v>
      </c>
      <c r="I500" s="1" t="s">
        <v>14</v>
      </c>
      <c r="J500" s="14">
        <v>0.6424305555555555</v>
      </c>
      <c r="K500" s="15">
        <v>44751</v>
      </c>
      <c r="M500" s="2">
        <v>2.58</v>
      </c>
      <c r="O500" s="2">
        <f t="shared" si="49"/>
        <v>2.5100000000000002</v>
      </c>
      <c r="P500" s="2">
        <f t="shared" si="50"/>
        <v>66.348571428571432</v>
      </c>
      <c r="Q500" s="2">
        <f t="shared" si="51"/>
        <v>0.27224999999999422</v>
      </c>
      <c r="R500" s="2">
        <f t="shared" si="52"/>
        <v>0.33185714285713586</v>
      </c>
      <c r="S500" s="2">
        <f t="shared" si="53"/>
        <v>-5.9607142857141637E-2</v>
      </c>
    </row>
    <row r="501" spans="2:19" x14ac:dyDescent="0.25">
      <c r="B501" s="1">
        <f t="shared" si="54"/>
        <v>495</v>
      </c>
      <c r="C501" s="1">
        <v>736</v>
      </c>
      <c r="D501" s="13">
        <v>54.5</v>
      </c>
      <c r="E501" s="1" t="s">
        <v>11</v>
      </c>
      <c r="F501" s="2">
        <v>2.605</v>
      </c>
      <c r="G501" s="1" t="s">
        <v>12</v>
      </c>
      <c r="H501" s="1" t="s">
        <v>13</v>
      </c>
      <c r="I501" s="1" t="s">
        <v>14</v>
      </c>
      <c r="J501" s="14">
        <v>0.6424305555555555</v>
      </c>
      <c r="K501" s="15">
        <v>44751</v>
      </c>
      <c r="M501" s="2">
        <v>2.585</v>
      </c>
      <c r="O501" s="2">
        <f t="shared" si="49"/>
        <v>2.5150000000000001</v>
      </c>
      <c r="P501" s="2">
        <f t="shared" si="50"/>
        <v>66.394285714285729</v>
      </c>
      <c r="Q501" s="2">
        <f t="shared" si="51"/>
        <v>0.27274999999999416</v>
      </c>
      <c r="R501" s="2">
        <f t="shared" si="52"/>
        <v>0.33208571428570721</v>
      </c>
      <c r="S501" s="2">
        <f t="shared" si="53"/>
        <v>-5.9335714285713048E-2</v>
      </c>
    </row>
    <row r="502" spans="2:19" x14ac:dyDescent="0.25">
      <c r="B502" s="1">
        <f t="shared" si="54"/>
        <v>496</v>
      </c>
      <c r="C502" s="1">
        <v>737</v>
      </c>
      <c r="D502" s="13">
        <v>54.6</v>
      </c>
      <c r="E502" s="1" t="s">
        <v>11</v>
      </c>
      <c r="F502" s="2">
        <v>2.61</v>
      </c>
      <c r="G502" s="1" t="s">
        <v>12</v>
      </c>
      <c r="H502" s="1" t="s">
        <v>13</v>
      </c>
      <c r="I502" s="1" t="s">
        <v>14</v>
      </c>
      <c r="J502" s="14">
        <v>0.6424305555555555</v>
      </c>
      <c r="K502" s="15">
        <v>44751</v>
      </c>
      <c r="M502" s="2">
        <v>2.59</v>
      </c>
      <c r="O502" s="2">
        <f t="shared" si="49"/>
        <v>2.52</v>
      </c>
      <c r="P502" s="2">
        <f t="shared" si="50"/>
        <v>66.44</v>
      </c>
      <c r="Q502" s="2">
        <f t="shared" si="51"/>
        <v>0.27300000000001845</v>
      </c>
      <c r="R502" s="2">
        <f t="shared" si="52"/>
        <v>0.33231428571430816</v>
      </c>
      <c r="S502" s="2">
        <f t="shared" si="53"/>
        <v>-5.9314285714289705E-2</v>
      </c>
    </row>
    <row r="503" spans="2:19" x14ac:dyDescent="0.25">
      <c r="B503" s="1">
        <f t="shared" si="54"/>
        <v>497</v>
      </c>
      <c r="C503" s="1">
        <v>738</v>
      </c>
      <c r="D503" s="13">
        <v>54.6</v>
      </c>
      <c r="E503" s="1" t="s">
        <v>11</v>
      </c>
      <c r="F503" s="2">
        <v>2.6150000000000002</v>
      </c>
      <c r="G503" s="1" t="s">
        <v>12</v>
      </c>
      <c r="H503" s="1" t="s">
        <v>13</v>
      </c>
      <c r="I503" s="1" t="s">
        <v>14</v>
      </c>
      <c r="J503" s="14">
        <v>0.6424305555555555</v>
      </c>
      <c r="K503" s="15">
        <v>44751</v>
      </c>
      <c r="M503" s="2">
        <v>2.5950000000000002</v>
      </c>
      <c r="O503" s="2">
        <f t="shared" si="49"/>
        <v>2.5250000000000004</v>
      </c>
      <c r="P503" s="2">
        <f t="shared" si="50"/>
        <v>66.485714285714295</v>
      </c>
      <c r="Q503" s="2">
        <f t="shared" si="51"/>
        <v>0.27299999999999419</v>
      </c>
      <c r="R503" s="2">
        <f t="shared" si="52"/>
        <v>0.33254285714285003</v>
      </c>
      <c r="S503" s="2">
        <f t="shared" si="53"/>
        <v>-5.9542857142855843E-2</v>
      </c>
    </row>
    <row r="504" spans="2:19" x14ac:dyDescent="0.25">
      <c r="B504" s="1">
        <f t="shared" si="54"/>
        <v>498</v>
      </c>
      <c r="C504" s="1">
        <v>740</v>
      </c>
      <c r="D504" s="13">
        <v>54.6</v>
      </c>
      <c r="E504" s="1" t="s">
        <v>11</v>
      </c>
      <c r="F504" s="2">
        <v>2.62</v>
      </c>
      <c r="G504" s="1" t="s">
        <v>12</v>
      </c>
      <c r="H504" s="1" t="s">
        <v>13</v>
      </c>
      <c r="I504" s="1" t="s">
        <v>14</v>
      </c>
      <c r="J504" s="14">
        <v>0.64244212962962965</v>
      </c>
      <c r="K504" s="15">
        <v>44751</v>
      </c>
      <c r="M504" s="2">
        <v>2.6</v>
      </c>
      <c r="O504" s="2">
        <f t="shared" si="49"/>
        <v>2.5300000000000002</v>
      </c>
      <c r="P504" s="2">
        <f t="shared" si="50"/>
        <v>66.531428571428577</v>
      </c>
      <c r="Q504" s="2">
        <f t="shared" si="51"/>
        <v>0.27324999999999422</v>
      </c>
      <c r="R504" s="2">
        <f t="shared" si="52"/>
        <v>0.33277142857142156</v>
      </c>
      <c r="S504" s="2">
        <f t="shared" si="53"/>
        <v>-5.9521428571427337E-2</v>
      </c>
    </row>
    <row r="505" spans="2:19" x14ac:dyDescent="0.25">
      <c r="B505" s="1">
        <f t="shared" si="54"/>
        <v>499</v>
      </c>
      <c r="C505" s="1">
        <v>741</v>
      </c>
      <c r="D505" s="13">
        <v>54.7</v>
      </c>
      <c r="E505" s="1" t="s">
        <v>11</v>
      </c>
      <c r="F505" s="2">
        <v>2.625</v>
      </c>
      <c r="G505" s="1" t="s">
        <v>12</v>
      </c>
      <c r="H505" s="1" t="s">
        <v>13</v>
      </c>
      <c r="I505" s="1" t="s">
        <v>14</v>
      </c>
      <c r="J505" s="14">
        <v>0.64244212962962965</v>
      </c>
      <c r="K505" s="15">
        <v>44751</v>
      </c>
      <c r="M505" s="2">
        <v>2.605</v>
      </c>
      <c r="O505" s="2">
        <f t="shared" si="49"/>
        <v>2.5350000000000001</v>
      </c>
      <c r="P505" s="2">
        <f t="shared" si="50"/>
        <v>66.57714285714286</v>
      </c>
      <c r="Q505" s="2">
        <f t="shared" si="51"/>
        <v>0.27374999999999416</v>
      </c>
      <c r="R505" s="2">
        <f t="shared" si="52"/>
        <v>0.33299999999999297</v>
      </c>
      <c r="S505" s="2">
        <f t="shared" si="53"/>
        <v>-5.9249999999998804E-2</v>
      </c>
    </row>
    <row r="506" spans="2:19" x14ac:dyDescent="0.25">
      <c r="B506" s="1">
        <f t="shared" si="54"/>
        <v>500</v>
      </c>
      <c r="C506" s="1">
        <v>743</v>
      </c>
      <c r="D506" s="13">
        <v>54.8</v>
      </c>
      <c r="E506" s="1" t="s">
        <v>11</v>
      </c>
      <c r="F506" s="2">
        <v>2.63</v>
      </c>
      <c r="G506" s="1" t="s">
        <v>12</v>
      </c>
      <c r="H506" s="1" t="s">
        <v>13</v>
      </c>
      <c r="I506" s="1" t="s">
        <v>14</v>
      </c>
      <c r="J506" s="14">
        <v>0.64244212962962965</v>
      </c>
      <c r="K506" s="15">
        <v>44751</v>
      </c>
      <c r="M506" s="2">
        <v>2.61</v>
      </c>
      <c r="O506" s="2">
        <f t="shared" si="49"/>
        <v>2.54</v>
      </c>
      <c r="P506" s="2">
        <f t="shared" si="50"/>
        <v>66.622857142857157</v>
      </c>
      <c r="Q506" s="2">
        <f t="shared" si="51"/>
        <v>0.27424999999999411</v>
      </c>
      <c r="R506" s="2">
        <f t="shared" si="52"/>
        <v>0.33322857142856438</v>
      </c>
      <c r="S506" s="2">
        <f t="shared" si="53"/>
        <v>-5.897857142857027E-2</v>
      </c>
    </row>
    <row r="507" spans="2:19" x14ac:dyDescent="0.25">
      <c r="B507" s="1">
        <f t="shared" si="54"/>
        <v>501</v>
      </c>
      <c r="C507" s="1">
        <v>744</v>
      </c>
      <c r="D507" s="13">
        <v>54.9</v>
      </c>
      <c r="E507" s="1" t="s">
        <v>11</v>
      </c>
      <c r="F507" s="2">
        <v>2.6349999999999998</v>
      </c>
      <c r="G507" s="1" t="s">
        <v>12</v>
      </c>
      <c r="H507" s="1" t="s">
        <v>13</v>
      </c>
      <c r="I507" s="1" t="s">
        <v>14</v>
      </c>
      <c r="J507" s="14">
        <v>0.64244212962962965</v>
      </c>
      <c r="K507" s="15">
        <v>44751</v>
      </c>
      <c r="M507" s="2">
        <v>2.6149999999999998</v>
      </c>
      <c r="O507" s="2">
        <f t="shared" si="49"/>
        <v>2.5449999999999999</v>
      </c>
      <c r="P507" s="2">
        <f t="shared" si="50"/>
        <v>66.668571428571425</v>
      </c>
      <c r="Q507" s="2">
        <f t="shared" si="51"/>
        <v>0.27450000000001851</v>
      </c>
      <c r="R507" s="2">
        <f t="shared" si="52"/>
        <v>0.33345714285716538</v>
      </c>
      <c r="S507" s="2">
        <f t="shared" si="53"/>
        <v>-5.8957142857146871E-2</v>
      </c>
    </row>
    <row r="508" spans="2:19" x14ac:dyDescent="0.25">
      <c r="B508" s="1">
        <f t="shared" si="54"/>
        <v>502</v>
      </c>
      <c r="C508" s="1">
        <v>745</v>
      </c>
      <c r="D508" s="13">
        <v>54.9</v>
      </c>
      <c r="E508" s="1" t="s">
        <v>11</v>
      </c>
      <c r="F508" s="2">
        <v>2.64</v>
      </c>
      <c r="G508" s="1" t="s">
        <v>12</v>
      </c>
      <c r="H508" s="1" t="s">
        <v>13</v>
      </c>
      <c r="I508" s="1" t="s">
        <v>14</v>
      </c>
      <c r="J508" s="14">
        <v>0.64244212962962965</v>
      </c>
      <c r="K508" s="15">
        <v>44751</v>
      </c>
      <c r="M508" s="2">
        <v>2.62</v>
      </c>
      <c r="O508" s="2">
        <f t="shared" si="49"/>
        <v>2.5500000000000003</v>
      </c>
      <c r="P508" s="2">
        <f t="shared" si="50"/>
        <v>66.714285714285722</v>
      </c>
      <c r="Q508" s="2">
        <f t="shared" si="51"/>
        <v>0.27449999999999414</v>
      </c>
      <c r="R508" s="2">
        <f t="shared" si="52"/>
        <v>0.33368571428570715</v>
      </c>
      <c r="S508" s="2">
        <f t="shared" si="53"/>
        <v>-5.9185714285713009E-2</v>
      </c>
    </row>
    <row r="509" spans="2:19" x14ac:dyDescent="0.25">
      <c r="B509" s="1">
        <f t="shared" si="54"/>
        <v>503</v>
      </c>
      <c r="C509" s="1">
        <v>747</v>
      </c>
      <c r="D509" s="13">
        <v>54.9</v>
      </c>
      <c r="E509" s="1" t="s">
        <v>11</v>
      </c>
      <c r="F509" s="2">
        <v>2.645</v>
      </c>
      <c r="G509" s="1" t="s">
        <v>12</v>
      </c>
      <c r="H509" s="1" t="s">
        <v>13</v>
      </c>
      <c r="I509" s="1" t="s">
        <v>14</v>
      </c>
      <c r="J509" s="14">
        <v>0.64244212962962965</v>
      </c>
      <c r="K509" s="15">
        <v>44751</v>
      </c>
      <c r="M509" s="2">
        <v>2.625</v>
      </c>
      <c r="O509" s="2">
        <f t="shared" si="49"/>
        <v>2.5550000000000002</v>
      </c>
      <c r="P509" s="2">
        <f t="shared" si="50"/>
        <v>66.760000000000005</v>
      </c>
      <c r="Q509" s="2">
        <f t="shared" si="51"/>
        <v>0.27474999999999417</v>
      </c>
      <c r="R509" s="2">
        <f t="shared" si="52"/>
        <v>0.33391428571427867</v>
      </c>
      <c r="S509" s="2">
        <f t="shared" si="53"/>
        <v>-5.9164285714284504E-2</v>
      </c>
    </row>
    <row r="510" spans="2:19" x14ac:dyDescent="0.25">
      <c r="B510" s="1">
        <f t="shared" si="54"/>
        <v>504</v>
      </c>
      <c r="C510" s="1">
        <v>748</v>
      </c>
      <c r="D510" s="13">
        <v>55</v>
      </c>
      <c r="E510" s="1" t="s">
        <v>11</v>
      </c>
      <c r="F510" s="2">
        <v>2.65</v>
      </c>
      <c r="G510" s="1" t="s">
        <v>12</v>
      </c>
      <c r="H510" s="1" t="s">
        <v>13</v>
      </c>
      <c r="I510" s="1" t="s">
        <v>14</v>
      </c>
      <c r="J510" s="14">
        <v>0.64244212962962965</v>
      </c>
      <c r="K510" s="15">
        <v>44751</v>
      </c>
      <c r="M510" s="2">
        <v>2.63</v>
      </c>
      <c r="O510" s="2">
        <f t="shared" si="49"/>
        <v>2.56</v>
      </c>
      <c r="P510" s="2">
        <f t="shared" si="50"/>
        <v>66.805714285714288</v>
      </c>
      <c r="Q510" s="2">
        <f t="shared" si="51"/>
        <v>0.27499999999999414</v>
      </c>
      <c r="R510" s="2">
        <f t="shared" si="52"/>
        <v>0.33414285714285008</v>
      </c>
      <c r="S510" s="2">
        <f t="shared" si="53"/>
        <v>-5.9142857142855942E-2</v>
      </c>
    </row>
    <row r="511" spans="2:19" x14ac:dyDescent="0.25">
      <c r="B511" s="1">
        <f t="shared" si="54"/>
        <v>505</v>
      </c>
      <c r="C511" s="1">
        <v>749</v>
      </c>
      <c r="D511" s="13">
        <v>55</v>
      </c>
      <c r="E511" s="1" t="s">
        <v>11</v>
      </c>
      <c r="F511" s="2">
        <v>2.6549999999999998</v>
      </c>
      <c r="G511" s="1" t="s">
        <v>12</v>
      </c>
      <c r="H511" s="1" t="s">
        <v>13</v>
      </c>
      <c r="I511" s="1" t="s">
        <v>14</v>
      </c>
      <c r="J511" s="14">
        <v>0.64245370370370369</v>
      </c>
      <c r="K511" s="15">
        <v>44751</v>
      </c>
      <c r="M511" s="2">
        <v>2.6349999999999998</v>
      </c>
      <c r="O511" s="2">
        <f t="shared" si="49"/>
        <v>2.5649999999999999</v>
      </c>
      <c r="P511" s="2">
        <f t="shared" si="50"/>
        <v>66.851428571428585</v>
      </c>
      <c r="Q511" s="2">
        <f t="shared" si="51"/>
        <v>0.27475000000001853</v>
      </c>
      <c r="R511" s="2">
        <f t="shared" si="52"/>
        <v>0.33437142857145119</v>
      </c>
      <c r="S511" s="2">
        <f t="shared" si="53"/>
        <v>-5.9621428571432655E-2</v>
      </c>
    </row>
    <row r="512" spans="2:19" x14ac:dyDescent="0.25">
      <c r="B512" s="1">
        <f t="shared" si="54"/>
        <v>506</v>
      </c>
      <c r="C512" s="1">
        <v>750</v>
      </c>
      <c r="D512" s="13">
        <v>54.9</v>
      </c>
      <c r="E512" s="1" t="s">
        <v>11</v>
      </c>
      <c r="F512" s="2">
        <v>2.66</v>
      </c>
      <c r="G512" s="1" t="s">
        <v>12</v>
      </c>
      <c r="H512" s="1" t="s">
        <v>13</v>
      </c>
      <c r="I512" s="1" t="s">
        <v>14</v>
      </c>
      <c r="J512" s="14">
        <v>0.64245370370370369</v>
      </c>
      <c r="K512" s="15">
        <v>44751</v>
      </c>
      <c r="M512" s="2">
        <v>2.64</v>
      </c>
      <c r="O512" s="2">
        <f t="shared" si="49"/>
        <v>2.5700000000000003</v>
      </c>
      <c r="P512" s="2">
        <f t="shared" si="50"/>
        <v>66.897142857142867</v>
      </c>
      <c r="Q512" s="2">
        <f t="shared" si="51"/>
        <v>0.27449999999999414</v>
      </c>
      <c r="R512" s="2">
        <f t="shared" si="52"/>
        <v>0.33459999999999296</v>
      </c>
      <c r="S512" s="2">
        <f t="shared" si="53"/>
        <v>-6.0099999999998821E-2</v>
      </c>
    </row>
    <row r="513" spans="2:19" x14ac:dyDescent="0.25">
      <c r="B513" s="1">
        <f t="shared" si="54"/>
        <v>507</v>
      </c>
      <c r="C513" s="1">
        <v>751</v>
      </c>
      <c r="D513" s="13">
        <v>54.9</v>
      </c>
      <c r="E513" s="1" t="s">
        <v>11</v>
      </c>
      <c r="F513" s="2">
        <v>2.665</v>
      </c>
      <c r="G513" s="1" t="s">
        <v>12</v>
      </c>
      <c r="H513" s="1" t="s">
        <v>13</v>
      </c>
      <c r="I513" s="1" t="s">
        <v>14</v>
      </c>
      <c r="J513" s="14">
        <v>0.64245370370370369</v>
      </c>
      <c r="K513" s="15">
        <v>44751</v>
      </c>
      <c r="M513" s="2">
        <v>2.645</v>
      </c>
      <c r="O513" s="2">
        <f t="shared" si="49"/>
        <v>2.5750000000000002</v>
      </c>
      <c r="P513" s="2">
        <f t="shared" si="50"/>
        <v>66.94285714285715</v>
      </c>
      <c r="Q513" s="2">
        <f t="shared" si="51"/>
        <v>0.27449999999999414</v>
      </c>
      <c r="R513" s="2">
        <f t="shared" si="52"/>
        <v>0.33482857142856426</v>
      </c>
      <c r="S513" s="2">
        <f t="shared" si="53"/>
        <v>-6.0328571428570121E-2</v>
      </c>
    </row>
    <row r="514" spans="2:19" x14ac:dyDescent="0.25">
      <c r="B514" s="1">
        <f t="shared" si="54"/>
        <v>508</v>
      </c>
      <c r="C514" s="1">
        <v>752</v>
      </c>
      <c r="D514" s="13">
        <v>54.9</v>
      </c>
      <c r="E514" s="1" t="s">
        <v>11</v>
      </c>
      <c r="F514" s="2">
        <v>2.67</v>
      </c>
      <c r="G514" s="1" t="s">
        <v>12</v>
      </c>
      <c r="H514" s="1" t="s">
        <v>13</v>
      </c>
      <c r="I514" s="1" t="s">
        <v>14</v>
      </c>
      <c r="J514" s="14">
        <v>0.64245370370370369</v>
      </c>
      <c r="K514" s="15">
        <v>44751</v>
      </c>
      <c r="M514" s="2">
        <v>2.65</v>
      </c>
      <c r="O514" s="2">
        <f t="shared" si="49"/>
        <v>2.58</v>
      </c>
      <c r="P514" s="2">
        <f t="shared" si="50"/>
        <v>66.988571428571433</v>
      </c>
      <c r="Q514" s="2">
        <f t="shared" si="51"/>
        <v>0.27474999999999417</v>
      </c>
      <c r="R514" s="2">
        <f t="shared" si="52"/>
        <v>0.33505714285713578</v>
      </c>
      <c r="S514" s="2">
        <f t="shared" si="53"/>
        <v>-6.0307142857141616E-2</v>
      </c>
    </row>
    <row r="515" spans="2:19" x14ac:dyDescent="0.25">
      <c r="B515" s="1">
        <f t="shared" si="54"/>
        <v>509</v>
      </c>
      <c r="C515" s="1">
        <v>754</v>
      </c>
      <c r="D515" s="13">
        <v>55</v>
      </c>
      <c r="E515" s="1" t="s">
        <v>11</v>
      </c>
      <c r="F515" s="2">
        <v>2.6749999999999998</v>
      </c>
      <c r="G515" s="1" t="s">
        <v>12</v>
      </c>
      <c r="H515" s="1" t="s">
        <v>13</v>
      </c>
      <c r="I515" s="1" t="s">
        <v>14</v>
      </c>
      <c r="J515" s="14">
        <v>0.64245370370370369</v>
      </c>
      <c r="K515" s="15">
        <v>44751</v>
      </c>
      <c r="M515" s="2">
        <v>2.6549999999999998</v>
      </c>
      <c r="O515" s="2">
        <f t="shared" si="49"/>
        <v>2.585</v>
      </c>
      <c r="P515" s="2">
        <f t="shared" si="50"/>
        <v>67.034285714285716</v>
      </c>
      <c r="Q515" s="2">
        <f t="shared" si="51"/>
        <v>0.27475000000001853</v>
      </c>
      <c r="R515" s="2">
        <f t="shared" si="52"/>
        <v>0.33528571428573695</v>
      </c>
      <c r="S515" s="2">
        <f t="shared" si="53"/>
        <v>-6.0535714285718412E-2</v>
      </c>
    </row>
    <row r="516" spans="2:19" x14ac:dyDescent="0.25">
      <c r="B516" s="1">
        <f t="shared" si="54"/>
        <v>510</v>
      </c>
      <c r="C516" s="1">
        <v>755</v>
      </c>
      <c r="D516" s="13">
        <v>54.9</v>
      </c>
      <c r="E516" s="1" t="s">
        <v>11</v>
      </c>
      <c r="F516" s="2">
        <v>2.68</v>
      </c>
      <c r="G516" s="1" t="s">
        <v>12</v>
      </c>
      <c r="H516" s="1" t="s">
        <v>13</v>
      </c>
      <c r="I516" s="1" t="s">
        <v>14</v>
      </c>
      <c r="J516" s="14">
        <v>0.64245370370370369</v>
      </c>
      <c r="K516" s="15">
        <v>44751</v>
      </c>
      <c r="M516" s="2">
        <v>2.66</v>
      </c>
      <c r="O516" s="2">
        <f t="shared" si="49"/>
        <v>2.5900000000000003</v>
      </c>
      <c r="P516" s="2">
        <f t="shared" si="50"/>
        <v>67.080000000000013</v>
      </c>
      <c r="Q516" s="2">
        <f t="shared" si="51"/>
        <v>0.27474999999999417</v>
      </c>
      <c r="R516" s="2">
        <f t="shared" si="52"/>
        <v>0.3355142857142786</v>
      </c>
      <c r="S516" s="2">
        <f t="shared" si="53"/>
        <v>-6.0764285714284438E-2</v>
      </c>
    </row>
    <row r="517" spans="2:19" x14ac:dyDescent="0.25">
      <c r="B517" s="1">
        <f t="shared" si="54"/>
        <v>511</v>
      </c>
      <c r="C517" s="1">
        <v>757</v>
      </c>
      <c r="D517" s="13">
        <v>55</v>
      </c>
      <c r="E517" s="1" t="s">
        <v>11</v>
      </c>
      <c r="F517" s="2">
        <v>2.6850000000000001</v>
      </c>
      <c r="G517" s="1" t="s">
        <v>12</v>
      </c>
      <c r="H517" s="1" t="s">
        <v>13</v>
      </c>
      <c r="I517" s="1" t="s">
        <v>14</v>
      </c>
      <c r="J517" s="14">
        <v>0.64245370370370369</v>
      </c>
      <c r="K517" s="15">
        <v>44751</v>
      </c>
      <c r="M517" s="2">
        <v>2.665</v>
      </c>
      <c r="O517" s="2">
        <f t="shared" si="49"/>
        <v>2.5950000000000002</v>
      </c>
      <c r="P517" s="2">
        <f t="shared" si="50"/>
        <v>67.125714285714295</v>
      </c>
      <c r="Q517" s="2">
        <f t="shared" si="51"/>
        <v>0.27474999999999417</v>
      </c>
      <c r="R517" s="2">
        <f t="shared" si="52"/>
        <v>0.33574285714285007</v>
      </c>
      <c r="S517" s="2">
        <f t="shared" si="53"/>
        <v>-6.0992857142855905E-2</v>
      </c>
    </row>
    <row r="518" spans="2:19" x14ac:dyDescent="0.25">
      <c r="B518" s="1">
        <f t="shared" si="54"/>
        <v>512</v>
      </c>
      <c r="C518" s="1">
        <v>759</v>
      </c>
      <c r="D518" s="13">
        <v>54.9</v>
      </c>
      <c r="E518" s="1" t="s">
        <v>11</v>
      </c>
      <c r="F518" s="2">
        <v>2.69</v>
      </c>
      <c r="G518" s="1" t="s">
        <v>12</v>
      </c>
      <c r="H518" s="1" t="s">
        <v>13</v>
      </c>
      <c r="I518" s="1" t="s">
        <v>14</v>
      </c>
      <c r="J518" s="14">
        <v>0.64246527777777784</v>
      </c>
      <c r="K518" s="15">
        <v>44751</v>
      </c>
      <c r="M518" s="2">
        <v>2.67</v>
      </c>
      <c r="O518" s="2">
        <f t="shared" si="49"/>
        <v>2.6</v>
      </c>
      <c r="P518" s="2">
        <f t="shared" si="50"/>
        <v>67.171428571428578</v>
      </c>
      <c r="Q518" s="2">
        <f t="shared" si="51"/>
        <v>0.27499999999999414</v>
      </c>
      <c r="R518" s="2">
        <f t="shared" si="52"/>
        <v>0.33597142857142143</v>
      </c>
      <c r="S518" s="2">
        <f t="shared" si="53"/>
        <v>-6.0971428571427289E-2</v>
      </c>
    </row>
    <row r="519" spans="2:19" x14ac:dyDescent="0.25">
      <c r="B519" s="1">
        <f t="shared" si="54"/>
        <v>513</v>
      </c>
      <c r="C519" s="1">
        <v>761</v>
      </c>
      <c r="D519" s="13">
        <v>55.1</v>
      </c>
      <c r="E519" s="1" t="s">
        <v>11</v>
      </c>
      <c r="F519" s="2">
        <v>2.6949999999999998</v>
      </c>
      <c r="G519" s="1" t="s">
        <v>12</v>
      </c>
      <c r="H519" s="1" t="s">
        <v>13</v>
      </c>
      <c r="I519" s="1" t="s">
        <v>14</v>
      </c>
      <c r="J519" s="14">
        <v>0.64246527777777784</v>
      </c>
      <c r="K519" s="15">
        <v>44751</v>
      </c>
      <c r="M519" s="2">
        <v>2.6749999999999998</v>
      </c>
      <c r="O519" s="2">
        <f t="shared" si="49"/>
        <v>2.605</v>
      </c>
      <c r="P519" s="2">
        <f t="shared" si="50"/>
        <v>67.217142857142861</v>
      </c>
      <c r="Q519" s="2">
        <f t="shared" si="51"/>
        <v>0.27550000000001862</v>
      </c>
      <c r="R519" s="2">
        <f t="shared" si="52"/>
        <v>0.33620000000002276</v>
      </c>
      <c r="S519" s="2">
        <f t="shared" si="53"/>
        <v>-6.070000000000414E-2</v>
      </c>
    </row>
    <row r="520" spans="2:19" x14ac:dyDescent="0.25">
      <c r="B520" s="1">
        <f t="shared" si="54"/>
        <v>514</v>
      </c>
      <c r="C520" s="1">
        <v>762</v>
      </c>
      <c r="D520" s="13">
        <v>55.1</v>
      </c>
      <c r="E520" s="1" t="s">
        <v>11</v>
      </c>
      <c r="F520" s="2">
        <v>2.7</v>
      </c>
      <c r="G520" s="1" t="s">
        <v>12</v>
      </c>
      <c r="H520" s="1" t="s">
        <v>13</v>
      </c>
      <c r="I520" s="1" t="s">
        <v>14</v>
      </c>
      <c r="J520" s="14">
        <v>0.64246527777777784</v>
      </c>
      <c r="K520" s="15">
        <v>44751</v>
      </c>
      <c r="M520" s="2">
        <v>2.68</v>
      </c>
      <c r="O520" s="2">
        <f t="shared" ref="O520:O583" si="55">M520-$X$23</f>
        <v>2.6100000000000003</v>
      </c>
      <c r="P520" s="2">
        <f t="shared" ref="P520:P583" si="56">O520*$AC$21+$Y$23</f>
        <v>67.262857142857158</v>
      </c>
      <c r="Q520" s="2">
        <f t="shared" ref="Q520:Q583" si="57">((D520+D521)/2)*(M521-M520)</f>
        <v>0.27549999999999414</v>
      </c>
      <c r="R520" s="2">
        <f t="shared" ref="R520:R583" si="58">((P520+P521)/2)*(O521-O520)</f>
        <v>0.33642857142856436</v>
      </c>
      <c r="S520" s="2">
        <f t="shared" ref="S520:S583" si="59">Q520-R520</f>
        <v>-6.0928571428570222E-2</v>
      </c>
    </row>
    <row r="521" spans="2:19" x14ac:dyDescent="0.25">
      <c r="B521" s="1">
        <f t="shared" ref="B521:B584" si="60">B520+1</f>
        <v>515</v>
      </c>
      <c r="C521" s="1">
        <v>764</v>
      </c>
      <c r="D521" s="13">
        <v>55.1</v>
      </c>
      <c r="E521" s="1" t="s">
        <v>11</v>
      </c>
      <c r="F521" s="2">
        <v>2.7050000000000001</v>
      </c>
      <c r="G521" s="1" t="s">
        <v>12</v>
      </c>
      <c r="H521" s="1" t="s">
        <v>13</v>
      </c>
      <c r="I521" s="1" t="s">
        <v>14</v>
      </c>
      <c r="J521" s="14">
        <v>0.64246527777777784</v>
      </c>
      <c r="K521" s="15">
        <v>44751</v>
      </c>
      <c r="M521" s="2">
        <v>2.6850000000000001</v>
      </c>
      <c r="O521" s="2">
        <f t="shared" si="55"/>
        <v>2.6150000000000002</v>
      </c>
      <c r="P521" s="2">
        <f t="shared" si="56"/>
        <v>67.30857142857144</v>
      </c>
      <c r="Q521" s="2">
        <f t="shared" si="57"/>
        <v>0.27549999999999414</v>
      </c>
      <c r="R521" s="2">
        <f t="shared" si="58"/>
        <v>0.33665714285713572</v>
      </c>
      <c r="S521" s="2">
        <f t="shared" si="59"/>
        <v>-6.1157142857141578E-2</v>
      </c>
    </row>
    <row r="522" spans="2:19" x14ac:dyDescent="0.25">
      <c r="B522" s="1">
        <f t="shared" si="60"/>
        <v>516</v>
      </c>
      <c r="C522" s="1">
        <v>766</v>
      </c>
      <c r="D522" s="13">
        <v>55.1</v>
      </c>
      <c r="E522" s="1" t="s">
        <v>11</v>
      </c>
      <c r="F522" s="2">
        <v>2.71</v>
      </c>
      <c r="G522" s="1" t="s">
        <v>12</v>
      </c>
      <c r="H522" s="1" t="s">
        <v>13</v>
      </c>
      <c r="I522" s="1" t="s">
        <v>14</v>
      </c>
      <c r="J522" s="14">
        <v>0.64246527777777784</v>
      </c>
      <c r="K522" s="15">
        <v>44751</v>
      </c>
      <c r="M522" s="2">
        <v>2.69</v>
      </c>
      <c r="O522" s="2">
        <f t="shared" si="55"/>
        <v>2.62</v>
      </c>
      <c r="P522" s="2">
        <f t="shared" si="56"/>
        <v>67.354285714285723</v>
      </c>
      <c r="Q522" s="2">
        <f t="shared" si="57"/>
        <v>0.27549999999999414</v>
      </c>
      <c r="R522" s="2">
        <f t="shared" si="58"/>
        <v>0.33688571428570718</v>
      </c>
      <c r="S522" s="2">
        <f t="shared" si="59"/>
        <v>-6.1385714285713044E-2</v>
      </c>
    </row>
    <row r="523" spans="2:19" x14ac:dyDescent="0.25">
      <c r="B523" s="1">
        <f t="shared" si="60"/>
        <v>517</v>
      </c>
      <c r="C523" s="1">
        <v>767</v>
      </c>
      <c r="D523" s="13">
        <v>55.1</v>
      </c>
      <c r="E523" s="1" t="s">
        <v>11</v>
      </c>
      <c r="F523" s="2">
        <v>2.7149999999999999</v>
      </c>
      <c r="G523" s="1" t="s">
        <v>12</v>
      </c>
      <c r="H523" s="1" t="s">
        <v>13</v>
      </c>
      <c r="I523" s="1" t="s">
        <v>14</v>
      </c>
      <c r="J523" s="14">
        <v>0.64246527777777784</v>
      </c>
      <c r="K523" s="15">
        <v>44751</v>
      </c>
      <c r="M523" s="2">
        <v>2.6949999999999998</v>
      </c>
      <c r="O523" s="2">
        <f t="shared" si="55"/>
        <v>2.625</v>
      </c>
      <c r="P523" s="2">
        <f t="shared" si="56"/>
        <v>67.400000000000006</v>
      </c>
      <c r="Q523" s="2">
        <f t="shared" si="57"/>
        <v>0.27600000000001862</v>
      </c>
      <c r="R523" s="2">
        <f t="shared" si="58"/>
        <v>0.33711428571430851</v>
      </c>
      <c r="S523" s="2">
        <f t="shared" si="59"/>
        <v>-6.1114285714289895E-2</v>
      </c>
    </row>
    <row r="524" spans="2:19" x14ac:dyDescent="0.25">
      <c r="B524" s="1">
        <f t="shared" si="60"/>
        <v>518</v>
      </c>
      <c r="C524" s="1">
        <v>769</v>
      </c>
      <c r="D524" s="13">
        <v>55.3</v>
      </c>
      <c r="E524" s="1" t="s">
        <v>11</v>
      </c>
      <c r="F524" s="2">
        <v>2.72</v>
      </c>
      <c r="G524" s="1" t="s">
        <v>12</v>
      </c>
      <c r="H524" s="1" t="s">
        <v>13</v>
      </c>
      <c r="I524" s="1" t="s">
        <v>14</v>
      </c>
      <c r="J524" s="14">
        <v>0.64247685185185188</v>
      </c>
      <c r="K524" s="15">
        <v>44751</v>
      </c>
      <c r="M524" s="2">
        <v>2.7</v>
      </c>
      <c r="O524" s="2">
        <f t="shared" si="55"/>
        <v>2.6300000000000003</v>
      </c>
      <c r="P524" s="2">
        <f t="shared" si="56"/>
        <v>67.445714285714303</v>
      </c>
      <c r="Q524" s="2">
        <f t="shared" si="57"/>
        <v>0.27649999999999408</v>
      </c>
      <c r="R524" s="2">
        <f t="shared" si="58"/>
        <v>0.33734285714285001</v>
      </c>
      <c r="S524" s="2">
        <f t="shared" si="59"/>
        <v>-6.0842857142855922E-2</v>
      </c>
    </row>
    <row r="525" spans="2:19" x14ac:dyDescent="0.25">
      <c r="B525" s="1">
        <f t="shared" si="60"/>
        <v>519</v>
      </c>
      <c r="C525" s="1">
        <v>771</v>
      </c>
      <c r="D525" s="13">
        <v>55.3</v>
      </c>
      <c r="E525" s="1" t="s">
        <v>11</v>
      </c>
      <c r="F525" s="2">
        <v>2.7250000000000001</v>
      </c>
      <c r="G525" s="1" t="s">
        <v>12</v>
      </c>
      <c r="H525" s="1" t="s">
        <v>13</v>
      </c>
      <c r="I525" s="1" t="s">
        <v>14</v>
      </c>
      <c r="J525" s="14">
        <v>0.64247685185185188</v>
      </c>
      <c r="K525" s="15">
        <v>44751</v>
      </c>
      <c r="M525" s="2">
        <v>2.7050000000000001</v>
      </c>
      <c r="O525" s="2">
        <f t="shared" si="55"/>
        <v>2.6350000000000002</v>
      </c>
      <c r="P525" s="2">
        <f t="shared" si="56"/>
        <v>67.491428571428585</v>
      </c>
      <c r="Q525" s="2">
        <f t="shared" si="57"/>
        <v>0.27674999999999406</v>
      </c>
      <c r="R525" s="2">
        <f t="shared" si="58"/>
        <v>0.33757142857142147</v>
      </c>
      <c r="S525" s="2">
        <f t="shared" si="59"/>
        <v>-6.0821428571427416E-2</v>
      </c>
    </row>
    <row r="526" spans="2:19" x14ac:dyDescent="0.25">
      <c r="B526" s="1">
        <f t="shared" si="60"/>
        <v>520</v>
      </c>
      <c r="C526" s="1">
        <v>773</v>
      </c>
      <c r="D526" s="13">
        <v>55.4</v>
      </c>
      <c r="E526" s="1" t="s">
        <v>11</v>
      </c>
      <c r="F526" s="2">
        <v>2.73</v>
      </c>
      <c r="G526" s="1" t="s">
        <v>12</v>
      </c>
      <c r="H526" s="1" t="s">
        <v>13</v>
      </c>
      <c r="I526" s="1" t="s">
        <v>14</v>
      </c>
      <c r="J526" s="14">
        <v>0.64247685185185188</v>
      </c>
      <c r="K526" s="15">
        <v>44751</v>
      </c>
      <c r="M526" s="2">
        <v>2.71</v>
      </c>
      <c r="O526" s="2">
        <f t="shared" si="55"/>
        <v>2.64</v>
      </c>
      <c r="P526" s="2">
        <f t="shared" si="56"/>
        <v>67.537142857142868</v>
      </c>
      <c r="Q526" s="2">
        <f t="shared" si="57"/>
        <v>0.27649999999999408</v>
      </c>
      <c r="R526" s="2">
        <f t="shared" si="58"/>
        <v>0.33779999999999283</v>
      </c>
      <c r="S526" s="2">
        <f t="shared" si="59"/>
        <v>-6.1299999999998744E-2</v>
      </c>
    </row>
    <row r="527" spans="2:19" x14ac:dyDescent="0.25">
      <c r="B527" s="1">
        <f t="shared" si="60"/>
        <v>521</v>
      </c>
      <c r="C527" s="1">
        <v>774</v>
      </c>
      <c r="D527" s="13">
        <v>55.2</v>
      </c>
      <c r="E527" s="1" t="s">
        <v>11</v>
      </c>
      <c r="F527" s="2">
        <v>2.7349999999999999</v>
      </c>
      <c r="G527" s="1" t="s">
        <v>12</v>
      </c>
      <c r="H527" s="1" t="s">
        <v>13</v>
      </c>
      <c r="I527" s="1" t="s">
        <v>14</v>
      </c>
      <c r="J527" s="14">
        <v>0.64247685185185188</v>
      </c>
      <c r="K527" s="15">
        <v>44751</v>
      </c>
      <c r="M527" s="2">
        <v>2.7149999999999999</v>
      </c>
      <c r="O527" s="2">
        <f t="shared" si="55"/>
        <v>2.645</v>
      </c>
      <c r="P527" s="2">
        <f t="shared" si="56"/>
        <v>67.582857142857151</v>
      </c>
      <c r="Q527" s="2">
        <f t="shared" si="57"/>
        <v>0.27625000000001865</v>
      </c>
      <c r="R527" s="2">
        <f t="shared" si="58"/>
        <v>0.33802857142859433</v>
      </c>
      <c r="S527" s="2">
        <f t="shared" si="59"/>
        <v>-6.1778571428575679E-2</v>
      </c>
    </row>
    <row r="528" spans="2:19" x14ac:dyDescent="0.25">
      <c r="B528" s="1">
        <f t="shared" si="60"/>
        <v>522</v>
      </c>
      <c r="C528" s="1">
        <v>776</v>
      </c>
      <c r="D528" s="13">
        <v>55.3</v>
      </c>
      <c r="E528" s="1" t="s">
        <v>11</v>
      </c>
      <c r="F528" s="2">
        <v>2.74</v>
      </c>
      <c r="G528" s="1" t="s">
        <v>12</v>
      </c>
      <c r="H528" s="1" t="s">
        <v>13</v>
      </c>
      <c r="I528" s="1" t="s">
        <v>14</v>
      </c>
      <c r="J528" s="14">
        <v>0.64247685185185188</v>
      </c>
      <c r="K528" s="15">
        <v>44751</v>
      </c>
      <c r="M528" s="2">
        <v>2.72</v>
      </c>
      <c r="O528" s="2">
        <f t="shared" si="55"/>
        <v>2.6500000000000004</v>
      </c>
      <c r="P528" s="2">
        <f t="shared" si="56"/>
        <v>67.628571428571433</v>
      </c>
      <c r="Q528" s="2">
        <f t="shared" si="57"/>
        <v>0.27624999999999411</v>
      </c>
      <c r="R528" s="2">
        <f t="shared" si="58"/>
        <v>0.33825714285713571</v>
      </c>
      <c r="S528" s="2">
        <f t="shared" si="59"/>
        <v>-6.2007142857141595E-2</v>
      </c>
    </row>
    <row r="529" spans="2:19" x14ac:dyDescent="0.25">
      <c r="B529" s="1">
        <f t="shared" si="60"/>
        <v>523</v>
      </c>
      <c r="C529" s="1">
        <v>778</v>
      </c>
      <c r="D529" s="13">
        <v>55.2</v>
      </c>
      <c r="E529" s="1" t="s">
        <v>11</v>
      </c>
      <c r="F529" s="2">
        <v>2.7450000000000001</v>
      </c>
      <c r="G529" s="1" t="s">
        <v>12</v>
      </c>
      <c r="H529" s="1" t="s">
        <v>13</v>
      </c>
      <c r="I529" s="1" t="s">
        <v>14</v>
      </c>
      <c r="J529" s="14">
        <v>0.64247685185185188</v>
      </c>
      <c r="K529" s="15">
        <v>44751</v>
      </c>
      <c r="M529" s="2">
        <v>2.7250000000000001</v>
      </c>
      <c r="O529" s="2">
        <f t="shared" si="55"/>
        <v>2.6550000000000002</v>
      </c>
      <c r="P529" s="2">
        <f t="shared" si="56"/>
        <v>67.67428571428573</v>
      </c>
      <c r="Q529" s="2">
        <f t="shared" si="57"/>
        <v>0.27624999999999411</v>
      </c>
      <c r="R529" s="2">
        <f t="shared" si="58"/>
        <v>0.33848571428570712</v>
      </c>
      <c r="S529" s="2">
        <f t="shared" si="59"/>
        <v>-6.2235714285713006E-2</v>
      </c>
    </row>
    <row r="530" spans="2:19" x14ac:dyDescent="0.25">
      <c r="B530" s="1">
        <f t="shared" si="60"/>
        <v>524</v>
      </c>
      <c r="C530" s="1">
        <v>779</v>
      </c>
      <c r="D530" s="13">
        <v>55.3</v>
      </c>
      <c r="E530" s="1" t="s">
        <v>11</v>
      </c>
      <c r="F530" s="2">
        <v>2.75</v>
      </c>
      <c r="G530" s="1" t="s">
        <v>12</v>
      </c>
      <c r="H530" s="1" t="s">
        <v>13</v>
      </c>
      <c r="I530" s="1" t="s">
        <v>14</v>
      </c>
      <c r="J530" s="14">
        <v>0.64248842592592592</v>
      </c>
      <c r="K530" s="15">
        <v>44751</v>
      </c>
      <c r="M530" s="2">
        <v>2.73</v>
      </c>
      <c r="O530" s="2">
        <f t="shared" si="55"/>
        <v>2.66</v>
      </c>
      <c r="P530" s="2">
        <f t="shared" si="56"/>
        <v>67.720000000000013</v>
      </c>
      <c r="Q530" s="2">
        <f t="shared" si="57"/>
        <v>0.27699999999999408</v>
      </c>
      <c r="R530" s="2">
        <f t="shared" si="58"/>
        <v>0.33871428571427858</v>
      </c>
      <c r="S530" s="2">
        <f t="shared" si="59"/>
        <v>-6.17142857142845E-2</v>
      </c>
    </row>
    <row r="531" spans="2:19" x14ac:dyDescent="0.25">
      <c r="B531" s="1">
        <f t="shared" si="60"/>
        <v>525</v>
      </c>
      <c r="C531" s="1">
        <v>781</v>
      </c>
      <c r="D531" s="13">
        <v>55.5</v>
      </c>
      <c r="E531" s="1" t="s">
        <v>11</v>
      </c>
      <c r="F531" s="2">
        <v>2.7549999999999999</v>
      </c>
      <c r="G531" s="1" t="s">
        <v>12</v>
      </c>
      <c r="H531" s="1" t="s">
        <v>13</v>
      </c>
      <c r="I531" s="1" t="s">
        <v>14</v>
      </c>
      <c r="J531" s="14">
        <v>0.64248842592592592</v>
      </c>
      <c r="K531" s="15">
        <v>44751</v>
      </c>
      <c r="M531" s="2">
        <v>2.7349999999999999</v>
      </c>
      <c r="O531" s="2">
        <f t="shared" si="55"/>
        <v>2.665</v>
      </c>
      <c r="P531" s="2">
        <f t="shared" si="56"/>
        <v>67.765714285714296</v>
      </c>
      <c r="Q531" s="2">
        <f t="shared" si="57"/>
        <v>0.55500000000001282</v>
      </c>
      <c r="R531" s="2">
        <f t="shared" si="58"/>
        <v>0.67811428571430143</v>
      </c>
      <c r="S531" s="2">
        <f t="shared" si="59"/>
        <v>-0.12311428571428862</v>
      </c>
    </row>
    <row r="532" spans="2:19" x14ac:dyDescent="0.25">
      <c r="B532" s="1">
        <f t="shared" si="60"/>
        <v>526</v>
      </c>
      <c r="C532" s="1">
        <v>782</v>
      </c>
      <c r="D532" s="13">
        <v>55.5</v>
      </c>
      <c r="E532" s="1" t="s">
        <v>11</v>
      </c>
      <c r="F532" s="2">
        <v>2.7650000000000001</v>
      </c>
      <c r="G532" s="1" t="s">
        <v>12</v>
      </c>
      <c r="H532" s="1" t="s">
        <v>13</v>
      </c>
      <c r="I532" s="1" t="s">
        <v>14</v>
      </c>
      <c r="J532" s="14">
        <v>0.64248842592592592</v>
      </c>
      <c r="K532" s="15">
        <v>44751</v>
      </c>
      <c r="M532" s="2">
        <v>2.7450000000000001</v>
      </c>
      <c r="O532" s="2">
        <f t="shared" si="55"/>
        <v>2.6750000000000003</v>
      </c>
      <c r="P532" s="2">
        <f t="shared" si="56"/>
        <v>67.857142857142861</v>
      </c>
      <c r="Q532" s="2">
        <f t="shared" si="57"/>
        <v>0.27724999999999411</v>
      </c>
      <c r="R532" s="2">
        <f t="shared" si="58"/>
        <v>0.33939999999999282</v>
      </c>
      <c r="S532" s="2">
        <f t="shared" si="59"/>
        <v>-6.2149999999998706E-2</v>
      </c>
    </row>
    <row r="533" spans="2:19" x14ac:dyDescent="0.25">
      <c r="B533" s="1">
        <f t="shared" si="60"/>
        <v>527</v>
      </c>
      <c r="C533" s="1">
        <v>783</v>
      </c>
      <c r="D533" s="13">
        <v>55.4</v>
      </c>
      <c r="E533" s="1" t="s">
        <v>11</v>
      </c>
      <c r="F533" s="2">
        <v>2.77</v>
      </c>
      <c r="G533" s="1" t="s">
        <v>12</v>
      </c>
      <c r="H533" s="1" t="s">
        <v>13</v>
      </c>
      <c r="I533" s="1" t="s">
        <v>14</v>
      </c>
      <c r="J533" s="14">
        <v>0.64248842592592592</v>
      </c>
      <c r="K533" s="15">
        <v>44751</v>
      </c>
      <c r="M533" s="2">
        <v>2.75</v>
      </c>
      <c r="O533" s="2">
        <f t="shared" si="55"/>
        <v>2.68</v>
      </c>
      <c r="P533" s="2">
        <f t="shared" si="56"/>
        <v>67.902857142857158</v>
      </c>
      <c r="Q533" s="2">
        <f t="shared" si="57"/>
        <v>0.55449999999998822</v>
      </c>
      <c r="R533" s="2">
        <f t="shared" si="58"/>
        <v>0.67948571428569993</v>
      </c>
      <c r="S533" s="2">
        <f t="shared" si="59"/>
        <v>-0.1249857142857117</v>
      </c>
    </row>
    <row r="534" spans="2:19" x14ac:dyDescent="0.25">
      <c r="B534" s="1">
        <f t="shared" si="60"/>
        <v>528</v>
      </c>
      <c r="C534" s="1">
        <v>784</v>
      </c>
      <c r="D534" s="13">
        <v>55.5</v>
      </c>
      <c r="E534" s="1" t="s">
        <v>11</v>
      </c>
      <c r="F534" s="2">
        <v>2.78</v>
      </c>
      <c r="G534" s="1" t="s">
        <v>12</v>
      </c>
      <c r="H534" s="1" t="s">
        <v>13</v>
      </c>
      <c r="I534" s="1" t="s">
        <v>14</v>
      </c>
      <c r="J534" s="14">
        <v>0.64248842592592592</v>
      </c>
      <c r="K534" s="15">
        <v>44751</v>
      </c>
      <c r="M534" s="2">
        <v>2.76</v>
      </c>
      <c r="O534" s="2">
        <f t="shared" si="55"/>
        <v>2.69</v>
      </c>
      <c r="P534" s="2">
        <f t="shared" si="56"/>
        <v>67.994285714285724</v>
      </c>
      <c r="Q534" s="2">
        <f t="shared" si="57"/>
        <v>0.2772500000000187</v>
      </c>
      <c r="R534" s="2">
        <f t="shared" si="58"/>
        <v>0.34008571428573725</v>
      </c>
      <c r="S534" s="2">
        <f t="shared" si="59"/>
        <v>-6.2835714285718547E-2</v>
      </c>
    </row>
    <row r="535" spans="2:19" x14ac:dyDescent="0.25">
      <c r="B535" s="1">
        <f t="shared" si="60"/>
        <v>529</v>
      </c>
      <c r="C535" s="1">
        <v>785</v>
      </c>
      <c r="D535" s="13">
        <v>55.4</v>
      </c>
      <c r="E535" s="1" t="s">
        <v>11</v>
      </c>
      <c r="F535" s="2">
        <v>2.7850000000000001</v>
      </c>
      <c r="G535" s="1" t="s">
        <v>12</v>
      </c>
      <c r="H535" s="1" t="s">
        <v>13</v>
      </c>
      <c r="I535" s="1" t="s">
        <v>14</v>
      </c>
      <c r="J535" s="14">
        <v>0.64248842592592592</v>
      </c>
      <c r="K535" s="15">
        <v>44751</v>
      </c>
      <c r="M535" s="2">
        <v>2.7650000000000001</v>
      </c>
      <c r="O535" s="2">
        <f t="shared" si="55"/>
        <v>2.6950000000000003</v>
      </c>
      <c r="P535" s="2">
        <f t="shared" si="56"/>
        <v>68.040000000000006</v>
      </c>
      <c r="Q535" s="2">
        <f t="shared" si="57"/>
        <v>0.27749999999999408</v>
      </c>
      <c r="R535" s="2">
        <f t="shared" si="58"/>
        <v>0.34031428571427852</v>
      </c>
      <c r="S535" s="2">
        <f t="shared" si="59"/>
        <v>-6.2814285714284435E-2</v>
      </c>
    </row>
    <row r="536" spans="2:19" x14ac:dyDescent="0.25">
      <c r="B536" s="1">
        <f t="shared" si="60"/>
        <v>530</v>
      </c>
      <c r="C536" s="1">
        <v>786</v>
      </c>
      <c r="D536" s="13">
        <v>55.6</v>
      </c>
      <c r="E536" s="1" t="s">
        <v>11</v>
      </c>
      <c r="F536" s="2">
        <v>2.79</v>
      </c>
      <c r="G536" s="1" t="s">
        <v>12</v>
      </c>
      <c r="H536" s="1" t="s">
        <v>13</v>
      </c>
      <c r="I536" s="1" t="s">
        <v>14</v>
      </c>
      <c r="J536" s="14">
        <v>0.64248842592592592</v>
      </c>
      <c r="K536" s="15">
        <v>44751</v>
      </c>
      <c r="M536" s="2">
        <v>2.77</v>
      </c>
      <c r="O536" s="2">
        <f t="shared" si="55"/>
        <v>2.7</v>
      </c>
      <c r="P536" s="2">
        <f t="shared" si="56"/>
        <v>68.085714285714289</v>
      </c>
      <c r="Q536" s="2">
        <f t="shared" si="57"/>
        <v>0.27799999999999409</v>
      </c>
      <c r="R536" s="2">
        <f t="shared" si="58"/>
        <v>0.34054285714284993</v>
      </c>
      <c r="S536" s="2">
        <f t="shared" si="59"/>
        <v>-6.2542857142855846E-2</v>
      </c>
    </row>
    <row r="537" spans="2:19" x14ac:dyDescent="0.25">
      <c r="B537" s="1">
        <f t="shared" si="60"/>
        <v>531</v>
      </c>
      <c r="C537" s="1">
        <v>787</v>
      </c>
      <c r="D537" s="13">
        <v>55.6</v>
      </c>
      <c r="E537" s="1" t="s">
        <v>11</v>
      </c>
      <c r="F537" s="2">
        <v>2.7949999999999999</v>
      </c>
      <c r="G537" s="1" t="s">
        <v>12</v>
      </c>
      <c r="H537" s="1" t="s">
        <v>13</v>
      </c>
      <c r="I537" s="1" t="s">
        <v>14</v>
      </c>
      <c r="J537" s="14">
        <v>0.64248842592592592</v>
      </c>
      <c r="K537" s="15">
        <v>44751</v>
      </c>
      <c r="M537" s="2">
        <v>2.7749999999999999</v>
      </c>
      <c r="O537" s="2">
        <f t="shared" si="55"/>
        <v>2.7050000000000001</v>
      </c>
      <c r="P537" s="2">
        <f t="shared" si="56"/>
        <v>68.131428571428586</v>
      </c>
      <c r="Q537" s="2">
        <f t="shared" si="57"/>
        <v>0.27799999999999409</v>
      </c>
      <c r="R537" s="2">
        <f t="shared" si="58"/>
        <v>0.34077142857142134</v>
      </c>
      <c r="S537" s="2">
        <f t="shared" si="59"/>
        <v>-6.2771428571427257E-2</v>
      </c>
    </row>
    <row r="538" spans="2:19" x14ac:dyDescent="0.25">
      <c r="B538" s="1">
        <f t="shared" si="60"/>
        <v>532</v>
      </c>
      <c r="C538" s="1">
        <v>788</v>
      </c>
      <c r="D538" s="13">
        <v>55.6</v>
      </c>
      <c r="E538" s="1" t="s">
        <v>11</v>
      </c>
      <c r="F538" s="2">
        <v>2.8</v>
      </c>
      <c r="G538" s="1" t="s">
        <v>12</v>
      </c>
      <c r="H538" s="1" t="s">
        <v>13</v>
      </c>
      <c r="I538" s="1" t="s">
        <v>14</v>
      </c>
      <c r="J538" s="14">
        <v>0.64248842592592592</v>
      </c>
      <c r="K538" s="15">
        <v>44751</v>
      </c>
      <c r="M538" s="2">
        <v>2.78</v>
      </c>
      <c r="O538" s="2">
        <f t="shared" si="55"/>
        <v>2.71</v>
      </c>
      <c r="P538" s="2">
        <f t="shared" si="56"/>
        <v>68.177142857142869</v>
      </c>
      <c r="Q538" s="2">
        <f t="shared" si="57"/>
        <v>0.27800000000001879</v>
      </c>
      <c r="R538" s="2">
        <f t="shared" si="58"/>
        <v>0.34100000000002312</v>
      </c>
      <c r="S538" s="2">
        <f t="shared" si="59"/>
        <v>-6.300000000000433E-2</v>
      </c>
    </row>
    <row r="539" spans="2:19" x14ac:dyDescent="0.25">
      <c r="B539" s="1">
        <f t="shared" si="60"/>
        <v>533</v>
      </c>
      <c r="C539" s="1">
        <v>789</v>
      </c>
      <c r="D539" s="13">
        <v>55.6</v>
      </c>
      <c r="E539" s="1" t="s">
        <v>11</v>
      </c>
      <c r="F539" s="2">
        <v>2.8050000000000002</v>
      </c>
      <c r="G539" s="1" t="s">
        <v>12</v>
      </c>
      <c r="H539" s="1" t="s">
        <v>13</v>
      </c>
      <c r="I539" s="1" t="s">
        <v>14</v>
      </c>
      <c r="J539" s="14">
        <v>0.64249999999999996</v>
      </c>
      <c r="K539" s="15">
        <v>44751</v>
      </c>
      <c r="M539" s="2">
        <v>2.7850000000000001</v>
      </c>
      <c r="O539" s="2">
        <f t="shared" si="55"/>
        <v>2.7150000000000003</v>
      </c>
      <c r="P539" s="2">
        <f t="shared" si="56"/>
        <v>68.222857142857151</v>
      </c>
      <c r="Q539" s="2">
        <f t="shared" si="57"/>
        <v>0.27799999999999409</v>
      </c>
      <c r="R539" s="2">
        <f t="shared" si="58"/>
        <v>0.34122857142856416</v>
      </c>
      <c r="S539" s="2">
        <f t="shared" si="59"/>
        <v>-6.322857142857008E-2</v>
      </c>
    </row>
    <row r="540" spans="2:19" x14ac:dyDescent="0.25">
      <c r="B540" s="1">
        <f t="shared" si="60"/>
        <v>534</v>
      </c>
      <c r="C540" s="1">
        <v>790</v>
      </c>
      <c r="D540" s="13">
        <v>55.6</v>
      </c>
      <c r="E540" s="1" t="s">
        <v>11</v>
      </c>
      <c r="F540" s="2">
        <v>2.81</v>
      </c>
      <c r="G540" s="1" t="s">
        <v>12</v>
      </c>
      <c r="H540" s="1" t="s">
        <v>13</v>
      </c>
      <c r="I540" s="1" t="s">
        <v>14</v>
      </c>
      <c r="J540" s="14">
        <v>0.64249999999999996</v>
      </c>
      <c r="K540" s="15">
        <v>44751</v>
      </c>
      <c r="M540" s="2">
        <v>2.79</v>
      </c>
      <c r="O540" s="2">
        <f t="shared" si="55"/>
        <v>2.72</v>
      </c>
      <c r="P540" s="2">
        <f t="shared" si="56"/>
        <v>68.268571428571434</v>
      </c>
      <c r="Q540" s="2">
        <f t="shared" si="57"/>
        <v>0.27824999999999411</v>
      </c>
      <c r="R540" s="2">
        <f t="shared" si="58"/>
        <v>0.34145714285713563</v>
      </c>
      <c r="S540" s="2">
        <f t="shared" si="59"/>
        <v>-6.3207142857141518E-2</v>
      </c>
    </row>
    <row r="541" spans="2:19" x14ac:dyDescent="0.25">
      <c r="B541" s="1">
        <f t="shared" si="60"/>
        <v>535</v>
      </c>
      <c r="C541" s="1">
        <v>791</v>
      </c>
      <c r="D541" s="13">
        <v>55.7</v>
      </c>
      <c r="E541" s="1" t="s">
        <v>11</v>
      </c>
      <c r="F541" s="2">
        <v>2.8149999999999999</v>
      </c>
      <c r="G541" s="1" t="s">
        <v>12</v>
      </c>
      <c r="H541" s="1" t="s">
        <v>13</v>
      </c>
      <c r="I541" s="1" t="s">
        <v>14</v>
      </c>
      <c r="J541" s="14">
        <v>0.64249999999999996</v>
      </c>
      <c r="K541" s="15">
        <v>44751</v>
      </c>
      <c r="M541" s="2">
        <v>2.7949999999999999</v>
      </c>
      <c r="O541" s="2">
        <f t="shared" si="55"/>
        <v>2.7250000000000001</v>
      </c>
      <c r="P541" s="2">
        <f t="shared" si="56"/>
        <v>68.314285714285717</v>
      </c>
      <c r="Q541" s="2">
        <f t="shared" si="57"/>
        <v>0.27899999999999403</v>
      </c>
      <c r="R541" s="2">
        <f t="shared" si="58"/>
        <v>0.34168571428570704</v>
      </c>
      <c r="S541" s="2">
        <f t="shared" si="59"/>
        <v>-6.2685714285713012E-2</v>
      </c>
    </row>
    <row r="542" spans="2:19" x14ac:dyDescent="0.25">
      <c r="B542" s="1">
        <f t="shared" si="60"/>
        <v>536</v>
      </c>
      <c r="C542" s="1">
        <v>792</v>
      </c>
      <c r="D542" s="13">
        <v>55.9</v>
      </c>
      <c r="E542" s="1" t="s">
        <v>11</v>
      </c>
      <c r="F542" s="2">
        <v>2.82</v>
      </c>
      <c r="G542" s="1" t="s">
        <v>12</v>
      </c>
      <c r="H542" s="1" t="s">
        <v>13</v>
      </c>
      <c r="I542" s="1" t="s">
        <v>14</v>
      </c>
      <c r="J542" s="14">
        <v>0.64249999999999996</v>
      </c>
      <c r="K542" s="15">
        <v>44751</v>
      </c>
      <c r="M542" s="2">
        <v>2.8</v>
      </c>
      <c r="O542" s="2">
        <f t="shared" si="55"/>
        <v>2.73</v>
      </c>
      <c r="P542" s="2">
        <f t="shared" si="56"/>
        <v>68.360000000000014</v>
      </c>
      <c r="Q542" s="2">
        <f t="shared" si="57"/>
        <v>0.27950000000001884</v>
      </c>
      <c r="R542" s="2">
        <f t="shared" si="58"/>
        <v>0.34191428571430882</v>
      </c>
      <c r="S542" s="2">
        <f t="shared" si="59"/>
        <v>-6.2414285714289974E-2</v>
      </c>
    </row>
    <row r="543" spans="2:19" x14ac:dyDescent="0.25">
      <c r="B543" s="1">
        <f t="shared" si="60"/>
        <v>537</v>
      </c>
      <c r="C543" s="1">
        <v>793</v>
      </c>
      <c r="D543" s="13">
        <v>55.9</v>
      </c>
      <c r="E543" s="1" t="s">
        <v>11</v>
      </c>
      <c r="F543" s="2">
        <v>2.8250000000000002</v>
      </c>
      <c r="G543" s="1" t="s">
        <v>12</v>
      </c>
      <c r="H543" s="1" t="s">
        <v>13</v>
      </c>
      <c r="I543" s="1" t="s">
        <v>14</v>
      </c>
      <c r="J543" s="14">
        <v>0.64249999999999996</v>
      </c>
      <c r="K543" s="15">
        <v>44751</v>
      </c>
      <c r="M543" s="2">
        <v>2.8050000000000002</v>
      </c>
      <c r="O543" s="2">
        <f t="shared" si="55"/>
        <v>2.7350000000000003</v>
      </c>
      <c r="P543" s="2">
        <f t="shared" si="56"/>
        <v>68.405714285714296</v>
      </c>
      <c r="Q543" s="2">
        <f t="shared" si="57"/>
        <v>0.55849999999998801</v>
      </c>
      <c r="R543" s="2">
        <f t="shared" si="58"/>
        <v>0.6845142857142712</v>
      </c>
      <c r="S543" s="2">
        <f t="shared" si="59"/>
        <v>-0.12601428571428319</v>
      </c>
    </row>
    <row r="544" spans="2:19" x14ac:dyDescent="0.25">
      <c r="B544" s="1">
        <f t="shared" si="60"/>
        <v>538</v>
      </c>
      <c r="C544" s="1">
        <v>794</v>
      </c>
      <c r="D544" s="13">
        <v>55.8</v>
      </c>
      <c r="E544" s="1" t="s">
        <v>11</v>
      </c>
      <c r="F544" s="2">
        <v>2.835</v>
      </c>
      <c r="G544" s="1" t="s">
        <v>12</v>
      </c>
      <c r="H544" s="1" t="s">
        <v>13</v>
      </c>
      <c r="I544" s="1" t="s">
        <v>14</v>
      </c>
      <c r="J544" s="14">
        <v>0.64249999999999996</v>
      </c>
      <c r="K544" s="15">
        <v>44751</v>
      </c>
      <c r="M544" s="2">
        <v>2.8149999999999999</v>
      </c>
      <c r="O544" s="2">
        <f t="shared" si="55"/>
        <v>2.7450000000000001</v>
      </c>
      <c r="P544" s="2">
        <f t="shared" si="56"/>
        <v>68.497142857142862</v>
      </c>
      <c r="Q544" s="2">
        <f t="shared" si="57"/>
        <v>0.27974999999999406</v>
      </c>
      <c r="R544" s="2">
        <f t="shared" si="58"/>
        <v>0.34259999999999274</v>
      </c>
      <c r="S544" s="2">
        <f t="shared" si="59"/>
        <v>-6.2849999999998685E-2</v>
      </c>
    </row>
    <row r="545" spans="2:19" x14ac:dyDescent="0.25">
      <c r="B545" s="1">
        <f t="shared" si="60"/>
        <v>539</v>
      </c>
      <c r="C545" s="1">
        <v>795</v>
      </c>
      <c r="D545" s="13">
        <v>56.1</v>
      </c>
      <c r="E545" s="1" t="s">
        <v>11</v>
      </c>
      <c r="F545" s="2">
        <v>2.84</v>
      </c>
      <c r="G545" s="1" t="s">
        <v>12</v>
      </c>
      <c r="H545" s="1" t="s">
        <v>13</v>
      </c>
      <c r="I545" s="1" t="s">
        <v>14</v>
      </c>
      <c r="J545" s="14">
        <v>0.64249999999999996</v>
      </c>
      <c r="K545" s="15">
        <v>44751</v>
      </c>
      <c r="M545" s="2">
        <v>2.82</v>
      </c>
      <c r="O545" s="2">
        <f t="shared" si="55"/>
        <v>2.75</v>
      </c>
      <c r="P545" s="2">
        <f t="shared" si="56"/>
        <v>68.542857142857144</v>
      </c>
      <c r="Q545" s="2">
        <f t="shared" si="57"/>
        <v>0.56150000000001299</v>
      </c>
      <c r="R545" s="2">
        <f t="shared" si="58"/>
        <v>0.68588571428573031</v>
      </c>
      <c r="S545" s="2">
        <f t="shared" si="59"/>
        <v>-0.12438571428571732</v>
      </c>
    </row>
    <row r="546" spans="2:19" x14ac:dyDescent="0.25">
      <c r="B546" s="1">
        <f t="shared" si="60"/>
        <v>540</v>
      </c>
      <c r="C546" s="1">
        <v>796</v>
      </c>
      <c r="D546" s="13">
        <v>56.2</v>
      </c>
      <c r="E546" s="1" t="s">
        <v>11</v>
      </c>
      <c r="F546" s="2">
        <v>2.85</v>
      </c>
      <c r="G546" s="1" t="s">
        <v>12</v>
      </c>
      <c r="H546" s="1" t="s">
        <v>13</v>
      </c>
      <c r="I546" s="1" t="s">
        <v>14</v>
      </c>
      <c r="J546" s="14">
        <v>0.64249999999999996</v>
      </c>
      <c r="K546" s="15">
        <v>44751</v>
      </c>
      <c r="M546" s="2">
        <v>2.83</v>
      </c>
      <c r="O546" s="2">
        <f t="shared" si="55"/>
        <v>2.7600000000000002</v>
      </c>
      <c r="P546" s="2">
        <f t="shared" si="56"/>
        <v>68.634285714285724</v>
      </c>
      <c r="Q546" s="2">
        <f t="shared" si="57"/>
        <v>0.28149999999999398</v>
      </c>
      <c r="R546" s="2">
        <f t="shared" si="58"/>
        <v>0.34328571428570703</v>
      </c>
      <c r="S546" s="2">
        <f t="shared" si="59"/>
        <v>-6.1785714285713056E-2</v>
      </c>
    </row>
    <row r="547" spans="2:19" x14ac:dyDescent="0.25">
      <c r="B547" s="1">
        <f t="shared" si="60"/>
        <v>541</v>
      </c>
      <c r="C547" s="1">
        <v>797</v>
      </c>
      <c r="D547" s="13">
        <v>56.4</v>
      </c>
      <c r="E547" s="1" t="s">
        <v>11</v>
      </c>
      <c r="F547" s="2">
        <v>2.855</v>
      </c>
      <c r="G547" s="1" t="s">
        <v>12</v>
      </c>
      <c r="H547" s="1" t="s">
        <v>13</v>
      </c>
      <c r="I547" s="1" t="s">
        <v>14</v>
      </c>
      <c r="J547" s="14">
        <v>0.64249999999999996</v>
      </c>
      <c r="K547" s="15">
        <v>44751</v>
      </c>
      <c r="M547" s="2">
        <v>2.835</v>
      </c>
      <c r="O547" s="2">
        <f t="shared" si="55"/>
        <v>2.7650000000000001</v>
      </c>
      <c r="P547" s="2">
        <f t="shared" si="56"/>
        <v>68.680000000000007</v>
      </c>
      <c r="Q547" s="2">
        <f t="shared" si="57"/>
        <v>0.28324999999999395</v>
      </c>
      <c r="R547" s="2">
        <f t="shared" si="58"/>
        <v>0.34351428571427839</v>
      </c>
      <c r="S547" s="2">
        <f t="shared" si="59"/>
        <v>-6.0264285714284438E-2</v>
      </c>
    </row>
    <row r="548" spans="2:19" x14ac:dyDescent="0.25">
      <c r="B548" s="1">
        <f t="shared" si="60"/>
        <v>542</v>
      </c>
      <c r="C548" s="1">
        <v>798</v>
      </c>
      <c r="D548" s="13">
        <v>56.9</v>
      </c>
      <c r="E548" s="1" t="s">
        <v>11</v>
      </c>
      <c r="F548" s="2">
        <v>2.86</v>
      </c>
      <c r="G548" s="1" t="s">
        <v>12</v>
      </c>
      <c r="H548" s="1" t="s">
        <v>13</v>
      </c>
      <c r="I548" s="1" t="s">
        <v>14</v>
      </c>
      <c r="J548" s="14">
        <v>0.64249999999999996</v>
      </c>
      <c r="K548" s="15">
        <v>44751</v>
      </c>
      <c r="M548" s="2">
        <v>2.84</v>
      </c>
      <c r="O548" s="2">
        <f t="shared" si="55"/>
        <v>2.77</v>
      </c>
      <c r="P548" s="2">
        <f t="shared" si="56"/>
        <v>68.72571428571429</v>
      </c>
      <c r="Q548" s="2">
        <f t="shared" si="57"/>
        <v>0.28525000000001927</v>
      </c>
      <c r="R548" s="2">
        <f t="shared" si="58"/>
        <v>0.34374285714288039</v>
      </c>
      <c r="S548" s="2">
        <f t="shared" si="59"/>
        <v>-5.8492857142861121E-2</v>
      </c>
    </row>
    <row r="549" spans="2:19" x14ac:dyDescent="0.25">
      <c r="B549" s="1">
        <f t="shared" si="60"/>
        <v>543</v>
      </c>
      <c r="C549" s="1">
        <v>799</v>
      </c>
      <c r="D549" s="13">
        <v>57.2</v>
      </c>
      <c r="E549" s="1" t="s">
        <v>11</v>
      </c>
      <c r="F549" s="2">
        <v>2.8650000000000002</v>
      </c>
      <c r="G549" s="1" t="s">
        <v>12</v>
      </c>
      <c r="H549" s="1" t="s">
        <v>13</v>
      </c>
      <c r="I549" s="1" t="s">
        <v>14</v>
      </c>
      <c r="J549" s="14">
        <v>0.642511574074074</v>
      </c>
      <c r="K549" s="15">
        <v>44751</v>
      </c>
      <c r="M549" s="2">
        <v>2.8450000000000002</v>
      </c>
      <c r="O549" s="2">
        <f t="shared" si="55"/>
        <v>2.7750000000000004</v>
      </c>
      <c r="P549" s="2">
        <f t="shared" si="56"/>
        <v>68.771428571428586</v>
      </c>
      <c r="Q549" s="2">
        <f t="shared" si="57"/>
        <v>0.5734999999999878</v>
      </c>
      <c r="R549" s="2">
        <f t="shared" si="58"/>
        <v>0.688171428571414</v>
      </c>
      <c r="S549" s="2">
        <f t="shared" si="59"/>
        <v>-0.1146714285714262</v>
      </c>
    </row>
    <row r="550" spans="2:19" x14ac:dyDescent="0.25">
      <c r="B550" s="1">
        <f t="shared" si="60"/>
        <v>544</v>
      </c>
      <c r="C550" s="1">
        <v>800</v>
      </c>
      <c r="D550" s="13">
        <v>57.5</v>
      </c>
      <c r="E550" s="1" t="s">
        <v>11</v>
      </c>
      <c r="F550" s="2">
        <v>2.875</v>
      </c>
      <c r="G550" s="1" t="s">
        <v>12</v>
      </c>
      <c r="H550" s="1" t="s">
        <v>13</v>
      </c>
      <c r="I550" s="1" t="s">
        <v>14</v>
      </c>
      <c r="J550" s="14">
        <v>0.642511574074074</v>
      </c>
      <c r="K550" s="15">
        <v>44751</v>
      </c>
      <c r="M550" s="2">
        <v>2.855</v>
      </c>
      <c r="O550" s="2">
        <f t="shared" si="55"/>
        <v>2.7850000000000001</v>
      </c>
      <c r="P550" s="2">
        <f t="shared" si="56"/>
        <v>68.862857142857152</v>
      </c>
      <c r="Q550" s="2">
        <f t="shared" si="57"/>
        <v>0.28899999999999382</v>
      </c>
      <c r="R550" s="2">
        <f t="shared" si="58"/>
        <v>0.34442857142856415</v>
      </c>
      <c r="S550" s="2">
        <f t="shared" si="59"/>
        <v>-5.5428571428570328E-2</v>
      </c>
    </row>
    <row r="551" spans="2:19" x14ac:dyDescent="0.25">
      <c r="B551" s="1">
        <f t="shared" si="60"/>
        <v>545</v>
      </c>
      <c r="C551" s="1">
        <v>802</v>
      </c>
      <c r="D551" s="13">
        <v>58.1</v>
      </c>
      <c r="E551" s="1" t="s">
        <v>11</v>
      </c>
      <c r="F551" s="2">
        <v>2.88</v>
      </c>
      <c r="G551" s="1" t="s">
        <v>12</v>
      </c>
      <c r="H551" s="1" t="s">
        <v>13</v>
      </c>
      <c r="I551" s="1" t="s">
        <v>14</v>
      </c>
      <c r="J551" s="14">
        <v>0.642511574074074</v>
      </c>
      <c r="K551" s="15">
        <v>44751</v>
      </c>
      <c r="M551" s="2">
        <v>2.86</v>
      </c>
      <c r="O551" s="2">
        <f t="shared" si="55"/>
        <v>2.79</v>
      </c>
      <c r="P551" s="2">
        <f t="shared" si="56"/>
        <v>68.908571428571435</v>
      </c>
      <c r="Q551" s="2">
        <f t="shared" si="57"/>
        <v>0.29124999999999379</v>
      </c>
      <c r="R551" s="2">
        <f t="shared" si="58"/>
        <v>0.3446571428571355</v>
      </c>
      <c r="S551" s="2">
        <f t="shared" si="59"/>
        <v>-5.340714285714171E-2</v>
      </c>
    </row>
    <row r="552" spans="2:19" x14ac:dyDescent="0.25">
      <c r="B552" s="1">
        <f t="shared" si="60"/>
        <v>546</v>
      </c>
      <c r="C552" s="1">
        <v>803</v>
      </c>
      <c r="D552" s="13">
        <v>58.4</v>
      </c>
      <c r="E552" s="1" t="s">
        <v>11</v>
      </c>
      <c r="F552" s="2">
        <v>2.8849999999999998</v>
      </c>
      <c r="G552" s="1" t="s">
        <v>12</v>
      </c>
      <c r="H552" s="1" t="s">
        <v>13</v>
      </c>
      <c r="I552" s="1" t="s">
        <v>14</v>
      </c>
      <c r="J552" s="14">
        <v>0.642511574074074</v>
      </c>
      <c r="K552" s="15">
        <v>44751</v>
      </c>
      <c r="M552" s="2">
        <v>2.8649999999999998</v>
      </c>
      <c r="O552" s="2">
        <f t="shared" si="55"/>
        <v>2.7949999999999999</v>
      </c>
      <c r="P552" s="2">
        <f t="shared" si="56"/>
        <v>68.954285714285717</v>
      </c>
      <c r="Q552" s="2">
        <f t="shared" si="57"/>
        <v>0.29275000000001977</v>
      </c>
      <c r="R552" s="2">
        <f t="shared" si="58"/>
        <v>0.34488571428573761</v>
      </c>
      <c r="S552" s="2">
        <f t="shared" si="59"/>
        <v>-5.2135714285717838E-2</v>
      </c>
    </row>
    <row r="553" spans="2:19" x14ac:dyDescent="0.25">
      <c r="B553" s="1">
        <f t="shared" si="60"/>
        <v>547</v>
      </c>
      <c r="C553" s="1">
        <v>804</v>
      </c>
      <c r="D553" s="13">
        <v>58.7</v>
      </c>
      <c r="E553" s="1" t="s">
        <v>11</v>
      </c>
      <c r="F553" s="2">
        <v>2.89</v>
      </c>
      <c r="G553" s="1" t="s">
        <v>12</v>
      </c>
      <c r="H553" s="1" t="s">
        <v>13</v>
      </c>
      <c r="I553" s="1" t="s">
        <v>14</v>
      </c>
      <c r="J553" s="14">
        <v>0.642511574074074</v>
      </c>
      <c r="K553" s="15">
        <v>44751</v>
      </c>
      <c r="M553" s="2">
        <v>2.87</v>
      </c>
      <c r="O553" s="2">
        <f t="shared" si="55"/>
        <v>2.8000000000000003</v>
      </c>
      <c r="P553" s="2">
        <f t="shared" si="56"/>
        <v>69.000000000000014</v>
      </c>
      <c r="Q553" s="2">
        <f t="shared" si="57"/>
        <v>0.29424999999999374</v>
      </c>
      <c r="R553" s="2">
        <f t="shared" si="58"/>
        <v>0.34511428571427843</v>
      </c>
      <c r="S553" s="2">
        <f t="shared" si="59"/>
        <v>-5.0864285714284696E-2</v>
      </c>
    </row>
    <row r="554" spans="2:19" x14ac:dyDescent="0.25">
      <c r="B554" s="1">
        <f t="shared" si="60"/>
        <v>548</v>
      </c>
      <c r="C554" s="1">
        <v>805</v>
      </c>
      <c r="D554" s="13">
        <v>59</v>
      </c>
      <c r="E554" s="1" t="s">
        <v>11</v>
      </c>
      <c r="F554" s="2">
        <v>2.895</v>
      </c>
      <c r="G554" s="1" t="s">
        <v>12</v>
      </c>
      <c r="H554" s="1" t="s">
        <v>13</v>
      </c>
      <c r="I554" s="1" t="s">
        <v>14</v>
      </c>
      <c r="J554" s="14">
        <v>0.642511574074074</v>
      </c>
      <c r="K554" s="15">
        <v>44751</v>
      </c>
      <c r="M554" s="2">
        <v>2.875</v>
      </c>
      <c r="O554" s="2">
        <f t="shared" si="55"/>
        <v>2.8050000000000002</v>
      </c>
      <c r="P554" s="2">
        <f t="shared" si="56"/>
        <v>69.045714285714297</v>
      </c>
      <c r="Q554" s="2">
        <f t="shared" si="57"/>
        <v>0.29574999999999368</v>
      </c>
      <c r="R554" s="2">
        <f t="shared" si="58"/>
        <v>0.34534285714284979</v>
      </c>
      <c r="S554" s="2">
        <f t="shared" si="59"/>
        <v>-4.9592857142856106E-2</v>
      </c>
    </row>
    <row r="555" spans="2:19" x14ac:dyDescent="0.25">
      <c r="B555" s="1">
        <f t="shared" si="60"/>
        <v>549</v>
      </c>
      <c r="C555" s="1">
        <v>806</v>
      </c>
      <c r="D555" s="13">
        <v>59.3</v>
      </c>
      <c r="E555" s="1" t="s">
        <v>11</v>
      </c>
      <c r="F555" s="2">
        <v>2.9</v>
      </c>
      <c r="G555" s="1" t="s">
        <v>12</v>
      </c>
      <c r="H555" s="1" t="s">
        <v>13</v>
      </c>
      <c r="I555" s="1" t="s">
        <v>14</v>
      </c>
      <c r="J555" s="14">
        <v>0.642511574074074</v>
      </c>
      <c r="K555" s="15">
        <v>44751</v>
      </c>
      <c r="M555" s="2">
        <v>2.88</v>
      </c>
      <c r="O555" s="2">
        <f t="shared" si="55"/>
        <v>2.81</v>
      </c>
      <c r="P555" s="2">
        <f t="shared" si="56"/>
        <v>69.09142857142858</v>
      </c>
      <c r="Q555" s="2">
        <f t="shared" si="57"/>
        <v>0.29699999999999366</v>
      </c>
      <c r="R555" s="2">
        <f t="shared" si="58"/>
        <v>0.34557142857142126</v>
      </c>
      <c r="S555" s="2">
        <f t="shared" si="59"/>
        <v>-4.85714285714276E-2</v>
      </c>
    </row>
    <row r="556" spans="2:19" x14ac:dyDescent="0.25">
      <c r="B556" s="1">
        <f t="shared" si="60"/>
        <v>550</v>
      </c>
      <c r="C556" s="1">
        <v>807</v>
      </c>
      <c r="D556" s="13">
        <v>59.5</v>
      </c>
      <c r="E556" s="1" t="s">
        <v>11</v>
      </c>
      <c r="F556" s="2">
        <v>2.9049999999999998</v>
      </c>
      <c r="G556" s="1" t="s">
        <v>12</v>
      </c>
      <c r="H556" s="1" t="s">
        <v>13</v>
      </c>
      <c r="I556" s="1" t="s">
        <v>14</v>
      </c>
      <c r="J556" s="14">
        <v>0.642511574074074</v>
      </c>
      <c r="K556" s="15">
        <v>44751</v>
      </c>
      <c r="M556" s="2">
        <v>2.8849999999999998</v>
      </c>
      <c r="O556" s="2">
        <f t="shared" si="55"/>
        <v>2.8149999999999999</v>
      </c>
      <c r="P556" s="2">
        <f t="shared" si="56"/>
        <v>69.137142857142862</v>
      </c>
      <c r="Q556" s="2">
        <f t="shared" si="57"/>
        <v>0.29850000000002014</v>
      </c>
      <c r="R556" s="2">
        <f t="shared" si="58"/>
        <v>0.34580000000002342</v>
      </c>
      <c r="S556" s="2">
        <f t="shared" si="59"/>
        <v>-4.7300000000003284E-2</v>
      </c>
    </row>
    <row r="557" spans="2:19" x14ac:dyDescent="0.25">
      <c r="B557" s="1">
        <f t="shared" si="60"/>
        <v>551</v>
      </c>
      <c r="C557" s="1">
        <v>808</v>
      </c>
      <c r="D557" s="13">
        <v>59.9</v>
      </c>
      <c r="E557" s="1" t="s">
        <v>11</v>
      </c>
      <c r="F557" s="2">
        <v>2.91</v>
      </c>
      <c r="G557" s="1" t="s">
        <v>12</v>
      </c>
      <c r="H557" s="1" t="s">
        <v>13</v>
      </c>
      <c r="I557" s="1" t="s">
        <v>14</v>
      </c>
      <c r="J557" s="14">
        <v>0.642511574074074</v>
      </c>
      <c r="K557" s="15">
        <v>44751</v>
      </c>
      <c r="M557" s="2">
        <v>2.89</v>
      </c>
      <c r="O557" s="2">
        <f t="shared" si="55"/>
        <v>2.8200000000000003</v>
      </c>
      <c r="P557" s="2">
        <f t="shared" si="56"/>
        <v>69.182857142857159</v>
      </c>
      <c r="Q557" s="2">
        <f t="shared" si="57"/>
        <v>0.30049999999999355</v>
      </c>
      <c r="R557" s="2">
        <f t="shared" si="58"/>
        <v>0.34602857142856408</v>
      </c>
      <c r="S557" s="2">
        <f t="shared" si="59"/>
        <v>-4.552857142857053E-2</v>
      </c>
    </row>
    <row r="558" spans="2:19" x14ac:dyDescent="0.25">
      <c r="B558" s="1">
        <f t="shared" si="60"/>
        <v>552</v>
      </c>
      <c r="C558" s="1">
        <v>809</v>
      </c>
      <c r="D558" s="13">
        <v>60.3</v>
      </c>
      <c r="E558" s="1" t="s">
        <v>11</v>
      </c>
      <c r="F558" s="2">
        <v>2.915</v>
      </c>
      <c r="G558" s="1" t="s">
        <v>12</v>
      </c>
      <c r="H558" s="1" t="s">
        <v>13</v>
      </c>
      <c r="I558" s="1" t="s">
        <v>14</v>
      </c>
      <c r="J558" s="14">
        <v>0.64252314814814815</v>
      </c>
      <c r="K558" s="15">
        <v>44751</v>
      </c>
      <c r="M558" s="2">
        <v>2.895</v>
      </c>
      <c r="O558" s="2">
        <f t="shared" si="55"/>
        <v>2.8250000000000002</v>
      </c>
      <c r="P558" s="2">
        <f t="shared" si="56"/>
        <v>69.228571428571442</v>
      </c>
      <c r="Q558" s="2">
        <f t="shared" si="57"/>
        <v>0.60549999999998705</v>
      </c>
      <c r="R558" s="2">
        <f t="shared" si="58"/>
        <v>0.69274285714284245</v>
      </c>
      <c r="S558" s="2">
        <f t="shared" si="59"/>
        <v>-8.7242857142855401E-2</v>
      </c>
    </row>
    <row r="559" spans="2:19" x14ac:dyDescent="0.25">
      <c r="B559" s="1">
        <f t="shared" si="60"/>
        <v>553</v>
      </c>
      <c r="C559" s="1">
        <v>810</v>
      </c>
      <c r="D559" s="13">
        <v>60.8</v>
      </c>
      <c r="E559" s="1" t="s">
        <v>11</v>
      </c>
      <c r="F559" s="2">
        <v>2.9249999999999998</v>
      </c>
      <c r="G559" s="1" t="s">
        <v>12</v>
      </c>
      <c r="H559" s="1" t="s">
        <v>13</v>
      </c>
      <c r="I559" s="1" t="s">
        <v>14</v>
      </c>
      <c r="J559" s="14">
        <v>0.64252314814814815</v>
      </c>
      <c r="K559" s="15">
        <v>44751</v>
      </c>
      <c r="M559" s="2">
        <v>2.9049999999999998</v>
      </c>
      <c r="O559" s="2">
        <f t="shared" si="55"/>
        <v>2.835</v>
      </c>
      <c r="P559" s="2">
        <f t="shared" si="56"/>
        <v>69.320000000000007</v>
      </c>
      <c r="Q559" s="2">
        <f t="shared" si="57"/>
        <v>0.30475000000002056</v>
      </c>
      <c r="R559" s="2">
        <f t="shared" si="58"/>
        <v>0.34671428571430918</v>
      </c>
      <c r="S559" s="2">
        <f t="shared" si="59"/>
        <v>-4.1964285714288618E-2</v>
      </c>
    </row>
    <row r="560" spans="2:19" x14ac:dyDescent="0.25">
      <c r="B560" s="1">
        <f t="shared" si="60"/>
        <v>554</v>
      </c>
      <c r="C560" s="1">
        <v>811</v>
      </c>
      <c r="D560" s="13">
        <v>61.1</v>
      </c>
      <c r="E560" s="1" t="s">
        <v>11</v>
      </c>
      <c r="F560" s="2">
        <v>2.93</v>
      </c>
      <c r="G560" s="1" t="s">
        <v>12</v>
      </c>
      <c r="H560" s="1" t="s">
        <v>13</v>
      </c>
      <c r="I560" s="1" t="s">
        <v>14</v>
      </c>
      <c r="J560" s="14">
        <v>0.64252314814814815</v>
      </c>
      <c r="K560" s="15">
        <v>44751</v>
      </c>
      <c r="M560" s="2">
        <v>2.91</v>
      </c>
      <c r="O560" s="2">
        <f t="shared" si="55"/>
        <v>2.8400000000000003</v>
      </c>
      <c r="P560" s="2">
        <f t="shared" si="56"/>
        <v>69.36571428571429</v>
      </c>
      <c r="Q560" s="2">
        <f t="shared" si="57"/>
        <v>0.61299999999998689</v>
      </c>
      <c r="R560" s="2">
        <f t="shared" si="58"/>
        <v>0.69411428571427103</v>
      </c>
      <c r="S560" s="2">
        <f t="shared" si="59"/>
        <v>-8.111428571428414E-2</v>
      </c>
    </row>
    <row r="561" spans="2:19" x14ac:dyDescent="0.25">
      <c r="B561" s="1">
        <f t="shared" si="60"/>
        <v>555</v>
      </c>
      <c r="C561" s="1">
        <v>812</v>
      </c>
      <c r="D561" s="13">
        <v>61.5</v>
      </c>
      <c r="E561" s="1" t="s">
        <v>11</v>
      </c>
      <c r="F561" s="2">
        <v>2.94</v>
      </c>
      <c r="G561" s="1" t="s">
        <v>12</v>
      </c>
      <c r="H561" s="1" t="s">
        <v>13</v>
      </c>
      <c r="I561" s="1" t="s">
        <v>14</v>
      </c>
      <c r="J561" s="14">
        <v>0.64252314814814815</v>
      </c>
      <c r="K561" s="15">
        <v>44751</v>
      </c>
      <c r="M561" s="2">
        <v>2.92</v>
      </c>
      <c r="O561" s="2">
        <f t="shared" si="55"/>
        <v>2.85</v>
      </c>
      <c r="P561" s="2">
        <f t="shared" si="56"/>
        <v>69.45714285714287</v>
      </c>
      <c r="Q561" s="2">
        <f t="shared" si="57"/>
        <v>0.30849999999999345</v>
      </c>
      <c r="R561" s="2">
        <f t="shared" si="58"/>
        <v>0.34739999999999266</v>
      </c>
      <c r="S561" s="2">
        <f t="shared" si="59"/>
        <v>-3.8899999999999213E-2</v>
      </c>
    </row>
    <row r="562" spans="2:19" x14ac:dyDescent="0.25">
      <c r="B562" s="1">
        <f t="shared" si="60"/>
        <v>556</v>
      </c>
      <c r="C562" s="1">
        <v>813</v>
      </c>
      <c r="D562" s="13">
        <v>61.9</v>
      </c>
      <c r="E562" s="1" t="s">
        <v>11</v>
      </c>
      <c r="F562" s="2">
        <v>2.9449999999999998</v>
      </c>
      <c r="G562" s="1" t="s">
        <v>12</v>
      </c>
      <c r="H562" s="1" t="s">
        <v>13</v>
      </c>
      <c r="I562" s="1" t="s">
        <v>14</v>
      </c>
      <c r="J562" s="14">
        <v>0.64252314814814815</v>
      </c>
      <c r="K562" s="15">
        <v>44751</v>
      </c>
      <c r="M562" s="2">
        <v>2.9249999999999998</v>
      </c>
      <c r="O562" s="2">
        <f t="shared" si="55"/>
        <v>2.855</v>
      </c>
      <c r="P562" s="2">
        <f t="shared" si="56"/>
        <v>69.502857142857152</v>
      </c>
      <c r="Q562" s="2">
        <f t="shared" si="57"/>
        <v>0.31025000000002095</v>
      </c>
      <c r="R562" s="2">
        <f t="shared" si="58"/>
        <v>0.34762857142859488</v>
      </c>
      <c r="S562" s="2">
        <f t="shared" si="59"/>
        <v>-3.7378571428573926E-2</v>
      </c>
    </row>
    <row r="563" spans="2:19" x14ac:dyDescent="0.25">
      <c r="B563" s="1">
        <f t="shared" si="60"/>
        <v>557</v>
      </c>
      <c r="C563" s="1">
        <v>814</v>
      </c>
      <c r="D563" s="13">
        <v>62.2</v>
      </c>
      <c r="E563" s="1" t="s">
        <v>11</v>
      </c>
      <c r="F563" s="2">
        <v>2.95</v>
      </c>
      <c r="G563" s="1" t="s">
        <v>12</v>
      </c>
      <c r="H563" s="1" t="s">
        <v>13</v>
      </c>
      <c r="I563" s="1" t="s">
        <v>14</v>
      </c>
      <c r="J563" s="14">
        <v>0.64252314814814815</v>
      </c>
      <c r="K563" s="15">
        <v>44751</v>
      </c>
      <c r="M563" s="2">
        <v>2.93</v>
      </c>
      <c r="O563" s="2">
        <f t="shared" si="55"/>
        <v>2.8600000000000003</v>
      </c>
      <c r="P563" s="2">
        <f t="shared" si="56"/>
        <v>69.548571428571435</v>
      </c>
      <c r="Q563" s="2">
        <f t="shared" si="57"/>
        <v>0.31224999999999337</v>
      </c>
      <c r="R563" s="2">
        <f t="shared" si="58"/>
        <v>0.34785714285713548</v>
      </c>
      <c r="S563" s="2">
        <f t="shared" si="59"/>
        <v>-3.5607142857142116E-2</v>
      </c>
    </row>
    <row r="564" spans="2:19" x14ac:dyDescent="0.25">
      <c r="B564" s="1">
        <f t="shared" si="60"/>
        <v>558</v>
      </c>
      <c r="C564" s="1">
        <v>815</v>
      </c>
      <c r="D564" s="13">
        <v>62.7</v>
      </c>
      <c r="E564" s="1" t="s">
        <v>11</v>
      </c>
      <c r="F564" s="2">
        <v>2.9550000000000001</v>
      </c>
      <c r="G564" s="1" t="s">
        <v>12</v>
      </c>
      <c r="H564" s="1" t="s">
        <v>13</v>
      </c>
      <c r="I564" s="1" t="s">
        <v>14</v>
      </c>
      <c r="J564" s="14">
        <v>0.64252314814814815</v>
      </c>
      <c r="K564" s="15">
        <v>44751</v>
      </c>
      <c r="M564" s="2">
        <v>2.9350000000000001</v>
      </c>
      <c r="O564" s="2">
        <f t="shared" si="55"/>
        <v>2.8650000000000002</v>
      </c>
      <c r="P564" s="2">
        <f t="shared" si="56"/>
        <v>69.594285714285718</v>
      </c>
      <c r="Q564" s="2">
        <f t="shared" si="57"/>
        <v>0.62899999999998668</v>
      </c>
      <c r="R564" s="2">
        <f t="shared" si="58"/>
        <v>0.69639999999998525</v>
      </c>
      <c r="S564" s="2">
        <f t="shared" si="59"/>
        <v>-6.7399999999998572E-2</v>
      </c>
    </row>
    <row r="565" spans="2:19" x14ac:dyDescent="0.25">
      <c r="B565" s="1">
        <f t="shared" si="60"/>
        <v>559</v>
      </c>
      <c r="C565" s="1">
        <v>816</v>
      </c>
      <c r="D565" s="13">
        <v>63.1</v>
      </c>
      <c r="E565" s="1" t="s">
        <v>11</v>
      </c>
      <c r="F565" s="2">
        <v>2.9649999999999999</v>
      </c>
      <c r="G565" s="1" t="s">
        <v>12</v>
      </c>
      <c r="H565" s="1" t="s">
        <v>13</v>
      </c>
      <c r="I565" s="1" t="s">
        <v>14</v>
      </c>
      <c r="J565" s="14">
        <v>0.64252314814814815</v>
      </c>
      <c r="K565" s="15">
        <v>44751</v>
      </c>
      <c r="M565" s="2">
        <v>2.9449999999999998</v>
      </c>
      <c r="O565" s="2">
        <f t="shared" si="55"/>
        <v>2.875</v>
      </c>
      <c r="P565" s="2">
        <f t="shared" si="56"/>
        <v>69.685714285714297</v>
      </c>
      <c r="Q565" s="2">
        <f t="shared" si="57"/>
        <v>0.63350000000001461</v>
      </c>
      <c r="R565" s="2">
        <f t="shared" si="58"/>
        <v>0.69731428571430187</v>
      </c>
      <c r="S565" s="2">
        <f t="shared" si="59"/>
        <v>-6.3814285714287267E-2</v>
      </c>
    </row>
    <row r="566" spans="2:19" x14ac:dyDescent="0.25">
      <c r="B566" s="1">
        <f t="shared" si="60"/>
        <v>560</v>
      </c>
      <c r="C566" s="1">
        <v>817</v>
      </c>
      <c r="D566" s="13">
        <v>63.6</v>
      </c>
      <c r="E566" s="1" t="s">
        <v>11</v>
      </c>
      <c r="F566" s="2">
        <v>2.9750000000000001</v>
      </c>
      <c r="G566" s="1" t="s">
        <v>12</v>
      </c>
      <c r="H566" s="1" t="s">
        <v>13</v>
      </c>
      <c r="I566" s="1" t="s">
        <v>14</v>
      </c>
      <c r="J566" s="14">
        <v>0.64252314814814815</v>
      </c>
      <c r="K566" s="15">
        <v>44751</v>
      </c>
      <c r="M566" s="2">
        <v>2.9550000000000001</v>
      </c>
      <c r="O566" s="2">
        <f t="shared" si="55"/>
        <v>2.8850000000000002</v>
      </c>
      <c r="P566" s="2">
        <f t="shared" si="56"/>
        <v>69.777142857142863</v>
      </c>
      <c r="Q566" s="2">
        <f t="shared" si="57"/>
        <v>0.63949999999998641</v>
      </c>
      <c r="R566" s="2">
        <f t="shared" si="58"/>
        <v>0.69822857142855654</v>
      </c>
      <c r="S566" s="2">
        <f t="shared" si="59"/>
        <v>-5.8728571428570131E-2</v>
      </c>
    </row>
    <row r="567" spans="2:19" x14ac:dyDescent="0.25">
      <c r="B567" s="1">
        <f t="shared" si="60"/>
        <v>561</v>
      </c>
      <c r="C567" s="1">
        <v>818</v>
      </c>
      <c r="D567" s="13">
        <v>64.3</v>
      </c>
      <c r="E567" s="1" t="s">
        <v>11</v>
      </c>
      <c r="F567" s="2">
        <v>2.9849999999999999</v>
      </c>
      <c r="G567" s="1" t="s">
        <v>12</v>
      </c>
      <c r="H567" s="1" t="s">
        <v>13</v>
      </c>
      <c r="I567" s="1" t="s">
        <v>14</v>
      </c>
      <c r="J567" s="14">
        <v>0.64252314814814815</v>
      </c>
      <c r="K567" s="15">
        <v>44751</v>
      </c>
      <c r="M567" s="2">
        <v>2.9649999999999999</v>
      </c>
      <c r="O567" s="2">
        <f t="shared" si="55"/>
        <v>2.895</v>
      </c>
      <c r="P567" s="2">
        <f t="shared" si="56"/>
        <v>69.868571428571443</v>
      </c>
      <c r="Q567" s="2">
        <f t="shared" si="57"/>
        <v>0.6460000000000149</v>
      </c>
      <c r="R567" s="2">
        <f t="shared" si="58"/>
        <v>0.69914285714287339</v>
      </c>
      <c r="S567" s="2">
        <f t="shared" si="59"/>
        <v>-5.3142857142858491E-2</v>
      </c>
    </row>
    <row r="568" spans="2:19" x14ac:dyDescent="0.25">
      <c r="B568" s="1">
        <f t="shared" si="60"/>
        <v>562</v>
      </c>
      <c r="C568" s="1">
        <v>819</v>
      </c>
      <c r="D568" s="13">
        <v>64.900000000000006</v>
      </c>
      <c r="E568" s="1" t="s">
        <v>11</v>
      </c>
      <c r="F568" s="2">
        <v>2.9950000000000001</v>
      </c>
      <c r="G568" s="1" t="s">
        <v>12</v>
      </c>
      <c r="H568" s="1" t="s">
        <v>13</v>
      </c>
      <c r="I568" s="1" t="s">
        <v>14</v>
      </c>
      <c r="J568" s="14">
        <v>0.64253472222222219</v>
      </c>
      <c r="K568" s="15">
        <v>44751</v>
      </c>
      <c r="M568" s="2">
        <v>2.9750000000000001</v>
      </c>
      <c r="O568" s="2">
        <f t="shared" si="55"/>
        <v>2.9050000000000002</v>
      </c>
      <c r="P568" s="2">
        <f t="shared" si="56"/>
        <v>69.960000000000008</v>
      </c>
      <c r="Q568" s="2">
        <f t="shared" si="57"/>
        <v>0.6514999999999862</v>
      </c>
      <c r="R568" s="2">
        <f t="shared" si="58"/>
        <v>0.70005714285712795</v>
      </c>
      <c r="S568" s="2">
        <f t="shared" si="59"/>
        <v>-4.8557142857141744E-2</v>
      </c>
    </row>
    <row r="569" spans="2:19" x14ac:dyDescent="0.25">
      <c r="B569" s="1">
        <f t="shared" si="60"/>
        <v>563</v>
      </c>
      <c r="C569" s="1">
        <v>820</v>
      </c>
      <c r="D569" s="13">
        <v>65.400000000000006</v>
      </c>
      <c r="E569" s="1" t="s">
        <v>11</v>
      </c>
      <c r="F569" s="2">
        <v>3.0049999999999999</v>
      </c>
      <c r="G569" s="1" t="s">
        <v>12</v>
      </c>
      <c r="H569" s="1" t="s">
        <v>13</v>
      </c>
      <c r="I569" s="1" t="s">
        <v>14</v>
      </c>
      <c r="J569" s="14">
        <v>0.64253472222222219</v>
      </c>
      <c r="K569" s="15">
        <v>44751</v>
      </c>
      <c r="M569" s="2">
        <v>2.9849999999999999</v>
      </c>
      <c r="O569" s="2">
        <f t="shared" si="55"/>
        <v>2.915</v>
      </c>
      <c r="P569" s="2">
        <f t="shared" si="56"/>
        <v>70.051428571428573</v>
      </c>
      <c r="Q569" s="2">
        <f t="shared" si="57"/>
        <v>0.32824999999999305</v>
      </c>
      <c r="R569" s="2">
        <f t="shared" si="58"/>
        <v>0.35037142857142112</v>
      </c>
      <c r="S569" s="2">
        <f t="shared" si="59"/>
        <v>-2.212142857142807E-2</v>
      </c>
    </row>
    <row r="570" spans="2:19" x14ac:dyDescent="0.25">
      <c r="B570" s="1">
        <f t="shared" si="60"/>
        <v>564</v>
      </c>
      <c r="C570" s="1">
        <v>821</v>
      </c>
      <c r="D570" s="13">
        <v>65.900000000000006</v>
      </c>
      <c r="E570" s="1" t="s">
        <v>11</v>
      </c>
      <c r="F570" s="2">
        <v>3.01</v>
      </c>
      <c r="G570" s="1" t="s">
        <v>12</v>
      </c>
      <c r="H570" s="1" t="s">
        <v>13</v>
      </c>
      <c r="I570" s="1" t="s">
        <v>14</v>
      </c>
      <c r="J570" s="14">
        <v>0.64253472222222219</v>
      </c>
      <c r="K570" s="15">
        <v>44751</v>
      </c>
      <c r="M570" s="2">
        <v>2.9899999999999998</v>
      </c>
      <c r="O570" s="2">
        <f t="shared" si="55"/>
        <v>2.92</v>
      </c>
      <c r="P570" s="2">
        <f t="shared" si="56"/>
        <v>70.09714285714287</v>
      </c>
      <c r="Q570" s="2">
        <f t="shared" si="57"/>
        <v>0.6615000000000153</v>
      </c>
      <c r="R570" s="2">
        <f t="shared" si="58"/>
        <v>0.70142857142858772</v>
      </c>
      <c r="S570" s="2">
        <f t="shared" si="59"/>
        <v>-3.9928571428572424E-2</v>
      </c>
    </row>
    <row r="571" spans="2:19" x14ac:dyDescent="0.25">
      <c r="B571" s="1">
        <f t="shared" si="60"/>
        <v>565</v>
      </c>
      <c r="C571" s="1">
        <v>822</v>
      </c>
      <c r="D571" s="13">
        <v>66.400000000000006</v>
      </c>
      <c r="E571" s="1" t="s">
        <v>11</v>
      </c>
      <c r="F571" s="2">
        <v>3.02</v>
      </c>
      <c r="G571" s="1" t="s">
        <v>12</v>
      </c>
      <c r="H571" s="1" t="s">
        <v>13</v>
      </c>
      <c r="I571" s="1" t="s">
        <v>14</v>
      </c>
      <c r="J571" s="14">
        <v>0.64253472222222219</v>
      </c>
      <c r="K571" s="15">
        <v>44751</v>
      </c>
      <c r="M571" s="2">
        <v>3</v>
      </c>
      <c r="O571" s="2">
        <f t="shared" si="55"/>
        <v>2.93</v>
      </c>
      <c r="P571" s="2">
        <f t="shared" si="56"/>
        <v>70.188571428571436</v>
      </c>
      <c r="Q571" s="2">
        <f t="shared" si="57"/>
        <v>0.33324999999999294</v>
      </c>
      <c r="R571" s="2">
        <f t="shared" si="58"/>
        <v>0.35105714285713535</v>
      </c>
      <c r="S571" s="2">
        <f t="shared" si="59"/>
        <v>-1.7807142857142411E-2</v>
      </c>
    </row>
    <row r="572" spans="2:19" x14ac:dyDescent="0.25">
      <c r="B572" s="1">
        <f t="shared" si="60"/>
        <v>566</v>
      </c>
      <c r="C572" s="1">
        <v>823</v>
      </c>
      <c r="D572" s="13">
        <v>66.900000000000006</v>
      </c>
      <c r="E572" s="1" t="s">
        <v>11</v>
      </c>
      <c r="F572" s="2">
        <v>3.0249999999999999</v>
      </c>
      <c r="G572" s="1" t="s">
        <v>12</v>
      </c>
      <c r="H572" s="1" t="s">
        <v>13</v>
      </c>
      <c r="I572" s="1" t="s">
        <v>14</v>
      </c>
      <c r="J572" s="14">
        <v>0.64253472222222219</v>
      </c>
      <c r="K572" s="15">
        <v>44751</v>
      </c>
      <c r="M572" s="2">
        <v>3.0049999999999999</v>
      </c>
      <c r="O572" s="2">
        <f t="shared" si="55"/>
        <v>2.9350000000000001</v>
      </c>
      <c r="P572" s="2">
        <f t="shared" si="56"/>
        <v>70.234285714285718</v>
      </c>
      <c r="Q572" s="2">
        <f t="shared" si="57"/>
        <v>0.67150000000001553</v>
      </c>
      <c r="R572" s="2">
        <f t="shared" si="58"/>
        <v>0.70280000000001619</v>
      </c>
      <c r="S572" s="2">
        <f t="shared" si="59"/>
        <v>-3.1300000000000661E-2</v>
      </c>
    </row>
    <row r="573" spans="2:19" x14ac:dyDescent="0.25">
      <c r="B573" s="1">
        <f t="shared" si="60"/>
        <v>567</v>
      </c>
      <c r="C573" s="1">
        <v>824</v>
      </c>
      <c r="D573" s="13">
        <v>67.400000000000006</v>
      </c>
      <c r="E573" s="1" t="s">
        <v>11</v>
      </c>
      <c r="F573" s="2">
        <v>3.0350000000000001</v>
      </c>
      <c r="G573" s="1" t="s">
        <v>12</v>
      </c>
      <c r="H573" s="1" t="s">
        <v>13</v>
      </c>
      <c r="I573" s="1" t="s">
        <v>14</v>
      </c>
      <c r="J573" s="14">
        <v>0.64253472222222219</v>
      </c>
      <c r="K573" s="15">
        <v>44751</v>
      </c>
      <c r="M573" s="2">
        <v>3.0150000000000001</v>
      </c>
      <c r="O573" s="2">
        <f t="shared" si="55"/>
        <v>2.9450000000000003</v>
      </c>
      <c r="P573" s="2">
        <f t="shared" si="56"/>
        <v>70.325714285714298</v>
      </c>
      <c r="Q573" s="2">
        <f t="shared" si="57"/>
        <v>0.33774999999999283</v>
      </c>
      <c r="R573" s="2">
        <f t="shared" si="58"/>
        <v>0.35174285714284964</v>
      </c>
      <c r="S573" s="2">
        <f t="shared" si="59"/>
        <v>-1.3992857142856807E-2</v>
      </c>
    </row>
    <row r="574" spans="2:19" x14ac:dyDescent="0.25">
      <c r="B574" s="1">
        <f t="shared" si="60"/>
        <v>568</v>
      </c>
      <c r="C574" s="1">
        <v>825</v>
      </c>
      <c r="D574" s="13">
        <v>67.7</v>
      </c>
      <c r="E574" s="1" t="s">
        <v>11</v>
      </c>
      <c r="F574" s="2">
        <v>3.04</v>
      </c>
      <c r="G574" s="1" t="s">
        <v>12</v>
      </c>
      <c r="H574" s="1" t="s">
        <v>13</v>
      </c>
      <c r="I574" s="1" t="s">
        <v>14</v>
      </c>
      <c r="J574" s="14">
        <v>0.64253472222222219</v>
      </c>
      <c r="K574" s="15">
        <v>44751</v>
      </c>
      <c r="M574" s="2">
        <v>3.02</v>
      </c>
      <c r="O574" s="2">
        <f t="shared" si="55"/>
        <v>2.95</v>
      </c>
      <c r="P574" s="2">
        <f t="shared" si="56"/>
        <v>70.371428571428581</v>
      </c>
      <c r="Q574" s="2">
        <f t="shared" si="57"/>
        <v>0.33924999999999272</v>
      </c>
      <c r="R574" s="2">
        <f t="shared" si="58"/>
        <v>0.35197142857142116</v>
      </c>
      <c r="S574" s="2">
        <f t="shared" si="59"/>
        <v>-1.2721428571428439E-2</v>
      </c>
    </row>
    <row r="575" spans="2:19" x14ac:dyDescent="0.25">
      <c r="B575" s="1">
        <f t="shared" si="60"/>
        <v>569</v>
      </c>
      <c r="C575" s="1">
        <v>826</v>
      </c>
      <c r="D575" s="13">
        <v>68</v>
      </c>
      <c r="E575" s="1" t="s">
        <v>11</v>
      </c>
      <c r="F575" s="2">
        <v>3.0449999999999999</v>
      </c>
      <c r="G575" s="1" t="s">
        <v>12</v>
      </c>
      <c r="H575" s="1" t="s">
        <v>13</v>
      </c>
      <c r="I575" s="1" t="s">
        <v>14</v>
      </c>
      <c r="J575" s="14">
        <v>0.64253472222222219</v>
      </c>
      <c r="K575" s="15">
        <v>44751</v>
      </c>
      <c r="M575" s="2">
        <v>3.0249999999999999</v>
      </c>
      <c r="O575" s="2">
        <f t="shared" si="55"/>
        <v>2.9550000000000001</v>
      </c>
      <c r="P575" s="2">
        <f t="shared" si="56"/>
        <v>70.417142857142863</v>
      </c>
      <c r="Q575" s="2">
        <f t="shared" si="57"/>
        <v>0.68150000000001576</v>
      </c>
      <c r="R575" s="2">
        <f t="shared" si="58"/>
        <v>0.70462857142858792</v>
      </c>
      <c r="S575" s="2">
        <f t="shared" si="59"/>
        <v>-2.3128571428572164E-2</v>
      </c>
    </row>
    <row r="576" spans="2:19" x14ac:dyDescent="0.25">
      <c r="B576" s="1">
        <f t="shared" si="60"/>
        <v>570</v>
      </c>
      <c r="C576" s="1">
        <v>827</v>
      </c>
      <c r="D576" s="13">
        <v>68.3</v>
      </c>
      <c r="E576" s="1" t="s">
        <v>11</v>
      </c>
      <c r="F576" s="2">
        <v>3.0550000000000002</v>
      </c>
      <c r="G576" s="1" t="s">
        <v>12</v>
      </c>
      <c r="H576" s="1" t="s">
        <v>13</v>
      </c>
      <c r="I576" s="1" t="s">
        <v>14</v>
      </c>
      <c r="J576" s="14">
        <v>0.64253472222222219</v>
      </c>
      <c r="K576" s="15">
        <v>44751</v>
      </c>
      <c r="M576" s="2">
        <v>3.0350000000000001</v>
      </c>
      <c r="O576" s="2">
        <f t="shared" si="55"/>
        <v>2.9650000000000003</v>
      </c>
      <c r="P576" s="2">
        <f t="shared" si="56"/>
        <v>70.508571428571443</v>
      </c>
      <c r="Q576" s="2">
        <f t="shared" si="57"/>
        <v>0.3424999999999927</v>
      </c>
      <c r="R576" s="2">
        <f t="shared" si="58"/>
        <v>0.35265714285713545</v>
      </c>
      <c r="S576" s="2">
        <f t="shared" si="59"/>
        <v>-1.0157142857142754E-2</v>
      </c>
    </row>
    <row r="577" spans="2:19" x14ac:dyDescent="0.25">
      <c r="B577" s="1">
        <f t="shared" si="60"/>
        <v>571</v>
      </c>
      <c r="C577" s="1">
        <v>828</v>
      </c>
      <c r="D577" s="13">
        <v>68.7</v>
      </c>
      <c r="E577" s="1" t="s">
        <v>11</v>
      </c>
      <c r="F577" s="2">
        <v>3.06</v>
      </c>
      <c r="G577" s="1" t="s">
        <v>12</v>
      </c>
      <c r="H577" s="1" t="s">
        <v>13</v>
      </c>
      <c r="I577" s="1" t="s">
        <v>14</v>
      </c>
      <c r="J577" s="14">
        <v>0.64253472222222219</v>
      </c>
      <c r="K577" s="15">
        <v>44751</v>
      </c>
      <c r="M577" s="2">
        <v>3.04</v>
      </c>
      <c r="O577" s="2">
        <f t="shared" si="55"/>
        <v>2.97</v>
      </c>
      <c r="P577" s="2">
        <f t="shared" si="56"/>
        <v>70.554285714285726</v>
      </c>
      <c r="Q577" s="2">
        <f t="shared" si="57"/>
        <v>0.34424999999999262</v>
      </c>
      <c r="R577" s="2">
        <f t="shared" si="58"/>
        <v>0.35288571428570675</v>
      </c>
      <c r="S577" s="2">
        <f t="shared" si="59"/>
        <v>-8.6357142857141356E-3</v>
      </c>
    </row>
    <row r="578" spans="2:19" x14ac:dyDescent="0.25">
      <c r="B578" s="1">
        <f t="shared" si="60"/>
        <v>572</v>
      </c>
      <c r="C578" s="1">
        <v>829</v>
      </c>
      <c r="D578" s="13">
        <v>69</v>
      </c>
      <c r="E578" s="1" t="s">
        <v>11</v>
      </c>
      <c r="F578" s="2">
        <v>3.0649999999999999</v>
      </c>
      <c r="G578" s="1" t="s">
        <v>12</v>
      </c>
      <c r="H578" s="1" t="s">
        <v>13</v>
      </c>
      <c r="I578" s="1" t="s">
        <v>14</v>
      </c>
      <c r="J578" s="14">
        <v>0.64254629629629634</v>
      </c>
      <c r="K578" s="15">
        <v>44751</v>
      </c>
      <c r="M578" s="2">
        <v>3.0449999999999999</v>
      </c>
      <c r="O578" s="2">
        <f t="shared" si="55"/>
        <v>2.9750000000000001</v>
      </c>
      <c r="P578" s="2">
        <f t="shared" si="56"/>
        <v>70.600000000000009</v>
      </c>
      <c r="Q578" s="2">
        <f t="shared" si="57"/>
        <v>0.34549999999999259</v>
      </c>
      <c r="R578" s="2">
        <f t="shared" si="58"/>
        <v>0.35311428571427828</v>
      </c>
      <c r="S578" s="2">
        <f t="shared" si="59"/>
        <v>-7.6142857142856846E-3</v>
      </c>
    </row>
    <row r="579" spans="2:19" x14ac:dyDescent="0.25">
      <c r="B579" s="1">
        <f t="shared" si="60"/>
        <v>573</v>
      </c>
      <c r="C579" s="1">
        <v>830</v>
      </c>
      <c r="D579" s="13">
        <v>69.2</v>
      </c>
      <c r="E579" s="1" t="s">
        <v>11</v>
      </c>
      <c r="F579" s="2">
        <v>3.07</v>
      </c>
      <c r="G579" s="1" t="s">
        <v>12</v>
      </c>
      <c r="H579" s="1" t="s">
        <v>13</v>
      </c>
      <c r="I579" s="1" t="s">
        <v>14</v>
      </c>
      <c r="J579" s="14">
        <v>0.64254629629629634</v>
      </c>
      <c r="K579" s="15">
        <v>44751</v>
      </c>
      <c r="M579" s="2">
        <v>3.05</v>
      </c>
      <c r="O579" s="2">
        <f t="shared" si="55"/>
        <v>2.98</v>
      </c>
      <c r="P579" s="2">
        <f t="shared" si="56"/>
        <v>70.645714285714291</v>
      </c>
      <c r="Q579" s="2">
        <f t="shared" si="57"/>
        <v>0.34725000000002343</v>
      </c>
      <c r="R579" s="2">
        <f t="shared" si="58"/>
        <v>0.35334285714288105</v>
      </c>
      <c r="S579" s="2">
        <f t="shared" si="59"/>
        <v>-6.0928571428576217E-3</v>
      </c>
    </row>
    <row r="580" spans="2:19" x14ac:dyDescent="0.25">
      <c r="B580" s="1">
        <f t="shared" si="60"/>
        <v>574</v>
      </c>
      <c r="C580" s="1">
        <v>832</v>
      </c>
      <c r="D580" s="13">
        <v>69.7</v>
      </c>
      <c r="E580" s="1" t="s">
        <v>11</v>
      </c>
      <c r="F580" s="2">
        <v>3.0750000000000002</v>
      </c>
      <c r="G580" s="1" t="s">
        <v>12</v>
      </c>
      <c r="H580" s="1" t="s">
        <v>13</v>
      </c>
      <c r="I580" s="1" t="s">
        <v>14</v>
      </c>
      <c r="J580" s="14">
        <v>0.64254629629629634</v>
      </c>
      <c r="K580" s="15">
        <v>44751</v>
      </c>
      <c r="M580" s="2">
        <v>3.0550000000000002</v>
      </c>
      <c r="O580" s="2">
        <f t="shared" si="55"/>
        <v>2.9850000000000003</v>
      </c>
      <c r="P580" s="2">
        <f t="shared" si="56"/>
        <v>70.691428571428588</v>
      </c>
      <c r="Q580" s="2">
        <f t="shared" si="57"/>
        <v>0.34899999999999259</v>
      </c>
      <c r="R580" s="2">
        <f t="shared" si="58"/>
        <v>0.3535714285714211</v>
      </c>
      <c r="S580" s="2">
        <f t="shared" si="59"/>
        <v>-4.5714285714285041E-3</v>
      </c>
    </row>
    <row r="581" spans="2:19" x14ac:dyDescent="0.25">
      <c r="B581" s="1">
        <f t="shared" si="60"/>
        <v>575</v>
      </c>
      <c r="C581" s="1">
        <v>833</v>
      </c>
      <c r="D581" s="13">
        <v>69.900000000000006</v>
      </c>
      <c r="E581" s="1" t="s">
        <v>11</v>
      </c>
      <c r="F581" s="2">
        <v>3.08</v>
      </c>
      <c r="G581" s="1" t="s">
        <v>12</v>
      </c>
      <c r="H581" s="1" t="s">
        <v>13</v>
      </c>
      <c r="I581" s="1" t="s">
        <v>14</v>
      </c>
      <c r="J581" s="14">
        <v>0.64254629629629634</v>
      </c>
      <c r="K581" s="15">
        <v>44751</v>
      </c>
      <c r="M581" s="2">
        <v>3.06</v>
      </c>
      <c r="O581" s="2">
        <f t="shared" si="55"/>
        <v>2.99</v>
      </c>
      <c r="P581" s="2">
        <f t="shared" si="56"/>
        <v>70.737142857142871</v>
      </c>
      <c r="Q581" s="2">
        <f t="shared" si="57"/>
        <v>0.34999999999999254</v>
      </c>
      <c r="R581" s="2">
        <f t="shared" si="58"/>
        <v>0.35379999999999256</v>
      </c>
      <c r="S581" s="2">
        <f t="shared" si="59"/>
        <v>-3.8000000000000256E-3</v>
      </c>
    </row>
    <row r="582" spans="2:19" x14ac:dyDescent="0.25">
      <c r="B582" s="1">
        <f t="shared" si="60"/>
        <v>576</v>
      </c>
      <c r="C582" s="1">
        <v>834</v>
      </c>
      <c r="D582" s="13">
        <v>70.099999999999994</v>
      </c>
      <c r="E582" s="1" t="s">
        <v>11</v>
      </c>
      <c r="F582" s="2">
        <v>3.085</v>
      </c>
      <c r="G582" s="1" t="s">
        <v>12</v>
      </c>
      <c r="H582" s="1" t="s">
        <v>13</v>
      </c>
      <c r="I582" s="1" t="s">
        <v>14</v>
      </c>
      <c r="J582" s="14">
        <v>0.64254629629629634</v>
      </c>
      <c r="K582" s="15">
        <v>44751</v>
      </c>
      <c r="M582" s="2">
        <v>3.0649999999999999</v>
      </c>
      <c r="O582" s="2">
        <f t="shared" si="55"/>
        <v>2.9950000000000001</v>
      </c>
      <c r="P582" s="2">
        <f t="shared" si="56"/>
        <v>70.782857142857154</v>
      </c>
      <c r="Q582" s="2">
        <f t="shared" si="57"/>
        <v>0.35124999999999251</v>
      </c>
      <c r="R582" s="2">
        <f t="shared" si="58"/>
        <v>0.35402857142856387</v>
      </c>
      <c r="S582" s="2">
        <f t="shared" si="59"/>
        <v>-2.7785714285713525E-3</v>
      </c>
    </row>
    <row r="583" spans="2:19" x14ac:dyDescent="0.25">
      <c r="B583" s="1">
        <f t="shared" si="60"/>
        <v>577</v>
      </c>
      <c r="C583" s="1">
        <v>836</v>
      </c>
      <c r="D583" s="13">
        <v>70.400000000000006</v>
      </c>
      <c r="E583" s="1" t="s">
        <v>11</v>
      </c>
      <c r="F583" s="2">
        <v>3.09</v>
      </c>
      <c r="G583" s="1" t="s">
        <v>12</v>
      </c>
      <c r="H583" s="1" t="s">
        <v>13</v>
      </c>
      <c r="I583" s="1" t="s">
        <v>14</v>
      </c>
      <c r="J583" s="14">
        <v>0.64254629629629634</v>
      </c>
      <c r="K583" s="15">
        <v>44751</v>
      </c>
      <c r="M583" s="2">
        <v>3.07</v>
      </c>
      <c r="O583" s="2">
        <f t="shared" si="55"/>
        <v>3</v>
      </c>
      <c r="P583" s="2">
        <f t="shared" si="56"/>
        <v>70.828571428571436</v>
      </c>
      <c r="Q583" s="2">
        <f t="shared" si="57"/>
        <v>0.35250000000002379</v>
      </c>
      <c r="R583" s="2">
        <f t="shared" si="58"/>
        <v>0.35425714285716686</v>
      </c>
      <c r="S583" s="2">
        <f t="shared" si="59"/>
        <v>-1.7571428571430681E-3</v>
      </c>
    </row>
    <row r="584" spans="2:19" x14ac:dyDescent="0.25">
      <c r="B584" s="1">
        <f t="shared" si="60"/>
        <v>578</v>
      </c>
      <c r="C584" s="1">
        <v>837</v>
      </c>
      <c r="D584" s="13">
        <v>70.599999999999994</v>
      </c>
      <c r="E584" s="1" t="s">
        <v>11</v>
      </c>
      <c r="F584" s="2">
        <v>3.0950000000000002</v>
      </c>
      <c r="G584" s="1" t="s">
        <v>12</v>
      </c>
      <c r="H584" s="1" t="s">
        <v>13</v>
      </c>
      <c r="I584" s="1" t="s">
        <v>14</v>
      </c>
      <c r="J584" s="14">
        <v>0.64254629629629634</v>
      </c>
      <c r="K584" s="15">
        <v>44751</v>
      </c>
      <c r="M584" s="2">
        <v>3.0750000000000002</v>
      </c>
      <c r="O584" s="2">
        <f t="shared" ref="O584:O647" si="61">M584-$X$23</f>
        <v>3.0050000000000003</v>
      </c>
      <c r="P584" s="2">
        <f t="shared" ref="P584:P647" si="62">O584*$AC$21+$Y$23</f>
        <v>70.874285714285719</v>
      </c>
      <c r="Q584" s="2">
        <f t="shared" ref="Q584:Q647" si="63">((D584+D585)/2)*(M585-M584)</f>
        <v>0.35324999999999251</v>
      </c>
      <c r="R584" s="2">
        <f t="shared" ref="R584:R647" si="64">((P584+P585)/2)*(O585-O584)</f>
        <v>0.3544857142857068</v>
      </c>
      <c r="S584" s="2">
        <f t="shared" ref="S584:S647" si="65">Q584-R584</f>
        <v>-1.2357142857142844E-3</v>
      </c>
    </row>
    <row r="585" spans="2:19" x14ac:dyDescent="0.25">
      <c r="B585" s="1">
        <f t="shared" ref="B585:B648" si="66">B584+1</f>
        <v>579</v>
      </c>
      <c r="C585" s="1">
        <v>838</v>
      </c>
      <c r="D585" s="13">
        <v>70.7</v>
      </c>
      <c r="E585" s="1" t="s">
        <v>11</v>
      </c>
      <c r="F585" s="2">
        <v>3.1</v>
      </c>
      <c r="G585" s="1" t="s">
        <v>12</v>
      </c>
      <c r="H585" s="1" t="s">
        <v>13</v>
      </c>
      <c r="I585" s="1" t="s">
        <v>14</v>
      </c>
      <c r="J585" s="14">
        <v>0.64254629629629634</v>
      </c>
      <c r="K585" s="15">
        <v>44751</v>
      </c>
      <c r="M585" s="2">
        <v>3.08</v>
      </c>
      <c r="O585" s="2">
        <f t="shared" si="61"/>
        <v>3.0100000000000002</v>
      </c>
      <c r="P585" s="2">
        <f t="shared" si="62"/>
        <v>70.920000000000016</v>
      </c>
      <c r="Q585" s="2">
        <f t="shared" si="63"/>
        <v>0.3542499999999924</v>
      </c>
      <c r="R585" s="2">
        <f t="shared" si="64"/>
        <v>0.35471428571427821</v>
      </c>
      <c r="S585" s="2">
        <f t="shared" si="65"/>
        <v>-4.6428571428580589E-4</v>
      </c>
    </row>
    <row r="586" spans="2:19" x14ac:dyDescent="0.25">
      <c r="B586" s="1">
        <f t="shared" si="66"/>
        <v>580</v>
      </c>
      <c r="C586" s="1">
        <v>840</v>
      </c>
      <c r="D586" s="13">
        <v>71</v>
      </c>
      <c r="E586" s="1" t="s">
        <v>11</v>
      </c>
      <c r="F586" s="2">
        <v>3.105</v>
      </c>
      <c r="G586" s="1" t="s">
        <v>12</v>
      </c>
      <c r="H586" s="1" t="s">
        <v>13</v>
      </c>
      <c r="I586" s="1" t="s">
        <v>14</v>
      </c>
      <c r="J586" s="14">
        <v>0.64255787037037038</v>
      </c>
      <c r="K586" s="15">
        <v>44751</v>
      </c>
      <c r="M586" s="2">
        <v>3.085</v>
      </c>
      <c r="O586" s="2">
        <f t="shared" si="61"/>
        <v>3.0150000000000001</v>
      </c>
      <c r="P586" s="2">
        <f t="shared" si="62"/>
        <v>70.965714285714299</v>
      </c>
      <c r="Q586" s="2">
        <f t="shared" si="63"/>
        <v>0.35499999999999243</v>
      </c>
      <c r="R586" s="2">
        <f t="shared" si="64"/>
        <v>0.35494285714284968</v>
      </c>
      <c r="S586" s="2">
        <f t="shared" si="65"/>
        <v>5.7142857142755688E-5</v>
      </c>
    </row>
    <row r="587" spans="2:19" x14ac:dyDescent="0.25">
      <c r="B587" s="1">
        <f t="shared" si="66"/>
        <v>581</v>
      </c>
      <c r="C587" s="1">
        <v>841</v>
      </c>
      <c r="D587" s="13">
        <v>71</v>
      </c>
      <c r="E587" s="1" t="s">
        <v>11</v>
      </c>
      <c r="F587" s="2">
        <v>3.11</v>
      </c>
      <c r="G587" s="1" t="s">
        <v>12</v>
      </c>
      <c r="H587" s="1" t="s">
        <v>13</v>
      </c>
      <c r="I587" s="1" t="s">
        <v>14</v>
      </c>
      <c r="J587" s="14">
        <v>0.64255787037037038</v>
      </c>
      <c r="K587" s="15">
        <v>44751</v>
      </c>
      <c r="M587" s="2">
        <v>3.09</v>
      </c>
      <c r="O587" s="2">
        <f t="shared" si="61"/>
        <v>3.02</v>
      </c>
      <c r="P587" s="2">
        <f t="shared" si="62"/>
        <v>71.011428571428581</v>
      </c>
      <c r="Q587" s="2">
        <f t="shared" si="63"/>
        <v>0.35500000000002396</v>
      </c>
      <c r="R587" s="2">
        <f t="shared" si="64"/>
        <v>0.35517142857145256</v>
      </c>
      <c r="S587" s="2">
        <f t="shared" si="65"/>
        <v>-1.7142857142860013E-4</v>
      </c>
    </row>
    <row r="588" spans="2:19" x14ac:dyDescent="0.25">
      <c r="B588" s="1">
        <f t="shared" si="66"/>
        <v>582</v>
      </c>
      <c r="C588" s="1">
        <v>842</v>
      </c>
      <c r="D588" s="13">
        <v>71</v>
      </c>
      <c r="E588" s="1" t="s">
        <v>11</v>
      </c>
      <c r="F588" s="2">
        <v>3.1150000000000002</v>
      </c>
      <c r="G588" s="1" t="s">
        <v>12</v>
      </c>
      <c r="H588" s="1" t="s">
        <v>13</v>
      </c>
      <c r="I588" s="1" t="s">
        <v>14</v>
      </c>
      <c r="J588" s="14">
        <v>0.64255787037037038</v>
      </c>
      <c r="K588" s="15">
        <v>44751</v>
      </c>
      <c r="M588" s="2">
        <v>3.0950000000000002</v>
      </c>
      <c r="O588" s="2">
        <f t="shared" si="61"/>
        <v>3.0250000000000004</v>
      </c>
      <c r="P588" s="2">
        <f t="shared" si="62"/>
        <v>71.057142857142864</v>
      </c>
      <c r="Q588" s="2">
        <f t="shared" si="63"/>
        <v>0.35524999999999241</v>
      </c>
      <c r="R588" s="2">
        <f t="shared" si="64"/>
        <v>0.3553999999999925</v>
      </c>
      <c r="S588" s="2">
        <f t="shared" si="65"/>
        <v>-1.500000000000945E-4</v>
      </c>
    </row>
    <row r="589" spans="2:19" x14ac:dyDescent="0.25">
      <c r="B589" s="1">
        <f t="shared" si="66"/>
        <v>583</v>
      </c>
      <c r="C589" s="1">
        <v>844</v>
      </c>
      <c r="D589" s="13">
        <v>71.099999999999994</v>
      </c>
      <c r="E589" s="1" t="s">
        <v>11</v>
      </c>
      <c r="F589" s="2">
        <v>3.12</v>
      </c>
      <c r="G589" s="1" t="s">
        <v>12</v>
      </c>
      <c r="H589" s="1" t="s">
        <v>13</v>
      </c>
      <c r="I589" s="1" t="s">
        <v>14</v>
      </c>
      <c r="J589" s="14">
        <v>0.64255787037037038</v>
      </c>
      <c r="K589" s="15">
        <v>44751</v>
      </c>
      <c r="M589" s="2">
        <v>3.1</v>
      </c>
      <c r="O589" s="2">
        <f t="shared" si="61"/>
        <v>3.0300000000000002</v>
      </c>
      <c r="P589" s="2">
        <f t="shared" si="62"/>
        <v>71.102857142857147</v>
      </c>
      <c r="Q589" s="2">
        <f t="shared" si="63"/>
        <v>0.35574999999999246</v>
      </c>
      <c r="R589" s="2">
        <f t="shared" si="64"/>
        <v>0.35562857142856391</v>
      </c>
      <c r="S589" s="2">
        <f t="shared" si="65"/>
        <v>1.2142857142855012E-4</v>
      </c>
    </row>
    <row r="590" spans="2:19" x14ac:dyDescent="0.25">
      <c r="B590" s="1">
        <f t="shared" si="66"/>
        <v>584</v>
      </c>
      <c r="C590" s="1">
        <v>845</v>
      </c>
      <c r="D590" s="13">
        <v>71.2</v>
      </c>
      <c r="E590" s="1" t="s">
        <v>11</v>
      </c>
      <c r="F590" s="2">
        <v>3.125</v>
      </c>
      <c r="G590" s="1" t="s">
        <v>12</v>
      </c>
      <c r="H590" s="1" t="s">
        <v>13</v>
      </c>
      <c r="I590" s="1" t="s">
        <v>14</v>
      </c>
      <c r="J590" s="14">
        <v>0.64255787037037038</v>
      </c>
      <c r="K590" s="15">
        <v>44751</v>
      </c>
      <c r="M590" s="2">
        <v>3.105</v>
      </c>
      <c r="O590" s="2">
        <f t="shared" si="61"/>
        <v>3.0350000000000001</v>
      </c>
      <c r="P590" s="2">
        <f t="shared" si="62"/>
        <v>71.148571428571444</v>
      </c>
      <c r="Q590" s="2">
        <f t="shared" si="63"/>
        <v>0.35599999999999243</v>
      </c>
      <c r="R590" s="2">
        <f t="shared" si="64"/>
        <v>0.35585714285713532</v>
      </c>
      <c r="S590" s="2">
        <f t="shared" si="65"/>
        <v>1.4285714285711126E-4</v>
      </c>
    </row>
    <row r="591" spans="2:19" x14ac:dyDescent="0.25">
      <c r="B591" s="1">
        <f t="shared" si="66"/>
        <v>585</v>
      </c>
      <c r="C591" s="1">
        <v>847</v>
      </c>
      <c r="D591" s="13">
        <v>71.2</v>
      </c>
      <c r="E591" s="1" t="s">
        <v>11</v>
      </c>
      <c r="F591" s="2">
        <v>3.13</v>
      </c>
      <c r="G591" s="1" t="s">
        <v>12</v>
      </c>
      <c r="H591" s="1" t="s">
        <v>13</v>
      </c>
      <c r="I591" s="1" t="s">
        <v>14</v>
      </c>
      <c r="J591" s="14">
        <v>0.64255787037037038</v>
      </c>
      <c r="K591" s="15">
        <v>44751</v>
      </c>
      <c r="M591" s="2">
        <v>3.11</v>
      </c>
      <c r="O591" s="2">
        <f t="shared" si="61"/>
        <v>3.04</v>
      </c>
      <c r="P591" s="2">
        <f t="shared" si="62"/>
        <v>71.194285714285726</v>
      </c>
      <c r="Q591" s="2">
        <f t="shared" si="63"/>
        <v>0.35649999999999243</v>
      </c>
      <c r="R591" s="2">
        <f t="shared" si="64"/>
        <v>0.35608571428570679</v>
      </c>
      <c r="S591" s="2">
        <f t="shared" si="65"/>
        <v>4.1428571428564487E-4</v>
      </c>
    </row>
    <row r="592" spans="2:19" x14ac:dyDescent="0.25">
      <c r="B592" s="1">
        <f t="shared" si="66"/>
        <v>586</v>
      </c>
      <c r="C592" s="1">
        <v>849</v>
      </c>
      <c r="D592" s="13">
        <v>71.400000000000006</v>
      </c>
      <c r="E592" s="1" t="s">
        <v>11</v>
      </c>
      <c r="F592" s="2">
        <v>3.1349999999999998</v>
      </c>
      <c r="G592" s="1" t="s">
        <v>12</v>
      </c>
      <c r="H592" s="1" t="s">
        <v>13</v>
      </c>
      <c r="I592" s="1" t="s">
        <v>14</v>
      </c>
      <c r="J592" s="14">
        <v>0.64256944444444442</v>
      </c>
      <c r="K592" s="15">
        <v>44751</v>
      </c>
      <c r="M592" s="2">
        <v>3.1149999999999998</v>
      </c>
      <c r="O592" s="2">
        <f t="shared" si="61"/>
        <v>3.0449999999999999</v>
      </c>
      <c r="P592" s="2">
        <f t="shared" si="62"/>
        <v>71.240000000000009</v>
      </c>
      <c r="Q592" s="2">
        <f t="shared" si="63"/>
        <v>0.3572500000000241</v>
      </c>
      <c r="R592" s="2">
        <f t="shared" si="64"/>
        <v>0.35631428571430979</v>
      </c>
      <c r="S592" s="2">
        <f t="shared" si="65"/>
        <v>9.3571428571431747E-4</v>
      </c>
    </row>
    <row r="593" spans="2:19" x14ac:dyDescent="0.25">
      <c r="B593" s="1">
        <f t="shared" si="66"/>
        <v>587</v>
      </c>
      <c r="C593" s="1">
        <v>851</v>
      </c>
      <c r="D593" s="13">
        <v>71.5</v>
      </c>
      <c r="E593" s="1" t="s">
        <v>11</v>
      </c>
      <c r="F593" s="2">
        <v>3.14</v>
      </c>
      <c r="G593" s="1" t="s">
        <v>12</v>
      </c>
      <c r="H593" s="1" t="s">
        <v>13</v>
      </c>
      <c r="I593" s="1" t="s">
        <v>14</v>
      </c>
      <c r="J593" s="14">
        <v>0.64256944444444442</v>
      </c>
      <c r="K593" s="15">
        <v>44751</v>
      </c>
      <c r="M593" s="2">
        <v>3.12</v>
      </c>
      <c r="O593" s="2">
        <f t="shared" si="61"/>
        <v>3.0500000000000003</v>
      </c>
      <c r="P593" s="2">
        <f t="shared" si="62"/>
        <v>71.285714285714292</v>
      </c>
      <c r="Q593" s="2">
        <f t="shared" si="63"/>
        <v>0.35724999999999241</v>
      </c>
      <c r="R593" s="2">
        <f t="shared" si="64"/>
        <v>0.35654285714284961</v>
      </c>
      <c r="S593" s="2">
        <f t="shared" si="65"/>
        <v>7.0714285714279512E-4</v>
      </c>
    </row>
    <row r="594" spans="2:19" x14ac:dyDescent="0.25">
      <c r="B594" s="1">
        <f t="shared" si="66"/>
        <v>588</v>
      </c>
      <c r="C594" s="1">
        <v>852</v>
      </c>
      <c r="D594" s="13">
        <v>71.400000000000006</v>
      </c>
      <c r="E594" s="1" t="s">
        <v>11</v>
      </c>
      <c r="F594" s="2">
        <v>3.145</v>
      </c>
      <c r="G594" s="1" t="s">
        <v>12</v>
      </c>
      <c r="H594" s="1" t="s">
        <v>13</v>
      </c>
      <c r="I594" s="1" t="s">
        <v>14</v>
      </c>
      <c r="J594" s="14">
        <v>0.64256944444444442</v>
      </c>
      <c r="K594" s="15">
        <v>44751</v>
      </c>
      <c r="M594" s="2">
        <v>3.125</v>
      </c>
      <c r="O594" s="2">
        <f t="shared" si="61"/>
        <v>3.0550000000000002</v>
      </c>
      <c r="P594" s="2">
        <f t="shared" si="62"/>
        <v>71.331428571428575</v>
      </c>
      <c r="Q594" s="2">
        <f t="shared" si="63"/>
        <v>0.35724999999999241</v>
      </c>
      <c r="R594" s="2">
        <f t="shared" si="64"/>
        <v>0.35677142857142102</v>
      </c>
      <c r="S594" s="2">
        <f t="shared" si="65"/>
        <v>4.7857142857138379E-4</v>
      </c>
    </row>
    <row r="595" spans="2:19" x14ac:dyDescent="0.25">
      <c r="B595" s="1">
        <f t="shared" si="66"/>
        <v>589</v>
      </c>
      <c r="C595" s="1">
        <v>854</v>
      </c>
      <c r="D595" s="13">
        <v>71.5</v>
      </c>
      <c r="E595" s="1" t="s">
        <v>11</v>
      </c>
      <c r="F595" s="2">
        <v>3.15</v>
      </c>
      <c r="G595" s="1" t="s">
        <v>12</v>
      </c>
      <c r="H595" s="1" t="s">
        <v>13</v>
      </c>
      <c r="I595" s="1" t="s">
        <v>14</v>
      </c>
      <c r="J595" s="14">
        <v>0.64256944444444442</v>
      </c>
      <c r="K595" s="15">
        <v>44751</v>
      </c>
      <c r="M595" s="2">
        <v>3.13</v>
      </c>
      <c r="O595" s="2">
        <f t="shared" si="61"/>
        <v>3.06</v>
      </c>
      <c r="P595" s="2">
        <f t="shared" si="62"/>
        <v>71.377142857142871</v>
      </c>
      <c r="Q595" s="2">
        <f t="shared" si="63"/>
        <v>0.35749999999999238</v>
      </c>
      <c r="R595" s="2">
        <f t="shared" si="64"/>
        <v>0.35699999999999243</v>
      </c>
      <c r="S595" s="2">
        <f t="shared" si="65"/>
        <v>4.9999999999994493E-4</v>
      </c>
    </row>
    <row r="596" spans="2:19" x14ac:dyDescent="0.25">
      <c r="B596" s="1">
        <f t="shared" si="66"/>
        <v>590</v>
      </c>
      <c r="C596" s="1">
        <v>855</v>
      </c>
      <c r="D596" s="13">
        <v>71.5</v>
      </c>
      <c r="E596" s="1" t="s">
        <v>11</v>
      </c>
      <c r="F596" s="2">
        <v>3.1549999999999998</v>
      </c>
      <c r="G596" s="1" t="s">
        <v>12</v>
      </c>
      <c r="H596" s="1" t="s">
        <v>13</v>
      </c>
      <c r="I596" s="1" t="s">
        <v>14</v>
      </c>
      <c r="J596" s="14">
        <v>0.64256944444444442</v>
      </c>
      <c r="K596" s="15">
        <v>44751</v>
      </c>
      <c r="M596" s="2">
        <v>3.1349999999999998</v>
      </c>
      <c r="O596" s="2">
        <f t="shared" si="61"/>
        <v>3.0649999999999999</v>
      </c>
      <c r="P596" s="2">
        <f t="shared" si="62"/>
        <v>71.422857142857154</v>
      </c>
      <c r="Q596" s="2">
        <f t="shared" si="63"/>
        <v>0.35775000000002416</v>
      </c>
      <c r="R596" s="2">
        <f t="shared" si="64"/>
        <v>0.35722857142859565</v>
      </c>
      <c r="S596" s="2">
        <f t="shared" si="65"/>
        <v>5.2142857142850607E-4</v>
      </c>
    </row>
    <row r="597" spans="2:19" x14ac:dyDescent="0.25">
      <c r="B597" s="1">
        <f t="shared" si="66"/>
        <v>591</v>
      </c>
      <c r="C597" s="1">
        <v>857</v>
      </c>
      <c r="D597" s="13">
        <v>71.599999999999994</v>
      </c>
      <c r="E597" s="1" t="s">
        <v>11</v>
      </c>
      <c r="F597" s="2">
        <v>3.16</v>
      </c>
      <c r="G597" s="1" t="s">
        <v>12</v>
      </c>
      <c r="H597" s="1" t="s">
        <v>13</v>
      </c>
      <c r="I597" s="1" t="s">
        <v>14</v>
      </c>
      <c r="J597" s="14">
        <v>0.64256944444444442</v>
      </c>
      <c r="K597" s="15">
        <v>44751</v>
      </c>
      <c r="M597" s="2">
        <v>3.14</v>
      </c>
      <c r="O597" s="2">
        <f t="shared" si="61"/>
        <v>3.0700000000000003</v>
      </c>
      <c r="P597" s="2">
        <f t="shared" si="62"/>
        <v>71.468571428571437</v>
      </c>
      <c r="Q597" s="2">
        <f t="shared" si="63"/>
        <v>0.35824999999999241</v>
      </c>
      <c r="R597" s="2">
        <f t="shared" si="64"/>
        <v>0.35745714285713526</v>
      </c>
      <c r="S597" s="2">
        <f t="shared" si="65"/>
        <v>7.928571428571507E-4</v>
      </c>
    </row>
    <row r="598" spans="2:19" x14ac:dyDescent="0.25">
      <c r="B598" s="1">
        <f t="shared" si="66"/>
        <v>592</v>
      </c>
      <c r="C598" s="1">
        <v>858</v>
      </c>
      <c r="D598" s="13">
        <v>71.7</v>
      </c>
      <c r="E598" s="1" t="s">
        <v>11</v>
      </c>
      <c r="F598" s="2">
        <v>3.165</v>
      </c>
      <c r="G598" s="1" t="s">
        <v>12</v>
      </c>
      <c r="H598" s="1" t="s">
        <v>13</v>
      </c>
      <c r="I598" s="1" t="s">
        <v>14</v>
      </c>
      <c r="J598" s="14">
        <v>0.64256944444444442</v>
      </c>
      <c r="K598" s="15">
        <v>44751</v>
      </c>
      <c r="M598" s="2">
        <v>3.145</v>
      </c>
      <c r="O598" s="2">
        <f t="shared" si="61"/>
        <v>3.0750000000000002</v>
      </c>
      <c r="P598" s="2">
        <f t="shared" si="62"/>
        <v>71.51428571428572</v>
      </c>
      <c r="Q598" s="2">
        <f t="shared" si="63"/>
        <v>0.35849999999999238</v>
      </c>
      <c r="R598" s="2">
        <f t="shared" si="64"/>
        <v>0.35768571428570672</v>
      </c>
      <c r="S598" s="2">
        <f t="shared" si="65"/>
        <v>8.1428571428565633E-4</v>
      </c>
    </row>
    <row r="599" spans="2:19" x14ac:dyDescent="0.25">
      <c r="B599" s="1">
        <f t="shared" si="66"/>
        <v>593</v>
      </c>
      <c r="C599" s="1">
        <v>859</v>
      </c>
      <c r="D599" s="13">
        <v>71.7</v>
      </c>
      <c r="E599" s="1" t="s">
        <v>11</v>
      </c>
      <c r="F599" s="2">
        <v>3.17</v>
      </c>
      <c r="G599" s="1" t="s">
        <v>12</v>
      </c>
      <c r="H599" s="1" t="s">
        <v>13</v>
      </c>
      <c r="I599" s="1" t="s">
        <v>14</v>
      </c>
      <c r="J599" s="14">
        <v>0.64258101851851845</v>
      </c>
      <c r="K599" s="15">
        <v>44751</v>
      </c>
      <c r="M599" s="2">
        <v>3.15</v>
      </c>
      <c r="O599" s="2">
        <f t="shared" si="61"/>
        <v>3.08</v>
      </c>
      <c r="P599" s="2">
        <f t="shared" si="62"/>
        <v>71.56</v>
      </c>
      <c r="Q599" s="2">
        <f t="shared" si="63"/>
        <v>0.35899999999999238</v>
      </c>
      <c r="R599" s="2">
        <f t="shared" si="64"/>
        <v>0.35791428571427814</v>
      </c>
      <c r="S599" s="2">
        <f t="shared" si="65"/>
        <v>1.0857142857142454E-3</v>
      </c>
    </row>
    <row r="600" spans="2:19" x14ac:dyDescent="0.25">
      <c r="B600" s="1">
        <f t="shared" si="66"/>
        <v>594</v>
      </c>
      <c r="C600" s="1">
        <v>861</v>
      </c>
      <c r="D600" s="13">
        <v>71.900000000000006</v>
      </c>
      <c r="E600" s="1" t="s">
        <v>11</v>
      </c>
      <c r="F600" s="2">
        <v>3.1749999999999998</v>
      </c>
      <c r="G600" s="1" t="s">
        <v>12</v>
      </c>
      <c r="H600" s="1" t="s">
        <v>13</v>
      </c>
      <c r="I600" s="1" t="s">
        <v>14</v>
      </c>
      <c r="J600" s="14">
        <v>0.64258101851851845</v>
      </c>
      <c r="K600" s="15">
        <v>44751</v>
      </c>
      <c r="M600" s="2">
        <v>3.1549999999999998</v>
      </c>
      <c r="O600" s="2">
        <f t="shared" si="61"/>
        <v>3.085</v>
      </c>
      <c r="P600" s="2">
        <f t="shared" si="62"/>
        <v>71.605714285714299</v>
      </c>
      <c r="Q600" s="2">
        <f t="shared" si="63"/>
        <v>0.3595000000000243</v>
      </c>
      <c r="R600" s="2">
        <f t="shared" si="64"/>
        <v>0.35814285714288135</v>
      </c>
      <c r="S600" s="2">
        <f t="shared" si="65"/>
        <v>1.3571428571429456E-3</v>
      </c>
    </row>
    <row r="601" spans="2:19" x14ac:dyDescent="0.25">
      <c r="B601" s="1">
        <f t="shared" si="66"/>
        <v>595</v>
      </c>
      <c r="C601" s="1">
        <v>862</v>
      </c>
      <c r="D601" s="13">
        <v>71.900000000000006</v>
      </c>
      <c r="E601" s="1" t="s">
        <v>11</v>
      </c>
      <c r="F601" s="2">
        <v>3.18</v>
      </c>
      <c r="G601" s="1" t="s">
        <v>12</v>
      </c>
      <c r="H601" s="1" t="s">
        <v>13</v>
      </c>
      <c r="I601" s="1" t="s">
        <v>14</v>
      </c>
      <c r="J601" s="14">
        <v>0.64258101851851845</v>
      </c>
      <c r="K601" s="15">
        <v>44751</v>
      </c>
      <c r="M601" s="2">
        <v>3.16</v>
      </c>
      <c r="O601" s="2">
        <f t="shared" si="61"/>
        <v>3.0900000000000003</v>
      </c>
      <c r="P601" s="2">
        <f t="shared" si="62"/>
        <v>71.651428571428582</v>
      </c>
      <c r="Q601" s="2">
        <f t="shared" si="63"/>
        <v>0.35974999999999235</v>
      </c>
      <c r="R601" s="2">
        <f t="shared" si="64"/>
        <v>0.35837142857142101</v>
      </c>
      <c r="S601" s="2">
        <f t="shared" si="65"/>
        <v>1.3785714285713402E-3</v>
      </c>
    </row>
    <row r="602" spans="2:19" x14ac:dyDescent="0.25">
      <c r="B602" s="1">
        <f t="shared" si="66"/>
        <v>596</v>
      </c>
      <c r="C602" s="1">
        <v>864</v>
      </c>
      <c r="D602" s="13">
        <v>72</v>
      </c>
      <c r="E602" s="1" t="s">
        <v>11</v>
      </c>
      <c r="F602" s="2">
        <v>3.1850000000000001</v>
      </c>
      <c r="G602" s="1" t="s">
        <v>12</v>
      </c>
      <c r="H602" s="1" t="s">
        <v>13</v>
      </c>
      <c r="I602" s="1" t="s">
        <v>14</v>
      </c>
      <c r="J602" s="14">
        <v>0.64258101851851845</v>
      </c>
      <c r="K602" s="15">
        <v>44751</v>
      </c>
      <c r="M602" s="2">
        <v>3.165</v>
      </c>
      <c r="O602" s="2">
        <f t="shared" si="61"/>
        <v>3.0950000000000002</v>
      </c>
      <c r="P602" s="2">
        <f t="shared" si="62"/>
        <v>71.697142857142865</v>
      </c>
      <c r="Q602" s="2">
        <f t="shared" si="63"/>
        <v>0.3602499999999923</v>
      </c>
      <c r="R602" s="2">
        <f t="shared" si="64"/>
        <v>0.35859999999999237</v>
      </c>
      <c r="S602" s="2">
        <f t="shared" si="65"/>
        <v>1.6499999999999293E-3</v>
      </c>
    </row>
    <row r="603" spans="2:19" x14ac:dyDescent="0.25">
      <c r="B603" s="1">
        <f t="shared" si="66"/>
        <v>597</v>
      </c>
      <c r="C603" s="1">
        <v>866</v>
      </c>
      <c r="D603" s="13">
        <v>72.099999999999994</v>
      </c>
      <c r="E603" s="1" t="s">
        <v>11</v>
      </c>
      <c r="F603" s="2">
        <v>3.19</v>
      </c>
      <c r="G603" s="1" t="s">
        <v>12</v>
      </c>
      <c r="H603" s="1" t="s">
        <v>13</v>
      </c>
      <c r="I603" s="1" t="s">
        <v>14</v>
      </c>
      <c r="J603" s="14">
        <v>0.64258101851851845</v>
      </c>
      <c r="K603" s="15">
        <v>44751</v>
      </c>
      <c r="M603" s="2">
        <v>3.17</v>
      </c>
      <c r="O603" s="2">
        <f t="shared" si="61"/>
        <v>3.1</v>
      </c>
      <c r="P603" s="2">
        <f t="shared" si="62"/>
        <v>71.742857142857147</v>
      </c>
      <c r="Q603" s="2">
        <f t="shared" si="63"/>
        <v>0.36074999999999235</v>
      </c>
      <c r="R603" s="2">
        <f t="shared" si="64"/>
        <v>0.35882857142856384</v>
      </c>
      <c r="S603" s="2">
        <f t="shared" si="65"/>
        <v>1.9214285714285184E-3</v>
      </c>
    </row>
    <row r="604" spans="2:19" x14ac:dyDescent="0.25">
      <c r="B604" s="1">
        <f t="shared" si="66"/>
        <v>598</v>
      </c>
      <c r="C604" s="1">
        <v>868</v>
      </c>
      <c r="D604" s="13">
        <v>72.2</v>
      </c>
      <c r="E604" s="1" t="s">
        <v>11</v>
      </c>
      <c r="F604" s="2">
        <v>3.1949999999999998</v>
      </c>
      <c r="G604" s="1" t="s">
        <v>12</v>
      </c>
      <c r="H604" s="1" t="s">
        <v>13</v>
      </c>
      <c r="I604" s="1" t="s">
        <v>14</v>
      </c>
      <c r="J604" s="14">
        <v>0.64258101851851845</v>
      </c>
      <c r="K604" s="15">
        <v>44751</v>
      </c>
      <c r="M604" s="2">
        <v>3.1749999999999998</v>
      </c>
      <c r="O604" s="2">
        <f t="shared" si="61"/>
        <v>3.105</v>
      </c>
      <c r="P604" s="2">
        <f t="shared" si="62"/>
        <v>71.78857142857143</v>
      </c>
      <c r="Q604" s="2">
        <f t="shared" si="63"/>
        <v>0.36125000000002438</v>
      </c>
      <c r="R604" s="2">
        <f t="shared" si="64"/>
        <v>0.35905714285716711</v>
      </c>
      <c r="S604" s="2">
        <f t="shared" si="65"/>
        <v>2.1928571428572741E-3</v>
      </c>
    </row>
    <row r="605" spans="2:19" x14ac:dyDescent="0.25">
      <c r="B605" s="1">
        <f t="shared" si="66"/>
        <v>599</v>
      </c>
      <c r="C605" s="1">
        <v>871</v>
      </c>
      <c r="D605" s="13">
        <v>72.3</v>
      </c>
      <c r="E605" s="1" t="s">
        <v>11</v>
      </c>
      <c r="F605" s="2">
        <v>3.2</v>
      </c>
      <c r="G605" s="1" t="s">
        <v>12</v>
      </c>
      <c r="H605" s="1" t="s">
        <v>13</v>
      </c>
      <c r="I605" s="1" t="s">
        <v>14</v>
      </c>
      <c r="J605" s="14">
        <v>0.6425925925925926</v>
      </c>
      <c r="K605" s="15">
        <v>44751</v>
      </c>
      <c r="M605" s="2">
        <v>3.18</v>
      </c>
      <c r="O605" s="2">
        <f t="shared" si="61"/>
        <v>3.1100000000000003</v>
      </c>
      <c r="P605" s="2">
        <f t="shared" si="62"/>
        <v>71.834285714285727</v>
      </c>
      <c r="Q605" s="2">
        <f t="shared" si="63"/>
        <v>0.36174999999999224</v>
      </c>
      <c r="R605" s="2">
        <f t="shared" si="64"/>
        <v>0.35928571428570666</v>
      </c>
      <c r="S605" s="2">
        <f t="shared" si="65"/>
        <v>2.4642857142855856E-3</v>
      </c>
    </row>
    <row r="606" spans="2:19" x14ac:dyDescent="0.25">
      <c r="B606" s="1">
        <f t="shared" si="66"/>
        <v>600</v>
      </c>
      <c r="C606" s="1">
        <v>873</v>
      </c>
      <c r="D606" s="13">
        <v>72.400000000000006</v>
      </c>
      <c r="E606" s="1" t="s">
        <v>11</v>
      </c>
      <c r="F606" s="2">
        <v>3.2050000000000001</v>
      </c>
      <c r="G606" s="1" t="s">
        <v>12</v>
      </c>
      <c r="H606" s="1" t="s">
        <v>13</v>
      </c>
      <c r="I606" s="1" t="s">
        <v>14</v>
      </c>
      <c r="J606" s="14">
        <v>0.6425925925925926</v>
      </c>
      <c r="K606" s="15">
        <v>44751</v>
      </c>
      <c r="M606" s="2">
        <v>3.1850000000000001</v>
      </c>
      <c r="O606" s="2">
        <f t="shared" si="61"/>
        <v>3.1150000000000002</v>
      </c>
      <c r="P606" s="2">
        <f t="shared" si="62"/>
        <v>71.88000000000001</v>
      </c>
      <c r="Q606" s="2">
        <f t="shared" si="63"/>
        <v>0.3622499999999923</v>
      </c>
      <c r="R606" s="2">
        <f t="shared" si="64"/>
        <v>0.35951428571427813</v>
      </c>
      <c r="S606" s="2">
        <f t="shared" si="65"/>
        <v>2.7357142857141747E-3</v>
      </c>
    </row>
    <row r="607" spans="2:19" x14ac:dyDescent="0.25">
      <c r="B607" s="1">
        <f t="shared" si="66"/>
        <v>601</v>
      </c>
      <c r="C607" s="1">
        <v>876</v>
      </c>
      <c r="D607" s="13">
        <v>72.5</v>
      </c>
      <c r="E607" s="1" t="s">
        <v>11</v>
      </c>
      <c r="F607" s="2">
        <v>3.21</v>
      </c>
      <c r="G607" s="1" t="s">
        <v>12</v>
      </c>
      <c r="H607" s="1" t="s">
        <v>13</v>
      </c>
      <c r="I607" s="1" t="s">
        <v>14</v>
      </c>
      <c r="J607" s="14">
        <v>0.6425925925925926</v>
      </c>
      <c r="K607" s="15">
        <v>44751</v>
      </c>
      <c r="M607" s="2">
        <v>3.19</v>
      </c>
      <c r="O607" s="2">
        <f t="shared" si="61"/>
        <v>3.12</v>
      </c>
      <c r="P607" s="2">
        <f t="shared" si="62"/>
        <v>71.925714285714292</v>
      </c>
      <c r="Q607" s="2">
        <f t="shared" si="63"/>
        <v>0.36249999999999227</v>
      </c>
      <c r="R607" s="2">
        <f t="shared" si="64"/>
        <v>0.35974285714284948</v>
      </c>
      <c r="S607" s="2">
        <f t="shared" si="65"/>
        <v>2.7571428571427914E-3</v>
      </c>
    </row>
    <row r="608" spans="2:19" x14ac:dyDescent="0.25">
      <c r="B608" s="1">
        <f t="shared" si="66"/>
        <v>602</v>
      </c>
      <c r="C608" s="1">
        <v>877</v>
      </c>
      <c r="D608" s="13">
        <v>72.5</v>
      </c>
      <c r="E608" s="1" t="s">
        <v>11</v>
      </c>
      <c r="F608" s="2">
        <v>3.2149999999999999</v>
      </c>
      <c r="G608" s="1" t="s">
        <v>12</v>
      </c>
      <c r="H608" s="1" t="s">
        <v>13</v>
      </c>
      <c r="I608" s="1" t="s">
        <v>14</v>
      </c>
      <c r="J608" s="14">
        <v>0.6425925925925926</v>
      </c>
      <c r="K608" s="15">
        <v>44751</v>
      </c>
      <c r="M608" s="2">
        <v>3.1949999999999998</v>
      </c>
      <c r="O608" s="2">
        <f t="shared" si="61"/>
        <v>3.125</v>
      </c>
      <c r="P608" s="2">
        <f t="shared" si="62"/>
        <v>71.971428571428575</v>
      </c>
      <c r="Q608" s="2">
        <f t="shared" si="63"/>
        <v>0.3627500000000245</v>
      </c>
      <c r="R608" s="2">
        <f t="shared" si="64"/>
        <v>0.35997142857145292</v>
      </c>
      <c r="S608" s="2">
        <f t="shared" si="65"/>
        <v>2.7785714285715746E-3</v>
      </c>
    </row>
    <row r="609" spans="2:19" x14ac:dyDescent="0.25">
      <c r="B609" s="1">
        <f t="shared" si="66"/>
        <v>603</v>
      </c>
      <c r="C609" s="1">
        <v>879</v>
      </c>
      <c r="D609" s="13">
        <v>72.599999999999994</v>
      </c>
      <c r="E609" s="1" t="s">
        <v>11</v>
      </c>
      <c r="F609" s="2">
        <v>3.22</v>
      </c>
      <c r="G609" s="1" t="s">
        <v>12</v>
      </c>
      <c r="H609" s="1" t="s">
        <v>13</v>
      </c>
      <c r="I609" s="1" t="s">
        <v>14</v>
      </c>
      <c r="J609" s="14">
        <v>0.64260416666666664</v>
      </c>
      <c r="K609" s="15">
        <v>44751</v>
      </c>
      <c r="M609" s="2">
        <v>3.2</v>
      </c>
      <c r="O609" s="2">
        <f t="shared" si="61"/>
        <v>3.1300000000000003</v>
      </c>
      <c r="P609" s="2">
        <f t="shared" si="62"/>
        <v>72.017142857142872</v>
      </c>
      <c r="Q609" s="2">
        <f t="shared" si="63"/>
        <v>0.36299999999999222</v>
      </c>
      <c r="R609" s="2">
        <f t="shared" si="64"/>
        <v>0.36019999999999242</v>
      </c>
      <c r="S609" s="2">
        <f t="shared" si="65"/>
        <v>2.7999999999998026E-3</v>
      </c>
    </row>
    <row r="610" spans="2:19" x14ac:dyDescent="0.25">
      <c r="B610" s="1">
        <f t="shared" si="66"/>
        <v>604</v>
      </c>
      <c r="C610" s="1">
        <v>880</v>
      </c>
      <c r="D610" s="13">
        <v>72.599999999999994</v>
      </c>
      <c r="E610" s="1" t="s">
        <v>11</v>
      </c>
      <c r="F610" s="2">
        <v>3.2250000000000001</v>
      </c>
      <c r="G610" s="1" t="s">
        <v>12</v>
      </c>
      <c r="H610" s="1" t="s">
        <v>13</v>
      </c>
      <c r="I610" s="1" t="s">
        <v>14</v>
      </c>
      <c r="J610" s="14">
        <v>0.64260416666666664</v>
      </c>
      <c r="K610" s="15">
        <v>44751</v>
      </c>
      <c r="M610" s="2">
        <v>3.2050000000000001</v>
      </c>
      <c r="O610" s="2">
        <f t="shared" si="61"/>
        <v>3.1350000000000002</v>
      </c>
      <c r="P610" s="2">
        <f t="shared" si="62"/>
        <v>72.062857142857155</v>
      </c>
      <c r="Q610" s="2">
        <f t="shared" si="63"/>
        <v>0.3632499999999923</v>
      </c>
      <c r="R610" s="2">
        <f t="shared" si="64"/>
        <v>0.36042857142856377</v>
      </c>
      <c r="S610" s="2">
        <f t="shared" si="65"/>
        <v>2.8214285714285303E-3</v>
      </c>
    </row>
    <row r="611" spans="2:19" x14ac:dyDescent="0.25">
      <c r="B611" s="1">
        <f t="shared" si="66"/>
        <v>605</v>
      </c>
      <c r="C611" s="1">
        <v>881</v>
      </c>
      <c r="D611" s="13">
        <v>72.7</v>
      </c>
      <c r="E611" s="1" t="s">
        <v>11</v>
      </c>
      <c r="F611" s="2">
        <v>3.23</v>
      </c>
      <c r="G611" s="1" t="s">
        <v>12</v>
      </c>
      <c r="H611" s="1" t="s">
        <v>13</v>
      </c>
      <c r="I611" s="1" t="s">
        <v>14</v>
      </c>
      <c r="J611" s="14">
        <v>0.64260416666666664</v>
      </c>
      <c r="K611" s="15">
        <v>44751</v>
      </c>
      <c r="M611" s="2">
        <v>3.21</v>
      </c>
      <c r="O611" s="2">
        <f t="shared" si="61"/>
        <v>3.14</v>
      </c>
      <c r="P611" s="2">
        <f t="shared" si="62"/>
        <v>72.108571428571437</v>
      </c>
      <c r="Q611" s="2">
        <f t="shared" si="63"/>
        <v>0.36374999999999225</v>
      </c>
      <c r="R611" s="2">
        <f t="shared" si="64"/>
        <v>0.36065714285713524</v>
      </c>
      <c r="S611" s="2">
        <f t="shared" si="65"/>
        <v>3.0928571428570084E-3</v>
      </c>
    </row>
    <row r="612" spans="2:19" x14ac:dyDescent="0.25">
      <c r="B612" s="1">
        <f t="shared" si="66"/>
        <v>606</v>
      </c>
      <c r="C612" s="1">
        <v>883</v>
      </c>
      <c r="D612" s="13">
        <v>72.8</v>
      </c>
      <c r="E612" s="1" t="s">
        <v>11</v>
      </c>
      <c r="F612" s="2">
        <v>3.2349999999999999</v>
      </c>
      <c r="G612" s="1" t="s">
        <v>12</v>
      </c>
      <c r="H612" s="1" t="s">
        <v>13</v>
      </c>
      <c r="I612" s="1" t="s">
        <v>14</v>
      </c>
      <c r="J612" s="14">
        <v>0.64260416666666664</v>
      </c>
      <c r="K612" s="15">
        <v>44751</v>
      </c>
      <c r="M612" s="2">
        <v>3.2149999999999999</v>
      </c>
      <c r="O612" s="2">
        <f t="shared" si="61"/>
        <v>3.145</v>
      </c>
      <c r="P612" s="2">
        <f t="shared" si="62"/>
        <v>72.15428571428572</v>
      </c>
      <c r="Q612" s="2">
        <f t="shared" si="63"/>
        <v>0.36425000000002455</v>
      </c>
      <c r="R612" s="2">
        <f t="shared" si="64"/>
        <v>0.36088571428573868</v>
      </c>
      <c r="S612" s="2">
        <f t="shared" si="65"/>
        <v>3.3642857142858751E-3</v>
      </c>
    </row>
    <row r="613" spans="2:19" x14ac:dyDescent="0.25">
      <c r="B613" s="1">
        <f t="shared" si="66"/>
        <v>607</v>
      </c>
      <c r="C613" s="1">
        <v>884</v>
      </c>
      <c r="D613" s="13">
        <v>72.900000000000006</v>
      </c>
      <c r="E613" s="1" t="s">
        <v>11</v>
      </c>
      <c r="F613" s="2">
        <v>3.24</v>
      </c>
      <c r="G613" s="1" t="s">
        <v>12</v>
      </c>
      <c r="H613" s="1" t="s">
        <v>13</v>
      </c>
      <c r="I613" s="1" t="s">
        <v>14</v>
      </c>
      <c r="J613" s="14">
        <v>0.64260416666666664</v>
      </c>
      <c r="K613" s="15">
        <v>44751</v>
      </c>
      <c r="M613" s="2">
        <v>3.22</v>
      </c>
      <c r="O613" s="2">
        <f t="shared" si="61"/>
        <v>3.1500000000000004</v>
      </c>
      <c r="P613" s="2">
        <f t="shared" si="62"/>
        <v>72.200000000000017</v>
      </c>
      <c r="Q613" s="2">
        <f t="shared" si="63"/>
        <v>0.36449999999999227</v>
      </c>
      <c r="R613" s="2">
        <f t="shared" si="64"/>
        <v>0.36111428571427806</v>
      </c>
      <c r="S613" s="2">
        <f t="shared" si="65"/>
        <v>3.3857142857142142E-3</v>
      </c>
    </row>
    <row r="614" spans="2:19" x14ac:dyDescent="0.25">
      <c r="B614" s="1">
        <f t="shared" si="66"/>
        <v>608</v>
      </c>
      <c r="C614" s="1">
        <v>885</v>
      </c>
      <c r="D614" s="13">
        <v>72.900000000000006</v>
      </c>
      <c r="E614" s="1" t="s">
        <v>11</v>
      </c>
      <c r="F614" s="2">
        <v>3.2450000000000001</v>
      </c>
      <c r="G614" s="1" t="s">
        <v>12</v>
      </c>
      <c r="H614" s="1" t="s">
        <v>13</v>
      </c>
      <c r="I614" s="1" t="s">
        <v>14</v>
      </c>
      <c r="J614" s="14">
        <v>0.64260416666666664</v>
      </c>
      <c r="K614" s="15">
        <v>44751</v>
      </c>
      <c r="M614" s="2">
        <v>3.2250000000000001</v>
      </c>
      <c r="O614" s="2">
        <f t="shared" si="61"/>
        <v>3.1550000000000002</v>
      </c>
      <c r="P614" s="2">
        <f t="shared" si="62"/>
        <v>72.2457142857143</v>
      </c>
      <c r="Q614" s="2">
        <f t="shared" si="63"/>
        <v>0.36449999999999227</v>
      </c>
      <c r="R614" s="2">
        <f t="shared" si="64"/>
        <v>0.36134285714284953</v>
      </c>
      <c r="S614" s="2">
        <f t="shared" si="65"/>
        <v>3.1571428571427473E-3</v>
      </c>
    </row>
    <row r="615" spans="2:19" x14ac:dyDescent="0.25">
      <c r="B615" s="1">
        <f t="shared" si="66"/>
        <v>609</v>
      </c>
      <c r="C615" s="1">
        <v>886</v>
      </c>
      <c r="D615" s="13">
        <v>72.900000000000006</v>
      </c>
      <c r="E615" s="1" t="s">
        <v>11</v>
      </c>
      <c r="F615" s="2">
        <v>3.25</v>
      </c>
      <c r="G615" s="1" t="s">
        <v>12</v>
      </c>
      <c r="H615" s="1" t="s">
        <v>13</v>
      </c>
      <c r="I615" s="1" t="s">
        <v>14</v>
      </c>
      <c r="J615" s="14">
        <v>0.64260416666666664</v>
      </c>
      <c r="K615" s="15">
        <v>44751</v>
      </c>
      <c r="M615" s="2">
        <v>3.23</v>
      </c>
      <c r="O615" s="2">
        <f t="shared" si="61"/>
        <v>3.16</v>
      </c>
      <c r="P615" s="2">
        <f t="shared" si="62"/>
        <v>72.291428571428582</v>
      </c>
      <c r="Q615" s="2">
        <f t="shared" si="63"/>
        <v>0.36449999999999227</v>
      </c>
      <c r="R615" s="2">
        <f t="shared" si="64"/>
        <v>0.36157142857142088</v>
      </c>
      <c r="S615" s="2">
        <f t="shared" si="65"/>
        <v>2.9285714285713915E-3</v>
      </c>
    </row>
    <row r="616" spans="2:19" x14ac:dyDescent="0.25">
      <c r="B616" s="1">
        <f t="shared" si="66"/>
        <v>610</v>
      </c>
      <c r="C616" s="1">
        <v>888</v>
      </c>
      <c r="D616" s="13">
        <v>72.900000000000006</v>
      </c>
      <c r="E616" s="1" t="s">
        <v>11</v>
      </c>
      <c r="F616" s="2">
        <v>3.2549999999999999</v>
      </c>
      <c r="G616" s="1" t="s">
        <v>12</v>
      </c>
      <c r="H616" s="1" t="s">
        <v>13</v>
      </c>
      <c r="I616" s="1" t="s">
        <v>14</v>
      </c>
      <c r="J616" s="14">
        <v>0.64260416666666664</v>
      </c>
      <c r="K616" s="15">
        <v>44751</v>
      </c>
      <c r="M616" s="2">
        <v>3.2349999999999999</v>
      </c>
      <c r="O616" s="2">
        <f t="shared" si="61"/>
        <v>3.165</v>
      </c>
      <c r="P616" s="2">
        <f t="shared" si="62"/>
        <v>72.337142857142865</v>
      </c>
      <c r="Q616" s="2">
        <f t="shared" si="63"/>
        <v>0.36449999999999227</v>
      </c>
      <c r="R616" s="2">
        <f t="shared" si="64"/>
        <v>0.36179999999999235</v>
      </c>
      <c r="S616" s="2">
        <f t="shared" si="65"/>
        <v>2.6999999999999247E-3</v>
      </c>
    </row>
    <row r="617" spans="2:19" x14ac:dyDescent="0.25">
      <c r="B617" s="1">
        <f t="shared" si="66"/>
        <v>611</v>
      </c>
      <c r="C617" s="1">
        <v>889</v>
      </c>
      <c r="D617" s="13">
        <v>72.900000000000006</v>
      </c>
      <c r="E617" s="1" t="s">
        <v>11</v>
      </c>
      <c r="F617" s="2">
        <v>3.26</v>
      </c>
      <c r="G617" s="1" t="s">
        <v>12</v>
      </c>
      <c r="H617" s="1" t="s">
        <v>13</v>
      </c>
      <c r="I617" s="1" t="s">
        <v>14</v>
      </c>
      <c r="J617" s="14">
        <v>0.64261574074074079</v>
      </c>
      <c r="K617" s="15">
        <v>44751</v>
      </c>
      <c r="M617" s="2">
        <v>3.2399999999999998</v>
      </c>
      <c r="O617" s="2">
        <f t="shared" si="61"/>
        <v>3.17</v>
      </c>
      <c r="P617" s="2">
        <f t="shared" si="62"/>
        <v>72.382857142857148</v>
      </c>
      <c r="Q617" s="2">
        <f t="shared" si="63"/>
        <v>0.36475000000002461</v>
      </c>
      <c r="R617" s="2">
        <f t="shared" si="64"/>
        <v>0.3620285714285959</v>
      </c>
      <c r="S617" s="2">
        <f t="shared" si="65"/>
        <v>2.7214285714287079E-3</v>
      </c>
    </row>
    <row r="618" spans="2:19" x14ac:dyDescent="0.25">
      <c r="B618" s="1">
        <f t="shared" si="66"/>
        <v>612</v>
      </c>
      <c r="C618" s="1">
        <v>890</v>
      </c>
      <c r="D618" s="13">
        <v>73</v>
      </c>
      <c r="E618" s="1" t="s">
        <v>11</v>
      </c>
      <c r="F618" s="2">
        <v>3.2650000000000001</v>
      </c>
      <c r="G618" s="1" t="s">
        <v>12</v>
      </c>
      <c r="H618" s="1" t="s">
        <v>13</v>
      </c>
      <c r="I618" s="1" t="s">
        <v>14</v>
      </c>
      <c r="J618" s="14">
        <v>0.64261574074074079</v>
      </c>
      <c r="K618" s="15">
        <v>44751</v>
      </c>
      <c r="M618" s="2">
        <v>3.2450000000000001</v>
      </c>
      <c r="O618" s="2">
        <f t="shared" si="61"/>
        <v>3.1750000000000003</v>
      </c>
      <c r="P618" s="2">
        <f t="shared" si="62"/>
        <v>72.428571428571445</v>
      </c>
      <c r="Q618" s="2">
        <f t="shared" si="63"/>
        <v>0.36499999999999222</v>
      </c>
      <c r="R618" s="2">
        <f t="shared" si="64"/>
        <v>0.36225714285713517</v>
      </c>
      <c r="S618" s="2">
        <f t="shared" si="65"/>
        <v>2.742857142857047E-3</v>
      </c>
    </row>
    <row r="619" spans="2:19" x14ac:dyDescent="0.25">
      <c r="B619" s="1">
        <f t="shared" si="66"/>
        <v>613</v>
      </c>
      <c r="C619" s="1">
        <v>892</v>
      </c>
      <c r="D619" s="13">
        <v>73</v>
      </c>
      <c r="E619" s="1" t="s">
        <v>11</v>
      </c>
      <c r="F619" s="2">
        <v>3.27</v>
      </c>
      <c r="G619" s="1" t="s">
        <v>12</v>
      </c>
      <c r="H619" s="1" t="s">
        <v>13</v>
      </c>
      <c r="I619" s="1" t="s">
        <v>14</v>
      </c>
      <c r="J619" s="14">
        <v>0.64261574074074079</v>
      </c>
      <c r="K619" s="15">
        <v>44751</v>
      </c>
      <c r="M619" s="2">
        <v>3.25</v>
      </c>
      <c r="O619" s="2">
        <f t="shared" si="61"/>
        <v>3.18</v>
      </c>
      <c r="P619" s="2">
        <f t="shared" si="62"/>
        <v>72.474285714285728</v>
      </c>
      <c r="Q619" s="2">
        <f t="shared" si="63"/>
        <v>0.36499999999999222</v>
      </c>
      <c r="R619" s="2">
        <f t="shared" si="64"/>
        <v>0.36248571428570664</v>
      </c>
      <c r="S619" s="2">
        <f t="shared" si="65"/>
        <v>2.5142857142855801E-3</v>
      </c>
    </row>
    <row r="620" spans="2:19" x14ac:dyDescent="0.25">
      <c r="B620" s="1">
        <f t="shared" si="66"/>
        <v>614</v>
      </c>
      <c r="C620" s="1">
        <v>893</v>
      </c>
      <c r="D620" s="13">
        <v>73</v>
      </c>
      <c r="E620" s="1" t="s">
        <v>11</v>
      </c>
      <c r="F620" s="2">
        <v>3.2749999999999999</v>
      </c>
      <c r="G620" s="1" t="s">
        <v>12</v>
      </c>
      <c r="H620" s="1" t="s">
        <v>13</v>
      </c>
      <c r="I620" s="1" t="s">
        <v>14</v>
      </c>
      <c r="J620" s="14">
        <v>0.64261574074074079</v>
      </c>
      <c r="K620" s="15">
        <v>44751</v>
      </c>
      <c r="M620" s="2">
        <v>3.2549999999999999</v>
      </c>
      <c r="O620" s="2">
        <f t="shared" si="61"/>
        <v>3.1850000000000001</v>
      </c>
      <c r="P620" s="2">
        <f t="shared" si="62"/>
        <v>72.52000000000001</v>
      </c>
      <c r="Q620" s="2">
        <f t="shared" si="63"/>
        <v>0.36524999999999219</v>
      </c>
      <c r="R620" s="2">
        <f t="shared" si="64"/>
        <v>0.362714285714278</v>
      </c>
      <c r="S620" s="2">
        <f t="shared" si="65"/>
        <v>2.5357142857141968E-3</v>
      </c>
    </row>
    <row r="621" spans="2:19" x14ac:dyDescent="0.25">
      <c r="B621" s="1">
        <f t="shared" si="66"/>
        <v>615</v>
      </c>
      <c r="C621" s="1">
        <v>895</v>
      </c>
      <c r="D621" s="13">
        <v>73.099999999999994</v>
      </c>
      <c r="E621" s="1" t="s">
        <v>11</v>
      </c>
      <c r="F621" s="2">
        <v>3.28</v>
      </c>
      <c r="G621" s="1" t="s">
        <v>12</v>
      </c>
      <c r="H621" s="1" t="s">
        <v>13</v>
      </c>
      <c r="I621" s="1" t="s">
        <v>14</v>
      </c>
      <c r="J621" s="14">
        <v>0.64261574074074079</v>
      </c>
      <c r="K621" s="15">
        <v>44751</v>
      </c>
      <c r="M621" s="2">
        <v>3.26</v>
      </c>
      <c r="O621" s="2">
        <f t="shared" si="61"/>
        <v>3.19</v>
      </c>
      <c r="P621" s="2">
        <f t="shared" si="62"/>
        <v>72.565714285714293</v>
      </c>
      <c r="Q621" s="2">
        <f t="shared" si="63"/>
        <v>0.36550000000002464</v>
      </c>
      <c r="R621" s="2">
        <f t="shared" si="64"/>
        <v>0.36294285714288171</v>
      </c>
      <c r="S621" s="2">
        <f t="shared" si="65"/>
        <v>2.5571428571429244E-3</v>
      </c>
    </row>
    <row r="622" spans="2:19" x14ac:dyDescent="0.25">
      <c r="B622" s="1">
        <f t="shared" si="66"/>
        <v>616</v>
      </c>
      <c r="C622" s="1">
        <v>896</v>
      </c>
      <c r="D622" s="13">
        <v>73.099999999999994</v>
      </c>
      <c r="E622" s="1" t="s">
        <v>11</v>
      </c>
      <c r="F622" s="2">
        <v>3.2850000000000001</v>
      </c>
      <c r="G622" s="1" t="s">
        <v>12</v>
      </c>
      <c r="H622" s="1" t="s">
        <v>13</v>
      </c>
      <c r="I622" s="1" t="s">
        <v>14</v>
      </c>
      <c r="J622" s="14">
        <v>0.64261574074074079</v>
      </c>
      <c r="K622" s="15">
        <v>44751</v>
      </c>
      <c r="M622" s="2">
        <v>3.2650000000000001</v>
      </c>
      <c r="O622" s="2">
        <f t="shared" si="61"/>
        <v>3.1950000000000003</v>
      </c>
      <c r="P622" s="2">
        <f t="shared" si="62"/>
        <v>72.611428571428576</v>
      </c>
      <c r="Q622" s="2">
        <f t="shared" si="63"/>
        <v>0.36574999999999225</v>
      </c>
      <c r="R622" s="2">
        <f t="shared" si="64"/>
        <v>0.36317142857142087</v>
      </c>
      <c r="S622" s="2">
        <f t="shared" si="65"/>
        <v>2.5785714285713746E-3</v>
      </c>
    </row>
    <row r="623" spans="2:19" x14ac:dyDescent="0.25">
      <c r="B623" s="1">
        <f t="shared" si="66"/>
        <v>617</v>
      </c>
      <c r="C623" s="1">
        <v>898</v>
      </c>
      <c r="D623" s="13">
        <v>73.2</v>
      </c>
      <c r="E623" s="1" t="s">
        <v>11</v>
      </c>
      <c r="F623" s="2">
        <v>3.29</v>
      </c>
      <c r="G623" s="1" t="s">
        <v>12</v>
      </c>
      <c r="H623" s="1" t="s">
        <v>13</v>
      </c>
      <c r="I623" s="1" t="s">
        <v>14</v>
      </c>
      <c r="J623" s="14">
        <v>0.64261574074074079</v>
      </c>
      <c r="K623" s="15">
        <v>44751</v>
      </c>
      <c r="M623" s="2">
        <v>3.27</v>
      </c>
      <c r="O623" s="2">
        <f t="shared" si="61"/>
        <v>3.2</v>
      </c>
      <c r="P623" s="2">
        <f t="shared" si="62"/>
        <v>72.657142857142873</v>
      </c>
      <c r="Q623" s="2">
        <f t="shared" si="63"/>
        <v>0.36599999999999222</v>
      </c>
      <c r="R623" s="2">
        <f t="shared" si="64"/>
        <v>0.36339999999999228</v>
      </c>
      <c r="S623" s="2">
        <f t="shared" si="65"/>
        <v>2.5999999999999357E-3</v>
      </c>
    </row>
    <row r="624" spans="2:19" x14ac:dyDescent="0.25">
      <c r="B624" s="1">
        <f t="shared" si="66"/>
        <v>618</v>
      </c>
      <c r="C624" s="1">
        <v>899</v>
      </c>
      <c r="D624" s="13">
        <v>73.2</v>
      </c>
      <c r="E624" s="1" t="s">
        <v>11</v>
      </c>
      <c r="F624" s="2">
        <v>3.2949999999999999</v>
      </c>
      <c r="G624" s="1" t="s">
        <v>12</v>
      </c>
      <c r="H624" s="1" t="s">
        <v>13</v>
      </c>
      <c r="I624" s="1" t="s">
        <v>14</v>
      </c>
      <c r="J624" s="14">
        <v>0.64262731481481483</v>
      </c>
      <c r="K624" s="15">
        <v>44751</v>
      </c>
      <c r="M624" s="2">
        <v>3.2749999999999999</v>
      </c>
      <c r="O624" s="2">
        <f t="shared" si="61"/>
        <v>3.2050000000000001</v>
      </c>
      <c r="P624" s="2">
        <f t="shared" si="62"/>
        <v>72.702857142857155</v>
      </c>
      <c r="Q624" s="2">
        <f t="shared" si="63"/>
        <v>0.36599999999999222</v>
      </c>
      <c r="R624" s="2">
        <f t="shared" si="64"/>
        <v>0.36362857142856375</v>
      </c>
      <c r="S624" s="2">
        <f t="shared" si="65"/>
        <v>2.3714285714284689E-3</v>
      </c>
    </row>
    <row r="625" spans="2:19" x14ac:dyDescent="0.25">
      <c r="B625" s="1">
        <f t="shared" si="66"/>
        <v>619</v>
      </c>
      <c r="C625" s="1">
        <v>900</v>
      </c>
      <c r="D625" s="13">
        <v>73.2</v>
      </c>
      <c r="E625" s="1" t="s">
        <v>11</v>
      </c>
      <c r="F625" s="2">
        <v>3.3</v>
      </c>
      <c r="G625" s="1" t="s">
        <v>12</v>
      </c>
      <c r="H625" s="1" t="s">
        <v>13</v>
      </c>
      <c r="I625" s="1" t="s">
        <v>14</v>
      </c>
      <c r="J625" s="14">
        <v>0.64262731481481483</v>
      </c>
      <c r="K625" s="15">
        <v>44751</v>
      </c>
      <c r="M625" s="2">
        <v>3.28</v>
      </c>
      <c r="O625" s="2">
        <f t="shared" si="61"/>
        <v>3.21</v>
      </c>
      <c r="P625" s="2">
        <f t="shared" si="62"/>
        <v>72.748571428571438</v>
      </c>
      <c r="Q625" s="2">
        <f t="shared" si="63"/>
        <v>0.36625000000002472</v>
      </c>
      <c r="R625" s="2">
        <f t="shared" si="64"/>
        <v>0.36385714285716741</v>
      </c>
      <c r="S625" s="2">
        <f t="shared" si="65"/>
        <v>2.3928571428573076E-3</v>
      </c>
    </row>
    <row r="626" spans="2:19" x14ac:dyDescent="0.25">
      <c r="B626" s="1">
        <f t="shared" si="66"/>
        <v>620</v>
      </c>
      <c r="C626" s="1">
        <v>901</v>
      </c>
      <c r="D626" s="13">
        <v>73.3</v>
      </c>
      <c r="E626" s="1" t="s">
        <v>11</v>
      </c>
      <c r="F626" s="2">
        <v>3.3050000000000002</v>
      </c>
      <c r="G626" s="1" t="s">
        <v>12</v>
      </c>
      <c r="H626" s="1" t="s">
        <v>13</v>
      </c>
      <c r="I626" s="1" t="s">
        <v>14</v>
      </c>
      <c r="J626" s="14">
        <v>0.64262731481481483</v>
      </c>
      <c r="K626" s="15">
        <v>44751</v>
      </c>
      <c r="M626" s="2">
        <v>3.2850000000000001</v>
      </c>
      <c r="O626" s="2">
        <f t="shared" si="61"/>
        <v>3.2150000000000003</v>
      </c>
      <c r="P626" s="2">
        <f t="shared" si="62"/>
        <v>72.794285714285721</v>
      </c>
      <c r="Q626" s="2">
        <f t="shared" si="63"/>
        <v>0.36674999999999214</v>
      </c>
      <c r="R626" s="2">
        <f t="shared" si="64"/>
        <v>0.36408571428570657</v>
      </c>
      <c r="S626" s="2">
        <f t="shared" si="65"/>
        <v>2.6642857142855636E-3</v>
      </c>
    </row>
    <row r="627" spans="2:19" x14ac:dyDescent="0.25">
      <c r="B627" s="1">
        <f t="shared" si="66"/>
        <v>621</v>
      </c>
      <c r="C627" s="1">
        <v>902</v>
      </c>
      <c r="D627" s="13">
        <v>73.400000000000006</v>
      </c>
      <c r="E627" s="1" t="s">
        <v>11</v>
      </c>
      <c r="F627" s="2">
        <v>3.31</v>
      </c>
      <c r="G627" s="1" t="s">
        <v>12</v>
      </c>
      <c r="H627" s="1" t="s">
        <v>13</v>
      </c>
      <c r="I627" s="1" t="s">
        <v>14</v>
      </c>
      <c r="J627" s="14">
        <v>0.64262731481481483</v>
      </c>
      <c r="K627" s="15">
        <v>44751</v>
      </c>
      <c r="M627" s="2">
        <v>3.29</v>
      </c>
      <c r="O627" s="2">
        <f t="shared" si="61"/>
        <v>3.22</v>
      </c>
      <c r="P627" s="2">
        <f t="shared" si="62"/>
        <v>72.84</v>
      </c>
      <c r="Q627" s="2">
        <f t="shared" si="63"/>
        <v>0.36699999999999222</v>
      </c>
      <c r="R627" s="2">
        <f t="shared" si="64"/>
        <v>0.36431428571427799</v>
      </c>
      <c r="S627" s="2">
        <f t="shared" si="65"/>
        <v>2.6857142857142358E-3</v>
      </c>
    </row>
    <row r="628" spans="2:19" x14ac:dyDescent="0.25">
      <c r="B628" s="1">
        <f t="shared" si="66"/>
        <v>622</v>
      </c>
      <c r="C628" s="1">
        <v>904</v>
      </c>
      <c r="D628" s="13">
        <v>73.400000000000006</v>
      </c>
      <c r="E628" s="1" t="s">
        <v>11</v>
      </c>
      <c r="F628" s="2">
        <v>3.3149999999999999</v>
      </c>
      <c r="G628" s="1" t="s">
        <v>12</v>
      </c>
      <c r="H628" s="1" t="s">
        <v>13</v>
      </c>
      <c r="I628" s="1" t="s">
        <v>14</v>
      </c>
      <c r="J628" s="14">
        <v>0.64262731481481483</v>
      </c>
      <c r="K628" s="15">
        <v>44751</v>
      </c>
      <c r="M628" s="2">
        <v>3.2949999999999999</v>
      </c>
      <c r="O628" s="2">
        <f t="shared" si="61"/>
        <v>3.2250000000000001</v>
      </c>
      <c r="P628" s="2">
        <f t="shared" si="62"/>
        <v>72.8857142857143</v>
      </c>
      <c r="Q628" s="2">
        <f t="shared" si="63"/>
        <v>0.36699999999999222</v>
      </c>
      <c r="R628" s="2">
        <f t="shared" si="64"/>
        <v>0.3645428571428494</v>
      </c>
      <c r="S628" s="2">
        <f t="shared" si="65"/>
        <v>2.4571428571428244E-3</v>
      </c>
    </row>
    <row r="629" spans="2:19" x14ac:dyDescent="0.25">
      <c r="B629" s="1">
        <f t="shared" si="66"/>
        <v>623</v>
      </c>
      <c r="C629" s="1">
        <v>905</v>
      </c>
      <c r="D629" s="13">
        <v>73.400000000000006</v>
      </c>
      <c r="E629" s="1" t="s">
        <v>11</v>
      </c>
      <c r="F629" s="2">
        <v>3.32</v>
      </c>
      <c r="G629" s="1" t="s">
        <v>12</v>
      </c>
      <c r="H629" s="1" t="s">
        <v>13</v>
      </c>
      <c r="I629" s="1" t="s">
        <v>14</v>
      </c>
      <c r="J629" s="14">
        <v>0.64262731481481483</v>
      </c>
      <c r="K629" s="15">
        <v>44751</v>
      </c>
      <c r="M629" s="2">
        <v>3.3</v>
      </c>
      <c r="O629" s="2">
        <f t="shared" si="61"/>
        <v>3.23</v>
      </c>
      <c r="P629" s="2">
        <f t="shared" si="62"/>
        <v>72.931428571428583</v>
      </c>
      <c r="Q629" s="2">
        <f t="shared" si="63"/>
        <v>0.36700000000002481</v>
      </c>
      <c r="R629" s="2">
        <f t="shared" si="64"/>
        <v>0.36477142857145328</v>
      </c>
      <c r="S629" s="2">
        <f t="shared" si="65"/>
        <v>2.2285714285715241E-3</v>
      </c>
    </row>
    <row r="630" spans="2:19" x14ac:dyDescent="0.25">
      <c r="B630" s="1">
        <f t="shared" si="66"/>
        <v>624</v>
      </c>
      <c r="C630" s="1">
        <v>906</v>
      </c>
      <c r="D630" s="13">
        <v>73.400000000000006</v>
      </c>
      <c r="E630" s="1" t="s">
        <v>11</v>
      </c>
      <c r="F630" s="2">
        <v>3.3250000000000002</v>
      </c>
      <c r="G630" s="1" t="s">
        <v>12</v>
      </c>
      <c r="H630" s="1" t="s">
        <v>13</v>
      </c>
      <c r="I630" s="1" t="s">
        <v>14</v>
      </c>
      <c r="J630" s="14">
        <v>0.64262731481481483</v>
      </c>
      <c r="K630" s="15">
        <v>44751</v>
      </c>
      <c r="M630" s="2">
        <v>3.3050000000000002</v>
      </c>
      <c r="O630" s="2">
        <f t="shared" si="61"/>
        <v>3.2350000000000003</v>
      </c>
      <c r="P630" s="2">
        <f t="shared" si="62"/>
        <v>72.977142857142866</v>
      </c>
      <c r="Q630" s="2">
        <f t="shared" si="63"/>
        <v>0.36724999999999219</v>
      </c>
      <c r="R630" s="2">
        <f t="shared" si="64"/>
        <v>0.36499999999999222</v>
      </c>
      <c r="S630" s="2">
        <f t="shared" si="65"/>
        <v>2.2499999999999742E-3</v>
      </c>
    </row>
    <row r="631" spans="2:19" x14ac:dyDescent="0.25">
      <c r="B631" s="1">
        <f t="shared" si="66"/>
        <v>625</v>
      </c>
      <c r="C631" s="1">
        <v>907</v>
      </c>
      <c r="D631" s="13">
        <v>73.5</v>
      </c>
      <c r="E631" s="1" t="s">
        <v>11</v>
      </c>
      <c r="F631" s="2">
        <v>3.33</v>
      </c>
      <c r="G631" s="1" t="s">
        <v>12</v>
      </c>
      <c r="H631" s="1" t="s">
        <v>13</v>
      </c>
      <c r="I631" s="1" t="s">
        <v>14</v>
      </c>
      <c r="J631" s="14">
        <v>0.64262731481481483</v>
      </c>
      <c r="K631" s="15">
        <v>44751</v>
      </c>
      <c r="M631" s="2">
        <v>3.31</v>
      </c>
      <c r="O631" s="2">
        <f t="shared" si="61"/>
        <v>3.24</v>
      </c>
      <c r="P631" s="2">
        <f t="shared" si="62"/>
        <v>73.022857142857148</v>
      </c>
      <c r="Q631" s="2">
        <f t="shared" si="63"/>
        <v>0.36749999999999217</v>
      </c>
      <c r="R631" s="2">
        <f t="shared" si="64"/>
        <v>0.36522857142856369</v>
      </c>
      <c r="S631" s="2">
        <f t="shared" si="65"/>
        <v>2.2714285714284799E-3</v>
      </c>
    </row>
    <row r="632" spans="2:19" x14ac:dyDescent="0.25">
      <c r="B632" s="1">
        <f t="shared" si="66"/>
        <v>626</v>
      </c>
      <c r="C632" s="1">
        <v>909</v>
      </c>
      <c r="D632" s="13">
        <v>73.5</v>
      </c>
      <c r="E632" s="1" t="s">
        <v>11</v>
      </c>
      <c r="F632" s="2">
        <v>3.335</v>
      </c>
      <c r="G632" s="1" t="s">
        <v>12</v>
      </c>
      <c r="H632" s="1" t="s">
        <v>13</v>
      </c>
      <c r="I632" s="1" t="s">
        <v>14</v>
      </c>
      <c r="J632" s="14">
        <v>0.64263888888888887</v>
      </c>
      <c r="K632" s="15">
        <v>44751</v>
      </c>
      <c r="M632" s="2">
        <v>3.3149999999999999</v>
      </c>
      <c r="O632" s="2">
        <f t="shared" si="61"/>
        <v>3.2450000000000001</v>
      </c>
      <c r="P632" s="2">
        <f t="shared" si="62"/>
        <v>73.068571428571431</v>
      </c>
      <c r="Q632" s="2">
        <f t="shared" si="63"/>
        <v>0.36774999999999214</v>
      </c>
      <c r="R632" s="2">
        <f t="shared" si="64"/>
        <v>0.3654571428571351</v>
      </c>
      <c r="S632" s="2">
        <f t="shared" si="65"/>
        <v>2.292857142857041E-3</v>
      </c>
    </row>
    <row r="633" spans="2:19" x14ac:dyDescent="0.25">
      <c r="B633" s="1">
        <f t="shared" si="66"/>
        <v>627</v>
      </c>
      <c r="C633" s="1">
        <v>910</v>
      </c>
      <c r="D633" s="13">
        <v>73.599999999999994</v>
      </c>
      <c r="E633" s="1" t="s">
        <v>11</v>
      </c>
      <c r="F633" s="2">
        <v>3.34</v>
      </c>
      <c r="G633" s="1" t="s">
        <v>12</v>
      </c>
      <c r="H633" s="1" t="s">
        <v>13</v>
      </c>
      <c r="I633" s="1" t="s">
        <v>14</v>
      </c>
      <c r="J633" s="14">
        <v>0.64263888888888887</v>
      </c>
      <c r="K633" s="15">
        <v>44751</v>
      </c>
      <c r="M633" s="2">
        <v>3.32</v>
      </c>
      <c r="O633" s="2">
        <f t="shared" si="61"/>
        <v>3.25</v>
      </c>
      <c r="P633" s="2">
        <f t="shared" si="62"/>
        <v>73.114285714285728</v>
      </c>
      <c r="Q633" s="2">
        <f t="shared" si="63"/>
        <v>0.36800000000002481</v>
      </c>
      <c r="R633" s="2">
        <f t="shared" si="64"/>
        <v>0.36568571428573898</v>
      </c>
      <c r="S633" s="2">
        <f t="shared" si="65"/>
        <v>2.3142857142858242E-3</v>
      </c>
    </row>
    <row r="634" spans="2:19" x14ac:dyDescent="0.25">
      <c r="B634" s="1">
        <f t="shared" si="66"/>
        <v>628</v>
      </c>
      <c r="C634" s="1">
        <v>912</v>
      </c>
      <c r="D634" s="13">
        <v>73.599999999999994</v>
      </c>
      <c r="E634" s="1" t="s">
        <v>11</v>
      </c>
      <c r="F634" s="2">
        <v>3.3450000000000002</v>
      </c>
      <c r="G634" s="1" t="s">
        <v>12</v>
      </c>
      <c r="H634" s="1" t="s">
        <v>13</v>
      </c>
      <c r="I634" s="1" t="s">
        <v>14</v>
      </c>
      <c r="J634" s="14">
        <v>0.64263888888888887</v>
      </c>
      <c r="K634" s="15">
        <v>44751</v>
      </c>
      <c r="M634" s="2">
        <v>3.3250000000000002</v>
      </c>
      <c r="O634" s="2">
        <f t="shared" si="61"/>
        <v>3.2550000000000003</v>
      </c>
      <c r="P634" s="2">
        <f t="shared" si="62"/>
        <v>73.160000000000011</v>
      </c>
      <c r="Q634" s="2">
        <f t="shared" si="63"/>
        <v>0.36799999999999211</v>
      </c>
      <c r="R634" s="2">
        <f t="shared" si="64"/>
        <v>0.36591428571427798</v>
      </c>
      <c r="S634" s="2">
        <f t="shared" si="65"/>
        <v>2.0857142857141353E-3</v>
      </c>
    </row>
    <row r="635" spans="2:19" x14ac:dyDescent="0.25">
      <c r="B635" s="1">
        <f t="shared" si="66"/>
        <v>629</v>
      </c>
      <c r="C635" s="1">
        <v>915</v>
      </c>
      <c r="D635" s="13">
        <v>73.599999999999994</v>
      </c>
      <c r="E635" s="1" t="s">
        <v>11</v>
      </c>
      <c r="F635" s="2">
        <v>3.35</v>
      </c>
      <c r="G635" s="1" t="s">
        <v>12</v>
      </c>
      <c r="H635" s="1" t="s">
        <v>13</v>
      </c>
      <c r="I635" s="1" t="s">
        <v>14</v>
      </c>
      <c r="J635" s="14">
        <v>0.64263888888888887</v>
      </c>
      <c r="K635" s="15">
        <v>44751</v>
      </c>
      <c r="M635" s="2">
        <v>3.33</v>
      </c>
      <c r="O635" s="2">
        <f t="shared" si="61"/>
        <v>3.2600000000000002</v>
      </c>
      <c r="P635" s="2">
        <f t="shared" si="62"/>
        <v>73.205714285714294</v>
      </c>
      <c r="Q635" s="2">
        <f t="shared" si="63"/>
        <v>0.36824999999999219</v>
      </c>
      <c r="R635" s="2">
        <f t="shared" si="64"/>
        <v>0.36614285714284933</v>
      </c>
      <c r="S635" s="2">
        <f t="shared" si="65"/>
        <v>2.107142857142863E-3</v>
      </c>
    </row>
    <row r="636" spans="2:19" x14ac:dyDescent="0.25">
      <c r="B636" s="1">
        <f t="shared" si="66"/>
        <v>630</v>
      </c>
      <c r="C636" s="1">
        <v>919</v>
      </c>
      <c r="D636" s="13">
        <v>73.7</v>
      </c>
      <c r="E636" s="1" t="s">
        <v>11</v>
      </c>
      <c r="F636" s="2">
        <v>3.355</v>
      </c>
      <c r="G636" s="1" t="s">
        <v>12</v>
      </c>
      <c r="H636" s="1" t="s">
        <v>13</v>
      </c>
      <c r="I636" s="1" t="s">
        <v>14</v>
      </c>
      <c r="J636" s="14">
        <v>0.64265046296296291</v>
      </c>
      <c r="K636" s="15">
        <v>44751</v>
      </c>
      <c r="M636" s="2">
        <v>3.335</v>
      </c>
      <c r="O636" s="2">
        <f t="shared" si="61"/>
        <v>3.2650000000000001</v>
      </c>
      <c r="P636" s="2">
        <f t="shared" si="62"/>
        <v>73.251428571428576</v>
      </c>
      <c r="Q636" s="2">
        <f t="shared" si="63"/>
        <v>0.36874999999999214</v>
      </c>
      <c r="R636" s="2">
        <f t="shared" si="64"/>
        <v>0.3663714285714208</v>
      </c>
      <c r="S636" s="2">
        <f t="shared" si="65"/>
        <v>2.3785714285713411E-3</v>
      </c>
    </row>
    <row r="637" spans="2:19" x14ac:dyDescent="0.25">
      <c r="B637" s="1">
        <f t="shared" si="66"/>
        <v>631</v>
      </c>
      <c r="C637" s="1">
        <v>922</v>
      </c>
      <c r="D637" s="13">
        <v>73.8</v>
      </c>
      <c r="E637" s="1" t="s">
        <v>11</v>
      </c>
      <c r="F637" s="2">
        <v>3.36</v>
      </c>
      <c r="G637" s="1" t="s">
        <v>12</v>
      </c>
      <c r="H637" s="1" t="s">
        <v>13</v>
      </c>
      <c r="I637" s="1" t="s">
        <v>14</v>
      </c>
      <c r="J637" s="14">
        <v>0.64265046296296291</v>
      </c>
      <c r="K637" s="15">
        <v>44751</v>
      </c>
      <c r="M637" s="2">
        <v>3.34</v>
      </c>
      <c r="O637" s="2">
        <f t="shared" si="61"/>
        <v>3.27</v>
      </c>
      <c r="P637" s="2">
        <f t="shared" si="62"/>
        <v>73.297142857142859</v>
      </c>
      <c r="Q637" s="2">
        <f t="shared" si="63"/>
        <v>0.36900000000002492</v>
      </c>
      <c r="R637" s="2">
        <f t="shared" si="64"/>
        <v>0.36660000000002479</v>
      </c>
      <c r="S637" s="2">
        <f t="shared" si="65"/>
        <v>2.4000000000001243E-3</v>
      </c>
    </row>
    <row r="638" spans="2:19" x14ac:dyDescent="0.25">
      <c r="B638" s="1">
        <f t="shared" si="66"/>
        <v>632</v>
      </c>
      <c r="C638" s="1">
        <v>923</v>
      </c>
      <c r="D638" s="13">
        <v>73.8</v>
      </c>
      <c r="E638" s="1" t="s">
        <v>11</v>
      </c>
      <c r="F638" s="2">
        <v>3.3650000000000002</v>
      </c>
      <c r="G638" s="1" t="s">
        <v>12</v>
      </c>
      <c r="H638" s="1" t="s">
        <v>13</v>
      </c>
      <c r="I638" s="1" t="s">
        <v>14</v>
      </c>
      <c r="J638" s="14">
        <v>0.64265046296296291</v>
      </c>
      <c r="K638" s="15">
        <v>44751</v>
      </c>
      <c r="M638" s="2">
        <v>3.3450000000000002</v>
      </c>
      <c r="O638" s="2">
        <f t="shared" si="61"/>
        <v>3.2750000000000004</v>
      </c>
      <c r="P638" s="2">
        <f t="shared" si="62"/>
        <v>73.342857142857156</v>
      </c>
      <c r="Q638" s="2">
        <f t="shared" si="63"/>
        <v>0.36924999999999208</v>
      </c>
      <c r="R638" s="2">
        <f t="shared" si="64"/>
        <v>0.36682857142856362</v>
      </c>
      <c r="S638" s="2">
        <f t="shared" si="65"/>
        <v>2.4214285714284633E-3</v>
      </c>
    </row>
    <row r="639" spans="2:19" x14ac:dyDescent="0.25">
      <c r="B639" s="1">
        <f t="shared" si="66"/>
        <v>633</v>
      </c>
      <c r="C639" s="1">
        <v>925</v>
      </c>
      <c r="D639" s="13">
        <v>73.900000000000006</v>
      </c>
      <c r="E639" s="1" t="s">
        <v>11</v>
      </c>
      <c r="F639" s="2">
        <v>3.37</v>
      </c>
      <c r="G639" s="1" t="s">
        <v>12</v>
      </c>
      <c r="H639" s="1" t="s">
        <v>13</v>
      </c>
      <c r="I639" s="1" t="s">
        <v>14</v>
      </c>
      <c r="J639" s="14">
        <v>0.64265046296296291</v>
      </c>
      <c r="K639" s="15">
        <v>44751</v>
      </c>
      <c r="M639" s="2">
        <v>3.35</v>
      </c>
      <c r="O639" s="2">
        <f t="shared" si="61"/>
        <v>3.2800000000000002</v>
      </c>
      <c r="P639" s="2">
        <f t="shared" si="62"/>
        <v>73.388571428571439</v>
      </c>
      <c r="Q639" s="2">
        <f t="shared" si="63"/>
        <v>0.36949999999999217</v>
      </c>
      <c r="R639" s="2">
        <f t="shared" si="64"/>
        <v>0.36705714285713509</v>
      </c>
      <c r="S639" s="2">
        <f t="shared" si="65"/>
        <v>2.44285714285708E-3</v>
      </c>
    </row>
    <row r="640" spans="2:19" x14ac:dyDescent="0.25">
      <c r="B640" s="1">
        <f t="shared" si="66"/>
        <v>634</v>
      </c>
      <c r="C640" s="1">
        <v>926</v>
      </c>
      <c r="D640" s="13">
        <v>73.900000000000006</v>
      </c>
      <c r="E640" s="1" t="s">
        <v>11</v>
      </c>
      <c r="F640" s="2">
        <v>3.375</v>
      </c>
      <c r="G640" s="1" t="s">
        <v>12</v>
      </c>
      <c r="H640" s="1" t="s">
        <v>13</v>
      </c>
      <c r="I640" s="1" t="s">
        <v>14</v>
      </c>
      <c r="J640" s="14">
        <v>0.64265046296296291</v>
      </c>
      <c r="K640" s="15">
        <v>44751</v>
      </c>
      <c r="M640" s="2">
        <v>3.355</v>
      </c>
      <c r="O640" s="2">
        <f t="shared" si="61"/>
        <v>3.2850000000000001</v>
      </c>
      <c r="P640" s="2">
        <f t="shared" si="62"/>
        <v>73.434285714285721</v>
      </c>
      <c r="Q640" s="2">
        <f t="shared" si="63"/>
        <v>0.36949999999999217</v>
      </c>
      <c r="R640" s="2">
        <f t="shared" si="64"/>
        <v>0.36728571428570644</v>
      </c>
      <c r="S640" s="2">
        <f t="shared" si="65"/>
        <v>2.2142857142857242E-3</v>
      </c>
    </row>
    <row r="641" spans="2:19" x14ac:dyDescent="0.25">
      <c r="B641" s="1">
        <f t="shared" si="66"/>
        <v>635</v>
      </c>
      <c r="C641" s="1">
        <v>927</v>
      </c>
      <c r="D641" s="13">
        <v>73.900000000000006</v>
      </c>
      <c r="E641" s="1" t="s">
        <v>11</v>
      </c>
      <c r="F641" s="2">
        <v>3.38</v>
      </c>
      <c r="G641" s="1" t="s">
        <v>12</v>
      </c>
      <c r="H641" s="1" t="s">
        <v>13</v>
      </c>
      <c r="I641" s="1" t="s">
        <v>14</v>
      </c>
      <c r="J641" s="14">
        <v>0.64265046296296291</v>
      </c>
      <c r="K641" s="15">
        <v>44751</v>
      </c>
      <c r="M641" s="2">
        <v>3.36</v>
      </c>
      <c r="O641" s="2">
        <f t="shared" si="61"/>
        <v>3.29</v>
      </c>
      <c r="P641" s="2">
        <f t="shared" si="62"/>
        <v>73.48</v>
      </c>
      <c r="Q641" s="2">
        <f t="shared" si="63"/>
        <v>0.36974999999999214</v>
      </c>
      <c r="R641" s="2">
        <f t="shared" si="64"/>
        <v>0.36751428571427791</v>
      </c>
      <c r="S641" s="2">
        <f t="shared" si="65"/>
        <v>2.2357142857142298E-3</v>
      </c>
    </row>
    <row r="642" spans="2:19" x14ac:dyDescent="0.25">
      <c r="B642" s="1">
        <f t="shared" si="66"/>
        <v>636</v>
      </c>
      <c r="C642" s="1">
        <v>928</v>
      </c>
      <c r="D642" s="13">
        <v>74</v>
      </c>
      <c r="E642" s="1" t="s">
        <v>11</v>
      </c>
      <c r="F642" s="2">
        <v>3.3849999999999998</v>
      </c>
      <c r="G642" s="1" t="s">
        <v>12</v>
      </c>
      <c r="H642" s="1" t="s">
        <v>13</v>
      </c>
      <c r="I642" s="1" t="s">
        <v>14</v>
      </c>
      <c r="J642" s="14">
        <v>0.64265046296296291</v>
      </c>
      <c r="K642" s="15">
        <v>44751</v>
      </c>
      <c r="M642" s="2">
        <v>3.3649999999999998</v>
      </c>
      <c r="O642" s="2">
        <f t="shared" si="61"/>
        <v>3.2949999999999999</v>
      </c>
      <c r="P642" s="2">
        <f t="shared" si="62"/>
        <v>73.525714285714287</v>
      </c>
      <c r="Q642" s="2">
        <f t="shared" si="63"/>
        <v>0.370250000000025</v>
      </c>
      <c r="R642" s="2">
        <f t="shared" si="64"/>
        <v>0.36774285714288202</v>
      </c>
      <c r="S642" s="2">
        <f t="shared" si="65"/>
        <v>2.5071428571429855E-3</v>
      </c>
    </row>
    <row r="643" spans="2:19" x14ac:dyDescent="0.25">
      <c r="B643" s="1">
        <f t="shared" si="66"/>
        <v>637</v>
      </c>
      <c r="C643" s="1">
        <v>930</v>
      </c>
      <c r="D643" s="13">
        <v>74.099999999999994</v>
      </c>
      <c r="E643" s="1" t="s">
        <v>11</v>
      </c>
      <c r="F643" s="2">
        <v>3.39</v>
      </c>
      <c r="G643" s="1" t="s">
        <v>12</v>
      </c>
      <c r="H643" s="1" t="s">
        <v>13</v>
      </c>
      <c r="I643" s="1" t="s">
        <v>14</v>
      </c>
      <c r="J643" s="14">
        <v>0.64266203703703706</v>
      </c>
      <c r="K643" s="15">
        <v>44751</v>
      </c>
      <c r="M643" s="2">
        <v>3.37</v>
      </c>
      <c r="O643" s="2">
        <f t="shared" si="61"/>
        <v>3.3000000000000003</v>
      </c>
      <c r="P643" s="2">
        <f t="shared" si="62"/>
        <v>73.571428571428584</v>
      </c>
      <c r="Q643" s="2">
        <f t="shared" si="63"/>
        <v>0.37049999999999206</v>
      </c>
      <c r="R643" s="2">
        <f t="shared" si="64"/>
        <v>0.36797142857142073</v>
      </c>
      <c r="S643" s="2">
        <f t="shared" si="65"/>
        <v>2.5285714285713246E-3</v>
      </c>
    </row>
    <row r="644" spans="2:19" x14ac:dyDescent="0.25">
      <c r="B644" s="1">
        <f t="shared" si="66"/>
        <v>638</v>
      </c>
      <c r="C644" s="1">
        <v>931</v>
      </c>
      <c r="D644" s="13">
        <v>74.099999999999994</v>
      </c>
      <c r="E644" s="1" t="s">
        <v>11</v>
      </c>
      <c r="F644" s="2">
        <v>3.395</v>
      </c>
      <c r="G644" s="1" t="s">
        <v>12</v>
      </c>
      <c r="H644" s="1" t="s">
        <v>13</v>
      </c>
      <c r="I644" s="1" t="s">
        <v>14</v>
      </c>
      <c r="J644" s="14">
        <v>0.64266203703703706</v>
      </c>
      <c r="K644" s="15">
        <v>44751</v>
      </c>
      <c r="M644" s="2">
        <v>3.375</v>
      </c>
      <c r="O644" s="2">
        <f t="shared" si="61"/>
        <v>3.3050000000000002</v>
      </c>
      <c r="P644" s="2">
        <f t="shared" si="62"/>
        <v>73.617142857142866</v>
      </c>
      <c r="Q644" s="2">
        <f t="shared" si="63"/>
        <v>0.37074999999999214</v>
      </c>
      <c r="R644" s="2">
        <f t="shared" si="64"/>
        <v>0.3681999999999922</v>
      </c>
      <c r="S644" s="2">
        <f t="shared" si="65"/>
        <v>2.5499999999999412E-3</v>
      </c>
    </row>
    <row r="645" spans="2:19" x14ac:dyDescent="0.25">
      <c r="B645" s="1">
        <f t="shared" si="66"/>
        <v>639</v>
      </c>
      <c r="C645" s="1">
        <v>933</v>
      </c>
      <c r="D645" s="13">
        <v>74.2</v>
      </c>
      <c r="E645" s="1" t="s">
        <v>11</v>
      </c>
      <c r="F645" s="2">
        <v>3.4</v>
      </c>
      <c r="G645" s="1" t="s">
        <v>12</v>
      </c>
      <c r="H645" s="1" t="s">
        <v>13</v>
      </c>
      <c r="I645" s="1" t="s">
        <v>14</v>
      </c>
      <c r="J645" s="14">
        <v>0.64266203703703706</v>
      </c>
      <c r="K645" s="15">
        <v>44751</v>
      </c>
      <c r="M645" s="2">
        <v>3.38</v>
      </c>
      <c r="O645" s="2">
        <f t="shared" si="61"/>
        <v>3.31</v>
      </c>
      <c r="P645" s="2">
        <f t="shared" si="62"/>
        <v>73.662857142857149</v>
      </c>
      <c r="Q645" s="2">
        <f t="shared" si="63"/>
        <v>0.37099999999999211</v>
      </c>
      <c r="R645" s="2">
        <f t="shared" si="64"/>
        <v>0.36842857142856356</v>
      </c>
      <c r="S645" s="2">
        <f t="shared" si="65"/>
        <v>2.5714285714285579E-3</v>
      </c>
    </row>
    <row r="646" spans="2:19" x14ac:dyDescent="0.25">
      <c r="B646" s="1">
        <f t="shared" si="66"/>
        <v>640</v>
      </c>
      <c r="C646" s="1">
        <v>935</v>
      </c>
      <c r="D646" s="13">
        <v>74.2</v>
      </c>
      <c r="E646" s="1" t="s">
        <v>11</v>
      </c>
      <c r="F646" s="2">
        <v>3.4049999999999998</v>
      </c>
      <c r="G646" s="1" t="s">
        <v>12</v>
      </c>
      <c r="H646" s="1" t="s">
        <v>13</v>
      </c>
      <c r="I646" s="1" t="s">
        <v>14</v>
      </c>
      <c r="J646" s="14">
        <v>0.64266203703703706</v>
      </c>
      <c r="K646" s="15">
        <v>44751</v>
      </c>
      <c r="M646" s="2">
        <v>3.3849999999999998</v>
      </c>
      <c r="O646" s="2">
        <f t="shared" si="61"/>
        <v>3.3149999999999999</v>
      </c>
      <c r="P646" s="2">
        <f t="shared" si="62"/>
        <v>73.708571428571432</v>
      </c>
      <c r="Q646" s="2">
        <f t="shared" si="63"/>
        <v>0.37100000000002503</v>
      </c>
      <c r="R646" s="2">
        <f t="shared" si="64"/>
        <v>0.36865714285716777</v>
      </c>
      <c r="S646" s="2">
        <f t="shared" si="65"/>
        <v>2.3428571428572575E-3</v>
      </c>
    </row>
    <row r="647" spans="2:19" x14ac:dyDescent="0.25">
      <c r="B647" s="1">
        <f t="shared" si="66"/>
        <v>641</v>
      </c>
      <c r="C647" s="1">
        <v>936</v>
      </c>
      <c r="D647" s="13">
        <v>74.2</v>
      </c>
      <c r="E647" s="1" t="s">
        <v>11</v>
      </c>
      <c r="F647" s="2">
        <v>3.41</v>
      </c>
      <c r="G647" s="1" t="s">
        <v>12</v>
      </c>
      <c r="H647" s="1" t="s">
        <v>13</v>
      </c>
      <c r="I647" s="1" t="s">
        <v>14</v>
      </c>
      <c r="J647" s="14">
        <v>0.64266203703703706</v>
      </c>
      <c r="K647" s="15">
        <v>44751</v>
      </c>
      <c r="M647" s="2">
        <v>3.39</v>
      </c>
      <c r="O647" s="2">
        <f t="shared" si="61"/>
        <v>3.3200000000000003</v>
      </c>
      <c r="P647" s="2">
        <f t="shared" si="62"/>
        <v>73.754285714285729</v>
      </c>
      <c r="Q647" s="2">
        <f t="shared" si="63"/>
        <v>0.37124999999999209</v>
      </c>
      <c r="R647" s="2">
        <f t="shared" si="64"/>
        <v>0.36888571428570655</v>
      </c>
      <c r="S647" s="2">
        <f t="shared" si="65"/>
        <v>2.3642857142855411E-3</v>
      </c>
    </row>
    <row r="648" spans="2:19" x14ac:dyDescent="0.25">
      <c r="B648" s="1">
        <f t="shared" si="66"/>
        <v>642</v>
      </c>
      <c r="C648" s="1">
        <v>938</v>
      </c>
      <c r="D648" s="13">
        <v>74.3</v>
      </c>
      <c r="E648" s="1" t="s">
        <v>11</v>
      </c>
      <c r="F648" s="2">
        <v>3.415</v>
      </c>
      <c r="G648" s="1" t="s">
        <v>12</v>
      </c>
      <c r="H648" s="1" t="s">
        <v>13</v>
      </c>
      <c r="I648" s="1" t="s">
        <v>14</v>
      </c>
      <c r="J648" s="14">
        <v>0.64266203703703706</v>
      </c>
      <c r="K648" s="15">
        <v>44751</v>
      </c>
      <c r="M648" s="2">
        <v>3.395</v>
      </c>
      <c r="O648" s="2">
        <f t="shared" ref="O648:O711" si="67">M648-$X$23</f>
        <v>3.3250000000000002</v>
      </c>
      <c r="P648" s="2">
        <f t="shared" ref="P648:P711" si="68">O648*$AC$21+$Y$23</f>
        <v>73.800000000000011</v>
      </c>
      <c r="Q648" s="2">
        <f t="shared" ref="Q648:Q711" si="69">((D648+D649)/2)*(M649-M648)</f>
        <v>0.37149999999999206</v>
      </c>
      <c r="R648" s="2">
        <f t="shared" ref="R648:R711" si="70">((P648+P649)/2)*(O649-O648)</f>
        <v>0.36911428571427785</v>
      </c>
      <c r="S648" s="2">
        <f t="shared" ref="S648:S711" si="71">Q648-R648</f>
        <v>2.3857142857142133E-3</v>
      </c>
    </row>
    <row r="649" spans="2:19" x14ac:dyDescent="0.25">
      <c r="B649" s="1">
        <f t="shared" ref="B649:B712" si="72">B648+1</f>
        <v>643</v>
      </c>
      <c r="C649" s="1">
        <v>939</v>
      </c>
      <c r="D649" s="13">
        <v>74.3</v>
      </c>
      <c r="E649" s="1" t="s">
        <v>11</v>
      </c>
      <c r="F649" s="2">
        <v>3.42</v>
      </c>
      <c r="G649" s="1" t="s">
        <v>12</v>
      </c>
      <c r="H649" s="1" t="s">
        <v>13</v>
      </c>
      <c r="I649" s="1" t="s">
        <v>14</v>
      </c>
      <c r="J649" s="14">
        <v>0.6426736111111111</v>
      </c>
      <c r="K649" s="15">
        <v>44751</v>
      </c>
      <c r="M649" s="2">
        <v>3.4</v>
      </c>
      <c r="O649" s="2">
        <f t="shared" si="67"/>
        <v>3.33</v>
      </c>
      <c r="P649" s="2">
        <f t="shared" si="68"/>
        <v>73.845714285714294</v>
      </c>
      <c r="Q649" s="2">
        <f t="shared" si="69"/>
        <v>0.37174999999999203</v>
      </c>
      <c r="R649" s="2">
        <f t="shared" si="70"/>
        <v>0.36934285714284931</v>
      </c>
      <c r="S649" s="2">
        <f t="shared" si="71"/>
        <v>2.4071428571427189E-3</v>
      </c>
    </row>
    <row r="650" spans="2:19" x14ac:dyDescent="0.25">
      <c r="B650" s="1">
        <f t="shared" si="72"/>
        <v>644</v>
      </c>
      <c r="C650" s="1">
        <v>940</v>
      </c>
      <c r="D650" s="13">
        <v>74.400000000000006</v>
      </c>
      <c r="E650" s="1" t="s">
        <v>11</v>
      </c>
      <c r="F650" s="2">
        <v>3.4249999999999998</v>
      </c>
      <c r="G650" s="1" t="s">
        <v>12</v>
      </c>
      <c r="H650" s="1" t="s">
        <v>13</v>
      </c>
      <c r="I650" s="1" t="s">
        <v>14</v>
      </c>
      <c r="J650" s="14">
        <v>0.6426736111111111</v>
      </c>
      <c r="K650" s="15">
        <v>44751</v>
      </c>
      <c r="M650" s="2">
        <v>3.4049999999999998</v>
      </c>
      <c r="O650" s="2">
        <f t="shared" si="67"/>
        <v>3.335</v>
      </c>
      <c r="P650" s="2">
        <f t="shared" si="68"/>
        <v>73.891428571428577</v>
      </c>
      <c r="Q650" s="2">
        <f t="shared" si="69"/>
        <v>0.37200000000002514</v>
      </c>
      <c r="R650" s="2">
        <f t="shared" si="70"/>
        <v>0.36957142857145359</v>
      </c>
      <c r="S650" s="2">
        <f t="shared" si="71"/>
        <v>2.4285714285715576E-3</v>
      </c>
    </row>
    <row r="651" spans="2:19" x14ac:dyDescent="0.25">
      <c r="B651" s="1">
        <f t="shared" si="72"/>
        <v>645</v>
      </c>
      <c r="C651" s="1">
        <v>941</v>
      </c>
      <c r="D651" s="13">
        <v>74.400000000000006</v>
      </c>
      <c r="E651" s="1" t="s">
        <v>11</v>
      </c>
      <c r="F651" s="2">
        <v>3.43</v>
      </c>
      <c r="G651" s="1" t="s">
        <v>12</v>
      </c>
      <c r="H651" s="1" t="s">
        <v>13</v>
      </c>
      <c r="I651" s="1" t="s">
        <v>14</v>
      </c>
      <c r="J651" s="14">
        <v>0.6426736111111111</v>
      </c>
      <c r="K651" s="15">
        <v>44751</v>
      </c>
      <c r="M651" s="2">
        <v>3.41</v>
      </c>
      <c r="O651" s="2">
        <f t="shared" si="67"/>
        <v>3.3400000000000003</v>
      </c>
      <c r="P651" s="2">
        <f t="shared" si="68"/>
        <v>73.937142857142874</v>
      </c>
      <c r="Q651" s="2">
        <f t="shared" si="69"/>
        <v>0.37199999999999211</v>
      </c>
      <c r="R651" s="2">
        <f t="shared" si="70"/>
        <v>0.36979999999999214</v>
      </c>
      <c r="S651" s="2">
        <f t="shared" si="71"/>
        <v>2.1999999999999797E-3</v>
      </c>
    </row>
    <row r="652" spans="2:19" x14ac:dyDescent="0.25">
      <c r="B652" s="1">
        <f t="shared" si="72"/>
        <v>646</v>
      </c>
      <c r="C652" s="1">
        <v>943</v>
      </c>
      <c r="D652" s="13">
        <v>74.400000000000006</v>
      </c>
      <c r="E652" s="1" t="s">
        <v>11</v>
      </c>
      <c r="F652" s="2">
        <v>3.4350000000000001</v>
      </c>
      <c r="G652" s="1" t="s">
        <v>12</v>
      </c>
      <c r="H652" s="1" t="s">
        <v>13</v>
      </c>
      <c r="I652" s="1" t="s">
        <v>14</v>
      </c>
      <c r="J652" s="14">
        <v>0.6426736111111111</v>
      </c>
      <c r="K652" s="15">
        <v>44751</v>
      </c>
      <c r="M652" s="2">
        <v>3.415</v>
      </c>
      <c r="O652" s="2">
        <f t="shared" si="67"/>
        <v>3.3450000000000002</v>
      </c>
      <c r="P652" s="2">
        <f t="shared" si="68"/>
        <v>73.982857142857156</v>
      </c>
      <c r="Q652" s="2">
        <f t="shared" si="69"/>
        <v>0.37199999999999211</v>
      </c>
      <c r="R652" s="2">
        <f t="shared" si="70"/>
        <v>0.37002857142856366</v>
      </c>
      <c r="S652" s="2">
        <f t="shared" si="71"/>
        <v>1.9714285714284574E-3</v>
      </c>
    </row>
    <row r="653" spans="2:19" x14ac:dyDescent="0.25">
      <c r="B653" s="1">
        <f t="shared" si="72"/>
        <v>647</v>
      </c>
      <c r="C653" s="1">
        <v>944</v>
      </c>
      <c r="D653" s="13">
        <v>74.400000000000006</v>
      </c>
      <c r="E653" s="1" t="s">
        <v>11</v>
      </c>
      <c r="F653" s="2">
        <v>3.44</v>
      </c>
      <c r="G653" s="1" t="s">
        <v>12</v>
      </c>
      <c r="H653" s="1" t="s">
        <v>13</v>
      </c>
      <c r="I653" s="1" t="s">
        <v>14</v>
      </c>
      <c r="J653" s="14">
        <v>0.6426736111111111</v>
      </c>
      <c r="K653" s="15">
        <v>44751</v>
      </c>
      <c r="M653" s="2">
        <v>3.42</v>
      </c>
      <c r="O653" s="2">
        <f t="shared" si="67"/>
        <v>3.35</v>
      </c>
      <c r="P653" s="2">
        <f t="shared" si="68"/>
        <v>74.028571428571439</v>
      </c>
      <c r="Q653" s="2">
        <f t="shared" si="69"/>
        <v>0.37224999999999209</v>
      </c>
      <c r="R653" s="2">
        <f t="shared" si="70"/>
        <v>0.37025714285713496</v>
      </c>
      <c r="S653" s="2">
        <f t="shared" si="71"/>
        <v>1.9928571428571296E-3</v>
      </c>
    </row>
    <row r="654" spans="2:19" x14ac:dyDescent="0.25">
      <c r="B654" s="1">
        <f t="shared" si="72"/>
        <v>648</v>
      </c>
      <c r="C654" s="1">
        <v>945</v>
      </c>
      <c r="D654" s="13">
        <v>74.5</v>
      </c>
      <c r="E654" s="1" t="s">
        <v>11</v>
      </c>
      <c r="F654" s="2">
        <v>3.4449999999999998</v>
      </c>
      <c r="G654" s="1" t="s">
        <v>12</v>
      </c>
      <c r="H654" s="1" t="s">
        <v>13</v>
      </c>
      <c r="I654" s="1" t="s">
        <v>14</v>
      </c>
      <c r="J654" s="14">
        <v>0.6426736111111111</v>
      </c>
      <c r="K654" s="15">
        <v>44751</v>
      </c>
      <c r="M654" s="2">
        <v>3.4249999999999998</v>
      </c>
      <c r="O654" s="2">
        <f t="shared" si="67"/>
        <v>3.355</v>
      </c>
      <c r="P654" s="2">
        <f t="shared" si="68"/>
        <v>74.074285714285722</v>
      </c>
      <c r="Q654" s="2">
        <f t="shared" si="69"/>
        <v>0.37275000000002517</v>
      </c>
      <c r="R654" s="2">
        <f t="shared" si="70"/>
        <v>0.37048571428573934</v>
      </c>
      <c r="S654" s="2">
        <f t="shared" si="71"/>
        <v>2.2642857142858297E-3</v>
      </c>
    </row>
    <row r="655" spans="2:19" x14ac:dyDescent="0.25">
      <c r="B655" s="1">
        <f t="shared" si="72"/>
        <v>649</v>
      </c>
      <c r="C655" s="1">
        <v>946</v>
      </c>
      <c r="D655" s="13">
        <v>74.599999999999994</v>
      </c>
      <c r="E655" s="1" t="s">
        <v>11</v>
      </c>
      <c r="F655" s="2">
        <v>3.45</v>
      </c>
      <c r="G655" s="1" t="s">
        <v>12</v>
      </c>
      <c r="H655" s="1" t="s">
        <v>13</v>
      </c>
      <c r="I655" s="1" t="s">
        <v>14</v>
      </c>
      <c r="J655" s="14">
        <v>0.6426736111111111</v>
      </c>
      <c r="K655" s="15">
        <v>44751</v>
      </c>
      <c r="M655" s="2">
        <v>3.43</v>
      </c>
      <c r="O655" s="2">
        <f t="shared" si="67"/>
        <v>3.3600000000000003</v>
      </c>
      <c r="P655" s="2">
        <f t="shared" si="68"/>
        <v>74.12</v>
      </c>
      <c r="Q655" s="2">
        <f t="shared" si="69"/>
        <v>0.37324999999999209</v>
      </c>
      <c r="R655" s="2">
        <f t="shared" si="70"/>
        <v>0.37071428571427784</v>
      </c>
      <c r="S655" s="2">
        <f t="shared" si="71"/>
        <v>2.5357142857142523E-3</v>
      </c>
    </row>
    <row r="656" spans="2:19" x14ac:dyDescent="0.25">
      <c r="B656" s="1">
        <f t="shared" si="72"/>
        <v>650</v>
      </c>
      <c r="C656" s="1">
        <v>948</v>
      </c>
      <c r="D656" s="13">
        <v>74.7</v>
      </c>
      <c r="E656" s="1" t="s">
        <v>11</v>
      </c>
      <c r="F656" s="2">
        <v>3.4550000000000001</v>
      </c>
      <c r="G656" s="1" t="s">
        <v>12</v>
      </c>
      <c r="H656" s="1" t="s">
        <v>13</v>
      </c>
      <c r="I656" s="1" t="s">
        <v>14</v>
      </c>
      <c r="J656" s="14">
        <v>0.6426736111111111</v>
      </c>
      <c r="K656" s="15">
        <v>44751</v>
      </c>
      <c r="M656" s="2">
        <v>3.4350000000000001</v>
      </c>
      <c r="O656" s="2">
        <f t="shared" si="67"/>
        <v>3.3650000000000002</v>
      </c>
      <c r="P656" s="2">
        <f t="shared" si="68"/>
        <v>74.165714285714301</v>
      </c>
      <c r="Q656" s="2">
        <f t="shared" si="69"/>
        <v>0.37324999999999209</v>
      </c>
      <c r="R656" s="2">
        <f t="shared" si="70"/>
        <v>0.37094285714284925</v>
      </c>
      <c r="S656" s="2">
        <f t="shared" si="71"/>
        <v>2.307142857142841E-3</v>
      </c>
    </row>
    <row r="657" spans="2:19" x14ac:dyDescent="0.25">
      <c r="B657" s="1">
        <f t="shared" si="72"/>
        <v>651</v>
      </c>
      <c r="C657" s="1">
        <v>949</v>
      </c>
      <c r="D657" s="13">
        <v>74.599999999999994</v>
      </c>
      <c r="E657" s="1" t="s">
        <v>11</v>
      </c>
      <c r="F657" s="2">
        <v>3.46</v>
      </c>
      <c r="G657" s="1" t="s">
        <v>12</v>
      </c>
      <c r="H657" s="1" t="s">
        <v>13</v>
      </c>
      <c r="I657" s="1" t="s">
        <v>14</v>
      </c>
      <c r="J657" s="14">
        <v>0.64268518518518525</v>
      </c>
      <c r="K657" s="15">
        <v>44751</v>
      </c>
      <c r="M657" s="2">
        <v>3.44</v>
      </c>
      <c r="O657" s="2">
        <f t="shared" si="67"/>
        <v>3.37</v>
      </c>
      <c r="P657" s="2">
        <f t="shared" si="68"/>
        <v>74.211428571428584</v>
      </c>
      <c r="Q657" s="2">
        <f t="shared" si="69"/>
        <v>0.37324999999999209</v>
      </c>
      <c r="R657" s="2">
        <f t="shared" si="70"/>
        <v>0.37117142857142077</v>
      </c>
      <c r="S657" s="2">
        <f t="shared" si="71"/>
        <v>2.0785714285713186E-3</v>
      </c>
    </row>
    <row r="658" spans="2:19" x14ac:dyDescent="0.25">
      <c r="B658" s="1">
        <f t="shared" si="72"/>
        <v>652</v>
      </c>
      <c r="C658" s="1">
        <v>950</v>
      </c>
      <c r="D658" s="13">
        <v>74.7</v>
      </c>
      <c r="E658" s="1" t="s">
        <v>11</v>
      </c>
      <c r="F658" s="2">
        <v>3.4649999999999999</v>
      </c>
      <c r="G658" s="1" t="s">
        <v>12</v>
      </c>
      <c r="H658" s="1" t="s">
        <v>13</v>
      </c>
      <c r="I658" s="1" t="s">
        <v>14</v>
      </c>
      <c r="J658" s="14">
        <v>0.64268518518518525</v>
      </c>
      <c r="K658" s="15">
        <v>44751</v>
      </c>
      <c r="M658" s="2">
        <v>3.4449999999999998</v>
      </c>
      <c r="O658" s="2">
        <f t="shared" si="67"/>
        <v>3.375</v>
      </c>
      <c r="P658" s="2">
        <f t="shared" si="68"/>
        <v>74.257142857142867</v>
      </c>
      <c r="Q658" s="2">
        <f t="shared" si="69"/>
        <v>0.74700000000001732</v>
      </c>
      <c r="R658" s="2">
        <f t="shared" si="70"/>
        <v>0.74302857142858869</v>
      </c>
      <c r="S658" s="2">
        <f t="shared" si="71"/>
        <v>3.9714285714286257E-3</v>
      </c>
    </row>
    <row r="659" spans="2:19" x14ac:dyDescent="0.25">
      <c r="B659" s="1">
        <f t="shared" si="72"/>
        <v>653</v>
      </c>
      <c r="C659" s="1">
        <v>951</v>
      </c>
      <c r="D659" s="13">
        <v>74.7</v>
      </c>
      <c r="E659" s="1" t="s">
        <v>11</v>
      </c>
      <c r="F659" s="2">
        <v>3.4750000000000001</v>
      </c>
      <c r="G659" s="1" t="s">
        <v>12</v>
      </c>
      <c r="H659" s="1" t="s">
        <v>13</v>
      </c>
      <c r="I659" s="1" t="s">
        <v>14</v>
      </c>
      <c r="J659" s="14">
        <v>0.64268518518518525</v>
      </c>
      <c r="K659" s="15">
        <v>44751</v>
      </c>
      <c r="M659" s="2">
        <v>3.4550000000000001</v>
      </c>
      <c r="O659" s="2">
        <f t="shared" si="67"/>
        <v>3.3850000000000002</v>
      </c>
      <c r="P659" s="2">
        <f t="shared" si="68"/>
        <v>74.348571428571432</v>
      </c>
      <c r="Q659" s="2">
        <f t="shared" si="69"/>
        <v>0.37374999999999203</v>
      </c>
      <c r="R659" s="2">
        <f t="shared" si="70"/>
        <v>0.371857142857135</v>
      </c>
      <c r="S659" s="2">
        <f t="shared" si="71"/>
        <v>1.8928571428570296E-3</v>
      </c>
    </row>
    <row r="660" spans="2:19" x14ac:dyDescent="0.25">
      <c r="B660" s="1">
        <f t="shared" si="72"/>
        <v>654</v>
      </c>
      <c r="C660" s="1">
        <v>952</v>
      </c>
      <c r="D660" s="13">
        <v>74.8</v>
      </c>
      <c r="E660" s="1" t="s">
        <v>11</v>
      </c>
      <c r="F660" s="2">
        <v>3.48</v>
      </c>
      <c r="G660" s="1" t="s">
        <v>12</v>
      </c>
      <c r="H660" s="1" t="s">
        <v>13</v>
      </c>
      <c r="I660" s="1" t="s">
        <v>14</v>
      </c>
      <c r="J660" s="14">
        <v>0.64268518518518525</v>
      </c>
      <c r="K660" s="15">
        <v>44751</v>
      </c>
      <c r="M660" s="2">
        <v>3.46</v>
      </c>
      <c r="O660" s="2">
        <f t="shared" si="67"/>
        <v>3.39</v>
      </c>
      <c r="P660" s="2">
        <f t="shared" si="68"/>
        <v>74.394285714285729</v>
      </c>
      <c r="Q660" s="2">
        <f t="shared" si="69"/>
        <v>0.37399999999999201</v>
      </c>
      <c r="R660" s="2">
        <f t="shared" si="70"/>
        <v>0.37208571428570636</v>
      </c>
      <c r="S660" s="2">
        <f t="shared" si="71"/>
        <v>1.9142857142856462E-3</v>
      </c>
    </row>
    <row r="661" spans="2:19" x14ac:dyDescent="0.25">
      <c r="B661" s="1">
        <f t="shared" si="72"/>
        <v>655</v>
      </c>
      <c r="C661" s="1">
        <v>953</v>
      </c>
      <c r="D661" s="13">
        <v>74.8</v>
      </c>
      <c r="E661" s="1" t="s">
        <v>11</v>
      </c>
      <c r="F661" s="2">
        <v>3.4849999999999999</v>
      </c>
      <c r="G661" s="1" t="s">
        <v>12</v>
      </c>
      <c r="H661" s="1" t="s">
        <v>13</v>
      </c>
      <c r="I661" s="1" t="s">
        <v>14</v>
      </c>
      <c r="J661" s="14">
        <v>0.64268518518518525</v>
      </c>
      <c r="K661" s="15">
        <v>44751</v>
      </c>
      <c r="M661" s="2">
        <v>3.4649999999999999</v>
      </c>
      <c r="O661" s="2">
        <f t="shared" si="67"/>
        <v>3.395</v>
      </c>
      <c r="P661" s="2">
        <f t="shared" si="68"/>
        <v>74.440000000000012</v>
      </c>
      <c r="Q661" s="2">
        <f t="shared" si="69"/>
        <v>0.37425000000002523</v>
      </c>
      <c r="R661" s="2">
        <f t="shared" si="70"/>
        <v>0.37231428571431091</v>
      </c>
      <c r="S661" s="2">
        <f t="shared" si="71"/>
        <v>1.9357142857143184E-3</v>
      </c>
    </row>
    <row r="662" spans="2:19" x14ac:dyDescent="0.25">
      <c r="B662" s="1">
        <f t="shared" si="72"/>
        <v>656</v>
      </c>
      <c r="C662" s="1">
        <v>954</v>
      </c>
      <c r="D662" s="13">
        <v>74.900000000000006</v>
      </c>
      <c r="E662" s="1" t="s">
        <v>11</v>
      </c>
      <c r="F662" s="2">
        <v>3.49</v>
      </c>
      <c r="G662" s="1" t="s">
        <v>12</v>
      </c>
      <c r="H662" s="1" t="s">
        <v>13</v>
      </c>
      <c r="I662" s="1" t="s">
        <v>14</v>
      </c>
      <c r="J662" s="14">
        <v>0.64268518518518525</v>
      </c>
      <c r="K662" s="15">
        <v>44751</v>
      </c>
      <c r="M662" s="2">
        <v>3.47</v>
      </c>
      <c r="O662" s="2">
        <f t="shared" si="67"/>
        <v>3.4000000000000004</v>
      </c>
      <c r="P662" s="2">
        <f t="shared" si="68"/>
        <v>74.485714285714295</v>
      </c>
      <c r="Q662" s="2">
        <f t="shared" si="69"/>
        <v>0.37449999999999206</v>
      </c>
      <c r="R662" s="2">
        <f t="shared" si="70"/>
        <v>0.37254285714284918</v>
      </c>
      <c r="S662" s="2">
        <f t="shared" si="71"/>
        <v>1.9571428571428795E-3</v>
      </c>
    </row>
    <row r="663" spans="2:19" x14ac:dyDescent="0.25">
      <c r="B663" s="1">
        <f t="shared" si="72"/>
        <v>657</v>
      </c>
      <c r="C663" s="1">
        <v>955</v>
      </c>
      <c r="D663" s="13">
        <v>74.900000000000006</v>
      </c>
      <c r="E663" s="1" t="s">
        <v>11</v>
      </c>
      <c r="F663" s="2">
        <v>3.4950000000000001</v>
      </c>
      <c r="G663" s="1" t="s">
        <v>12</v>
      </c>
      <c r="H663" s="1" t="s">
        <v>13</v>
      </c>
      <c r="I663" s="1" t="s">
        <v>14</v>
      </c>
      <c r="J663" s="14">
        <v>0.64268518518518525</v>
      </c>
      <c r="K663" s="15">
        <v>44751</v>
      </c>
      <c r="M663" s="2">
        <v>3.4750000000000001</v>
      </c>
      <c r="O663" s="2">
        <f t="shared" si="67"/>
        <v>3.4050000000000002</v>
      </c>
      <c r="P663" s="2">
        <f t="shared" si="68"/>
        <v>74.531428571428577</v>
      </c>
      <c r="Q663" s="2">
        <f t="shared" si="69"/>
        <v>0.37449999999999206</v>
      </c>
      <c r="R663" s="2">
        <f t="shared" si="70"/>
        <v>0.3727714285714207</v>
      </c>
      <c r="S663" s="2">
        <f t="shared" si="71"/>
        <v>1.7285714285713571E-3</v>
      </c>
    </row>
    <row r="664" spans="2:19" x14ac:dyDescent="0.25">
      <c r="B664" s="1">
        <f t="shared" si="72"/>
        <v>658</v>
      </c>
      <c r="C664" s="1">
        <v>956</v>
      </c>
      <c r="D664" s="13">
        <v>74.900000000000006</v>
      </c>
      <c r="E664" s="1" t="s">
        <v>11</v>
      </c>
      <c r="F664" s="2">
        <v>3.5</v>
      </c>
      <c r="G664" s="1" t="s">
        <v>12</v>
      </c>
      <c r="H664" s="1" t="s">
        <v>13</v>
      </c>
      <c r="I664" s="1" t="s">
        <v>14</v>
      </c>
      <c r="J664" s="14">
        <v>0.64268518518518525</v>
      </c>
      <c r="K664" s="15">
        <v>44751</v>
      </c>
      <c r="M664" s="2">
        <v>3.48</v>
      </c>
      <c r="O664" s="2">
        <f t="shared" si="67"/>
        <v>3.41</v>
      </c>
      <c r="P664" s="2">
        <f t="shared" si="68"/>
        <v>74.57714285714286</v>
      </c>
      <c r="Q664" s="2">
        <f t="shared" si="69"/>
        <v>0.37474999999999203</v>
      </c>
      <c r="R664" s="2">
        <f t="shared" si="70"/>
        <v>0.37299999999999212</v>
      </c>
      <c r="S664" s="2">
        <f t="shared" si="71"/>
        <v>1.7499999999999183E-3</v>
      </c>
    </row>
    <row r="665" spans="2:19" x14ac:dyDescent="0.25">
      <c r="B665" s="1">
        <f t="shared" si="72"/>
        <v>659</v>
      </c>
      <c r="C665" s="1">
        <v>957</v>
      </c>
      <c r="D665" s="13">
        <v>75</v>
      </c>
      <c r="E665" s="1" t="s">
        <v>11</v>
      </c>
      <c r="F665" s="2">
        <v>3.5049999999999999</v>
      </c>
      <c r="G665" s="1" t="s">
        <v>12</v>
      </c>
      <c r="H665" s="1" t="s">
        <v>13</v>
      </c>
      <c r="I665" s="1" t="s">
        <v>14</v>
      </c>
      <c r="J665" s="14">
        <v>0.64268518518518525</v>
      </c>
      <c r="K665" s="15">
        <v>44751</v>
      </c>
      <c r="M665" s="2">
        <v>3.4849999999999999</v>
      </c>
      <c r="O665" s="2">
        <f t="shared" si="67"/>
        <v>3.415</v>
      </c>
      <c r="P665" s="2">
        <f t="shared" si="68"/>
        <v>74.622857142857157</v>
      </c>
      <c r="Q665" s="2">
        <f t="shared" si="69"/>
        <v>0.37499999999999201</v>
      </c>
      <c r="R665" s="2">
        <f t="shared" si="70"/>
        <v>0.37322857142856353</v>
      </c>
      <c r="S665" s="2">
        <f t="shared" si="71"/>
        <v>1.7714285714284794E-3</v>
      </c>
    </row>
    <row r="666" spans="2:19" x14ac:dyDescent="0.25">
      <c r="B666" s="1">
        <f t="shared" si="72"/>
        <v>660</v>
      </c>
      <c r="C666" s="1">
        <v>958</v>
      </c>
      <c r="D666" s="13">
        <v>75</v>
      </c>
      <c r="E666" s="1" t="s">
        <v>11</v>
      </c>
      <c r="F666" s="2">
        <v>3.51</v>
      </c>
      <c r="G666" s="1" t="s">
        <v>12</v>
      </c>
      <c r="H666" s="1" t="s">
        <v>13</v>
      </c>
      <c r="I666" s="1" t="s">
        <v>14</v>
      </c>
      <c r="J666" s="14">
        <v>0.64268518518518525</v>
      </c>
      <c r="K666" s="15">
        <v>44751</v>
      </c>
      <c r="M666" s="2">
        <v>3.4899999999999998</v>
      </c>
      <c r="O666" s="2">
        <f t="shared" si="67"/>
        <v>3.42</v>
      </c>
      <c r="P666" s="2">
        <f t="shared" si="68"/>
        <v>74.66857142857144</v>
      </c>
      <c r="Q666" s="2">
        <f t="shared" si="69"/>
        <v>0.37525000000002534</v>
      </c>
      <c r="R666" s="2">
        <f t="shared" si="70"/>
        <v>0.37345714285716813</v>
      </c>
      <c r="S666" s="2">
        <f t="shared" si="71"/>
        <v>1.7928571428572071E-3</v>
      </c>
    </row>
    <row r="667" spans="2:19" x14ac:dyDescent="0.25">
      <c r="B667" s="1">
        <f t="shared" si="72"/>
        <v>661</v>
      </c>
      <c r="C667" s="1">
        <v>959</v>
      </c>
      <c r="D667" s="13">
        <v>75.099999999999994</v>
      </c>
      <c r="E667" s="1" t="s">
        <v>11</v>
      </c>
      <c r="F667" s="2">
        <v>3.5150000000000001</v>
      </c>
      <c r="G667" s="1" t="s">
        <v>12</v>
      </c>
      <c r="H667" s="1" t="s">
        <v>13</v>
      </c>
      <c r="I667" s="1" t="s">
        <v>14</v>
      </c>
      <c r="J667" s="14">
        <v>0.64269675925925929</v>
      </c>
      <c r="K667" s="15">
        <v>44751</v>
      </c>
      <c r="M667" s="2">
        <v>3.4950000000000001</v>
      </c>
      <c r="O667" s="2">
        <f t="shared" si="67"/>
        <v>3.4250000000000003</v>
      </c>
      <c r="P667" s="2">
        <f t="shared" si="68"/>
        <v>74.714285714285722</v>
      </c>
      <c r="Q667" s="2">
        <f t="shared" si="69"/>
        <v>0.37574999999999203</v>
      </c>
      <c r="R667" s="2">
        <f t="shared" si="70"/>
        <v>0.37368571428570641</v>
      </c>
      <c r="S667" s="2">
        <f t="shared" si="71"/>
        <v>2.0642857142856297E-3</v>
      </c>
    </row>
    <row r="668" spans="2:19" x14ac:dyDescent="0.25">
      <c r="B668" s="1">
        <f t="shared" si="72"/>
        <v>662</v>
      </c>
      <c r="C668" s="1">
        <v>960</v>
      </c>
      <c r="D668" s="13">
        <v>75.2</v>
      </c>
      <c r="E668" s="1" t="s">
        <v>11</v>
      </c>
      <c r="F668" s="2">
        <v>3.52</v>
      </c>
      <c r="G668" s="1" t="s">
        <v>12</v>
      </c>
      <c r="H668" s="1" t="s">
        <v>13</v>
      </c>
      <c r="I668" s="1" t="s">
        <v>14</v>
      </c>
      <c r="J668" s="14">
        <v>0.64269675925925929</v>
      </c>
      <c r="K668" s="15">
        <v>44751</v>
      </c>
      <c r="M668" s="2">
        <v>3.5</v>
      </c>
      <c r="O668" s="2">
        <f t="shared" si="67"/>
        <v>3.43</v>
      </c>
      <c r="P668" s="2">
        <f t="shared" si="68"/>
        <v>74.760000000000019</v>
      </c>
      <c r="Q668" s="2">
        <f t="shared" si="69"/>
        <v>0.37599999999999201</v>
      </c>
      <c r="R668" s="2">
        <f t="shared" si="70"/>
        <v>0.37391428571427782</v>
      </c>
      <c r="S668" s="2">
        <f t="shared" si="71"/>
        <v>2.0857142857141908E-3</v>
      </c>
    </row>
    <row r="669" spans="2:19" x14ac:dyDescent="0.25">
      <c r="B669" s="1">
        <f t="shared" si="72"/>
        <v>663</v>
      </c>
      <c r="C669" s="1">
        <v>961</v>
      </c>
      <c r="D669" s="13">
        <v>75.2</v>
      </c>
      <c r="E669" s="1" t="s">
        <v>11</v>
      </c>
      <c r="F669" s="2">
        <v>3.5249999999999999</v>
      </c>
      <c r="G669" s="1" t="s">
        <v>12</v>
      </c>
      <c r="H669" s="1" t="s">
        <v>13</v>
      </c>
      <c r="I669" s="1" t="s">
        <v>14</v>
      </c>
      <c r="J669" s="14">
        <v>0.64269675925925929</v>
      </c>
      <c r="K669" s="15">
        <v>44751</v>
      </c>
      <c r="M669" s="2">
        <v>3.5049999999999999</v>
      </c>
      <c r="O669" s="2">
        <f t="shared" si="67"/>
        <v>3.4350000000000001</v>
      </c>
      <c r="P669" s="2">
        <f t="shared" si="68"/>
        <v>74.805714285714288</v>
      </c>
      <c r="Q669" s="2">
        <f t="shared" si="69"/>
        <v>0.37599999999999201</v>
      </c>
      <c r="R669" s="2">
        <f t="shared" si="70"/>
        <v>0.37414285714284923</v>
      </c>
      <c r="S669" s="2">
        <f t="shared" si="71"/>
        <v>1.8571428571427795E-3</v>
      </c>
    </row>
    <row r="670" spans="2:19" x14ac:dyDescent="0.25">
      <c r="B670" s="1">
        <f t="shared" si="72"/>
        <v>664</v>
      </c>
      <c r="C670" s="1">
        <v>962</v>
      </c>
      <c r="D670" s="13">
        <v>75.2</v>
      </c>
      <c r="E670" s="1" t="s">
        <v>11</v>
      </c>
      <c r="F670" s="2">
        <v>3.53</v>
      </c>
      <c r="G670" s="1" t="s">
        <v>12</v>
      </c>
      <c r="H670" s="1" t="s">
        <v>13</v>
      </c>
      <c r="I670" s="1" t="s">
        <v>14</v>
      </c>
      <c r="J670" s="14">
        <v>0.64269675925925929</v>
      </c>
      <c r="K670" s="15">
        <v>44751</v>
      </c>
      <c r="M670" s="2">
        <v>3.51</v>
      </c>
      <c r="O670" s="2">
        <f t="shared" si="67"/>
        <v>3.44</v>
      </c>
      <c r="P670" s="2">
        <f t="shared" si="68"/>
        <v>74.851428571428585</v>
      </c>
      <c r="Q670" s="2">
        <f t="shared" si="69"/>
        <v>0.37600000000002537</v>
      </c>
      <c r="R670" s="2">
        <f t="shared" si="70"/>
        <v>0.37437142857145389</v>
      </c>
      <c r="S670" s="2">
        <f t="shared" si="71"/>
        <v>1.6285714285714792E-3</v>
      </c>
    </row>
    <row r="671" spans="2:19" x14ac:dyDescent="0.25">
      <c r="B671" s="1">
        <f t="shared" si="72"/>
        <v>665</v>
      </c>
      <c r="C671" s="1">
        <v>963</v>
      </c>
      <c r="D671" s="13">
        <v>75.2</v>
      </c>
      <c r="E671" s="1" t="s">
        <v>11</v>
      </c>
      <c r="F671" s="2">
        <v>3.5350000000000001</v>
      </c>
      <c r="G671" s="1" t="s">
        <v>12</v>
      </c>
      <c r="H671" s="1" t="s">
        <v>13</v>
      </c>
      <c r="I671" s="1" t="s">
        <v>14</v>
      </c>
      <c r="J671" s="14">
        <v>0.64269675925925929</v>
      </c>
      <c r="K671" s="15">
        <v>44751</v>
      </c>
      <c r="M671" s="2">
        <v>3.5150000000000001</v>
      </c>
      <c r="O671" s="2">
        <f t="shared" si="67"/>
        <v>3.4450000000000003</v>
      </c>
      <c r="P671" s="2">
        <f t="shared" si="68"/>
        <v>74.897142857142867</v>
      </c>
      <c r="Q671" s="2">
        <f t="shared" si="69"/>
        <v>0.37624999999999198</v>
      </c>
      <c r="R671" s="2">
        <f t="shared" si="70"/>
        <v>0.37459999999999211</v>
      </c>
      <c r="S671" s="2">
        <f t="shared" si="71"/>
        <v>1.6499999999998738E-3</v>
      </c>
    </row>
    <row r="672" spans="2:19" x14ac:dyDescent="0.25">
      <c r="B672" s="1">
        <f t="shared" si="72"/>
        <v>666</v>
      </c>
      <c r="C672" s="1">
        <v>964</v>
      </c>
      <c r="D672" s="13">
        <v>75.3</v>
      </c>
      <c r="E672" s="1" t="s">
        <v>11</v>
      </c>
      <c r="F672" s="2">
        <v>3.54</v>
      </c>
      <c r="G672" s="1" t="s">
        <v>12</v>
      </c>
      <c r="H672" s="1" t="s">
        <v>13</v>
      </c>
      <c r="I672" s="1" t="s">
        <v>14</v>
      </c>
      <c r="J672" s="14">
        <v>0.64269675925925929</v>
      </c>
      <c r="K672" s="15">
        <v>44751</v>
      </c>
      <c r="M672" s="2">
        <v>3.52</v>
      </c>
      <c r="O672" s="2">
        <f t="shared" si="67"/>
        <v>3.45</v>
      </c>
      <c r="P672" s="2">
        <f t="shared" si="68"/>
        <v>74.94285714285715</v>
      </c>
      <c r="Q672" s="2">
        <f t="shared" si="69"/>
        <v>0.37649999999999195</v>
      </c>
      <c r="R672" s="2">
        <f t="shared" si="70"/>
        <v>0.37482857142856352</v>
      </c>
      <c r="S672" s="2">
        <f t="shared" si="71"/>
        <v>1.6714285714284349E-3</v>
      </c>
    </row>
    <row r="673" spans="2:19" x14ac:dyDescent="0.25">
      <c r="B673" s="1">
        <f t="shared" si="72"/>
        <v>667</v>
      </c>
      <c r="C673" s="1">
        <v>965</v>
      </c>
      <c r="D673" s="13">
        <v>75.3</v>
      </c>
      <c r="E673" s="1" t="s">
        <v>11</v>
      </c>
      <c r="F673" s="2">
        <v>3.5449999999999999</v>
      </c>
      <c r="G673" s="1" t="s">
        <v>12</v>
      </c>
      <c r="H673" s="1" t="s">
        <v>13</v>
      </c>
      <c r="I673" s="1" t="s">
        <v>14</v>
      </c>
      <c r="J673" s="14">
        <v>0.64269675925925929</v>
      </c>
      <c r="K673" s="15">
        <v>44751</v>
      </c>
      <c r="M673" s="2">
        <v>3.5249999999999999</v>
      </c>
      <c r="O673" s="2">
        <f t="shared" si="67"/>
        <v>3.4550000000000001</v>
      </c>
      <c r="P673" s="2">
        <f t="shared" si="68"/>
        <v>74.988571428571447</v>
      </c>
      <c r="Q673" s="2">
        <f t="shared" si="69"/>
        <v>0.37674999999999192</v>
      </c>
      <c r="R673" s="2">
        <f t="shared" si="70"/>
        <v>0.37505714285713493</v>
      </c>
      <c r="S673" s="2">
        <f t="shared" si="71"/>
        <v>1.6928571428569961E-3</v>
      </c>
    </row>
    <row r="674" spans="2:19" x14ac:dyDescent="0.25">
      <c r="B674" s="1">
        <f t="shared" si="72"/>
        <v>668</v>
      </c>
      <c r="C674" s="1">
        <v>966</v>
      </c>
      <c r="D674" s="13">
        <v>75.400000000000006</v>
      </c>
      <c r="E674" s="1" t="s">
        <v>11</v>
      </c>
      <c r="F674" s="2">
        <v>3.55</v>
      </c>
      <c r="G674" s="1" t="s">
        <v>12</v>
      </c>
      <c r="H674" s="1" t="s">
        <v>13</v>
      </c>
      <c r="I674" s="1" t="s">
        <v>14</v>
      </c>
      <c r="J674" s="14">
        <v>0.64269675925925929</v>
      </c>
      <c r="K674" s="15">
        <v>44751</v>
      </c>
      <c r="M674" s="2">
        <v>3.53</v>
      </c>
      <c r="O674" s="2">
        <f t="shared" si="67"/>
        <v>3.46</v>
      </c>
      <c r="P674" s="2">
        <f t="shared" si="68"/>
        <v>75.034285714285716</v>
      </c>
      <c r="Q674" s="2">
        <f t="shared" si="69"/>
        <v>0.37700000000002548</v>
      </c>
      <c r="R674" s="2">
        <f t="shared" si="70"/>
        <v>0.37528571428573965</v>
      </c>
      <c r="S674" s="2">
        <f t="shared" si="71"/>
        <v>1.7142857142858348E-3</v>
      </c>
    </row>
    <row r="675" spans="2:19" x14ac:dyDescent="0.25">
      <c r="B675" s="1">
        <f t="shared" si="72"/>
        <v>669</v>
      </c>
      <c r="C675" s="1">
        <v>967</v>
      </c>
      <c r="D675" s="13">
        <v>75.400000000000006</v>
      </c>
      <c r="E675" s="1" t="s">
        <v>11</v>
      </c>
      <c r="F675" s="2">
        <v>3.5550000000000002</v>
      </c>
      <c r="G675" s="1" t="s">
        <v>12</v>
      </c>
      <c r="H675" s="1" t="s">
        <v>13</v>
      </c>
      <c r="I675" s="1" t="s">
        <v>14</v>
      </c>
      <c r="J675" s="14">
        <v>0.64269675925925929</v>
      </c>
      <c r="K675" s="15">
        <v>44751</v>
      </c>
      <c r="M675" s="2">
        <v>3.5350000000000001</v>
      </c>
      <c r="O675" s="2">
        <f t="shared" si="67"/>
        <v>3.4650000000000003</v>
      </c>
      <c r="P675" s="2">
        <f t="shared" si="68"/>
        <v>75.080000000000013</v>
      </c>
      <c r="Q675" s="2">
        <f t="shared" si="69"/>
        <v>0.37724999999999198</v>
      </c>
      <c r="R675" s="2">
        <f t="shared" si="70"/>
        <v>0.37551428571427775</v>
      </c>
      <c r="S675" s="2">
        <f t="shared" si="71"/>
        <v>1.7357142857142294E-3</v>
      </c>
    </row>
    <row r="676" spans="2:19" x14ac:dyDescent="0.25">
      <c r="B676" s="1">
        <f t="shared" si="72"/>
        <v>670</v>
      </c>
      <c r="C676" s="1">
        <v>968</v>
      </c>
      <c r="D676" s="13">
        <v>75.5</v>
      </c>
      <c r="E676" s="1" t="s">
        <v>11</v>
      </c>
      <c r="F676" s="2">
        <v>3.56</v>
      </c>
      <c r="G676" s="1" t="s">
        <v>12</v>
      </c>
      <c r="H676" s="1" t="s">
        <v>13</v>
      </c>
      <c r="I676" s="1" t="s">
        <v>14</v>
      </c>
      <c r="J676" s="14">
        <v>0.64269675925925929</v>
      </c>
      <c r="K676" s="15">
        <v>44751</v>
      </c>
      <c r="M676" s="2">
        <v>3.54</v>
      </c>
      <c r="O676" s="2">
        <f t="shared" si="67"/>
        <v>3.47</v>
      </c>
      <c r="P676" s="2">
        <f t="shared" si="68"/>
        <v>75.125714285714295</v>
      </c>
      <c r="Q676" s="2">
        <f t="shared" si="69"/>
        <v>0.37749999999999195</v>
      </c>
      <c r="R676" s="2">
        <f t="shared" si="70"/>
        <v>0.37574285714284922</v>
      </c>
      <c r="S676" s="2">
        <f t="shared" si="71"/>
        <v>1.757142857142735E-3</v>
      </c>
    </row>
    <row r="677" spans="2:19" x14ac:dyDescent="0.25">
      <c r="B677" s="1">
        <f t="shared" si="72"/>
        <v>671</v>
      </c>
      <c r="C677" s="1">
        <v>969</v>
      </c>
      <c r="D677" s="13">
        <v>75.5</v>
      </c>
      <c r="E677" s="1" t="s">
        <v>11</v>
      </c>
      <c r="F677" s="2">
        <v>3.5649999999999999</v>
      </c>
      <c r="G677" s="1" t="s">
        <v>12</v>
      </c>
      <c r="H677" s="1" t="s">
        <v>13</v>
      </c>
      <c r="I677" s="1" t="s">
        <v>14</v>
      </c>
      <c r="J677" s="14">
        <v>0.64270833333333333</v>
      </c>
      <c r="K677" s="15">
        <v>44751</v>
      </c>
      <c r="M677" s="2">
        <v>3.5449999999999999</v>
      </c>
      <c r="O677" s="2">
        <f t="shared" si="67"/>
        <v>3.4750000000000001</v>
      </c>
      <c r="P677" s="2">
        <f t="shared" si="68"/>
        <v>75.171428571428578</v>
      </c>
      <c r="Q677" s="2">
        <f t="shared" si="69"/>
        <v>0.37774999999999193</v>
      </c>
      <c r="R677" s="2">
        <f t="shared" si="70"/>
        <v>0.37597142857142063</v>
      </c>
      <c r="S677" s="2">
        <f t="shared" si="71"/>
        <v>1.7785714285712961E-3</v>
      </c>
    </row>
    <row r="678" spans="2:19" x14ac:dyDescent="0.25">
      <c r="B678" s="1">
        <f t="shared" si="72"/>
        <v>672</v>
      </c>
      <c r="C678" s="1">
        <v>971</v>
      </c>
      <c r="D678" s="13">
        <v>75.599999999999994</v>
      </c>
      <c r="E678" s="1" t="s">
        <v>11</v>
      </c>
      <c r="F678" s="2">
        <v>3.57</v>
      </c>
      <c r="G678" s="1" t="s">
        <v>12</v>
      </c>
      <c r="H678" s="1" t="s">
        <v>13</v>
      </c>
      <c r="I678" s="1" t="s">
        <v>14</v>
      </c>
      <c r="J678" s="14">
        <v>0.64270833333333333</v>
      </c>
      <c r="K678" s="15">
        <v>44751</v>
      </c>
      <c r="M678" s="2">
        <v>3.55</v>
      </c>
      <c r="O678" s="2">
        <f t="shared" si="67"/>
        <v>3.48</v>
      </c>
      <c r="P678" s="2">
        <f t="shared" si="68"/>
        <v>75.217142857142875</v>
      </c>
      <c r="Q678" s="2">
        <f t="shared" si="69"/>
        <v>0.37800000000002548</v>
      </c>
      <c r="R678" s="2">
        <f t="shared" si="70"/>
        <v>0.37620000000002546</v>
      </c>
      <c r="S678" s="2">
        <f t="shared" si="71"/>
        <v>1.8000000000000238E-3</v>
      </c>
    </row>
    <row r="679" spans="2:19" x14ac:dyDescent="0.25">
      <c r="B679" s="1">
        <f t="shared" si="72"/>
        <v>673</v>
      </c>
      <c r="C679" s="1">
        <v>972</v>
      </c>
      <c r="D679" s="13">
        <v>75.599999999999994</v>
      </c>
      <c r="E679" s="1" t="s">
        <v>11</v>
      </c>
      <c r="F679" s="2">
        <v>3.5750000000000002</v>
      </c>
      <c r="G679" s="1" t="s">
        <v>12</v>
      </c>
      <c r="H679" s="1" t="s">
        <v>13</v>
      </c>
      <c r="I679" s="1" t="s">
        <v>14</v>
      </c>
      <c r="J679" s="14">
        <v>0.64270833333333333</v>
      </c>
      <c r="K679" s="15">
        <v>44751</v>
      </c>
      <c r="M679" s="2">
        <v>3.5550000000000002</v>
      </c>
      <c r="O679" s="2">
        <f t="shared" si="67"/>
        <v>3.4850000000000003</v>
      </c>
      <c r="P679" s="2">
        <f t="shared" si="68"/>
        <v>75.262857142857158</v>
      </c>
      <c r="Q679" s="2">
        <f t="shared" si="69"/>
        <v>0.3779999999999919</v>
      </c>
      <c r="R679" s="2">
        <f t="shared" si="70"/>
        <v>0.37642857142856351</v>
      </c>
      <c r="S679" s="2">
        <f t="shared" si="71"/>
        <v>1.5714285714283904E-3</v>
      </c>
    </row>
    <row r="680" spans="2:19" x14ac:dyDescent="0.25">
      <c r="B680" s="1">
        <f t="shared" si="72"/>
        <v>674</v>
      </c>
      <c r="C680" s="1">
        <v>973</v>
      </c>
      <c r="D680" s="13">
        <v>75.599999999999994</v>
      </c>
      <c r="E680" s="1" t="s">
        <v>11</v>
      </c>
      <c r="F680" s="2">
        <v>3.58</v>
      </c>
      <c r="G680" s="1" t="s">
        <v>12</v>
      </c>
      <c r="H680" s="1" t="s">
        <v>13</v>
      </c>
      <c r="I680" s="1" t="s">
        <v>14</v>
      </c>
      <c r="J680" s="14">
        <v>0.64270833333333333</v>
      </c>
      <c r="K680" s="15">
        <v>44751</v>
      </c>
      <c r="M680" s="2">
        <v>3.56</v>
      </c>
      <c r="O680" s="2">
        <f t="shared" si="67"/>
        <v>3.49</v>
      </c>
      <c r="P680" s="2">
        <f t="shared" si="68"/>
        <v>75.30857142857144</v>
      </c>
      <c r="Q680" s="2">
        <f t="shared" si="69"/>
        <v>0.37824999999999198</v>
      </c>
      <c r="R680" s="2">
        <f t="shared" si="70"/>
        <v>0.37665714285713486</v>
      </c>
      <c r="S680" s="2">
        <f t="shared" si="71"/>
        <v>1.5928571428571181E-3</v>
      </c>
    </row>
    <row r="681" spans="2:19" x14ac:dyDescent="0.25">
      <c r="B681" s="1">
        <f t="shared" si="72"/>
        <v>675</v>
      </c>
      <c r="C681" s="1">
        <v>975</v>
      </c>
      <c r="D681" s="13">
        <v>75.7</v>
      </c>
      <c r="E681" s="1" t="s">
        <v>11</v>
      </c>
      <c r="F681" s="2">
        <v>3.585</v>
      </c>
      <c r="G681" s="1" t="s">
        <v>12</v>
      </c>
      <c r="H681" s="1" t="s">
        <v>13</v>
      </c>
      <c r="I681" s="1" t="s">
        <v>14</v>
      </c>
      <c r="J681" s="14">
        <v>0.64270833333333333</v>
      </c>
      <c r="K681" s="15">
        <v>44751</v>
      </c>
      <c r="M681" s="2">
        <v>3.5649999999999999</v>
      </c>
      <c r="O681" s="2">
        <f t="shared" si="67"/>
        <v>3.4950000000000001</v>
      </c>
      <c r="P681" s="2">
        <f t="shared" si="68"/>
        <v>75.354285714285723</v>
      </c>
      <c r="Q681" s="2">
        <f t="shared" si="69"/>
        <v>0.37849999999999195</v>
      </c>
      <c r="R681" s="2">
        <f t="shared" si="70"/>
        <v>0.37688571428570633</v>
      </c>
      <c r="S681" s="2">
        <f t="shared" si="71"/>
        <v>1.6142857142856237E-3</v>
      </c>
    </row>
    <row r="682" spans="2:19" x14ac:dyDescent="0.25">
      <c r="B682" s="1">
        <f t="shared" si="72"/>
        <v>676</v>
      </c>
      <c r="C682" s="1">
        <v>976</v>
      </c>
      <c r="D682" s="13">
        <v>75.7</v>
      </c>
      <c r="E682" s="1" t="s">
        <v>11</v>
      </c>
      <c r="F682" s="2">
        <v>3.59</v>
      </c>
      <c r="G682" s="1" t="s">
        <v>12</v>
      </c>
      <c r="H682" s="1" t="s">
        <v>13</v>
      </c>
      <c r="I682" s="1" t="s">
        <v>14</v>
      </c>
      <c r="J682" s="14">
        <v>0.64270833333333333</v>
      </c>
      <c r="K682" s="15">
        <v>44751</v>
      </c>
      <c r="M682" s="2">
        <v>3.57</v>
      </c>
      <c r="O682" s="2">
        <f t="shared" si="67"/>
        <v>3.5</v>
      </c>
      <c r="P682" s="2">
        <f t="shared" si="68"/>
        <v>75.400000000000006</v>
      </c>
      <c r="Q682" s="2">
        <f t="shared" si="69"/>
        <v>0.37875000000002557</v>
      </c>
      <c r="R682" s="2">
        <f t="shared" si="70"/>
        <v>0.37711428571431121</v>
      </c>
      <c r="S682" s="2">
        <f t="shared" si="71"/>
        <v>1.6357142857143514E-3</v>
      </c>
    </row>
    <row r="683" spans="2:19" x14ac:dyDescent="0.25">
      <c r="B683" s="1">
        <f t="shared" si="72"/>
        <v>677</v>
      </c>
      <c r="C683" s="1">
        <v>977</v>
      </c>
      <c r="D683" s="13">
        <v>75.8</v>
      </c>
      <c r="E683" s="1" t="s">
        <v>11</v>
      </c>
      <c r="F683" s="2">
        <v>3.5950000000000002</v>
      </c>
      <c r="G683" s="1" t="s">
        <v>12</v>
      </c>
      <c r="H683" s="1" t="s">
        <v>13</v>
      </c>
      <c r="I683" s="1" t="s">
        <v>14</v>
      </c>
      <c r="J683" s="14">
        <v>0.64270833333333333</v>
      </c>
      <c r="K683" s="15">
        <v>44751</v>
      </c>
      <c r="M683" s="2">
        <v>3.5750000000000002</v>
      </c>
      <c r="O683" s="2">
        <f t="shared" si="67"/>
        <v>3.5050000000000003</v>
      </c>
      <c r="P683" s="2">
        <f t="shared" si="68"/>
        <v>75.445714285714303</v>
      </c>
      <c r="Q683" s="2">
        <f t="shared" si="69"/>
        <v>0.37924999999999187</v>
      </c>
      <c r="R683" s="2">
        <f t="shared" si="70"/>
        <v>0.37734285714284915</v>
      </c>
      <c r="S683" s="2">
        <f t="shared" si="71"/>
        <v>1.9071428571427185E-3</v>
      </c>
    </row>
    <row r="684" spans="2:19" x14ac:dyDescent="0.25">
      <c r="B684" s="1">
        <f t="shared" si="72"/>
        <v>678</v>
      </c>
      <c r="C684" s="1">
        <v>978</v>
      </c>
      <c r="D684" s="13">
        <v>75.900000000000006</v>
      </c>
      <c r="E684" s="1" t="s">
        <v>11</v>
      </c>
      <c r="F684" s="2">
        <v>3.6</v>
      </c>
      <c r="G684" s="1" t="s">
        <v>12</v>
      </c>
      <c r="H684" s="1" t="s">
        <v>13</v>
      </c>
      <c r="I684" s="1" t="s">
        <v>14</v>
      </c>
      <c r="J684" s="14">
        <v>0.64270833333333333</v>
      </c>
      <c r="K684" s="15">
        <v>44751</v>
      </c>
      <c r="M684" s="2">
        <v>3.58</v>
      </c>
      <c r="O684" s="2">
        <f t="shared" si="67"/>
        <v>3.5100000000000002</v>
      </c>
      <c r="P684" s="2">
        <f t="shared" si="68"/>
        <v>75.491428571428585</v>
      </c>
      <c r="Q684" s="2">
        <f t="shared" si="69"/>
        <v>0.37949999999999195</v>
      </c>
      <c r="R684" s="2">
        <f t="shared" si="70"/>
        <v>0.37757142857142062</v>
      </c>
      <c r="S684" s="2">
        <f t="shared" si="71"/>
        <v>1.9285714285713351E-3</v>
      </c>
    </row>
    <row r="685" spans="2:19" x14ac:dyDescent="0.25">
      <c r="B685" s="1">
        <f t="shared" si="72"/>
        <v>679</v>
      </c>
      <c r="C685" s="1">
        <v>979</v>
      </c>
      <c r="D685" s="13">
        <v>75.900000000000006</v>
      </c>
      <c r="E685" s="1" t="s">
        <v>11</v>
      </c>
      <c r="F685" s="2">
        <v>3.605</v>
      </c>
      <c r="G685" s="1" t="s">
        <v>12</v>
      </c>
      <c r="H685" s="1" t="s">
        <v>13</v>
      </c>
      <c r="I685" s="1" t="s">
        <v>14</v>
      </c>
      <c r="J685" s="14">
        <v>0.64271990740740736</v>
      </c>
      <c r="K685" s="15">
        <v>44751</v>
      </c>
      <c r="M685" s="2">
        <v>3.585</v>
      </c>
      <c r="O685" s="2">
        <f t="shared" si="67"/>
        <v>3.5150000000000001</v>
      </c>
      <c r="P685" s="2">
        <f t="shared" si="68"/>
        <v>75.537142857142868</v>
      </c>
      <c r="Q685" s="2">
        <f t="shared" si="69"/>
        <v>0.37949999999999195</v>
      </c>
      <c r="R685" s="2">
        <f t="shared" si="70"/>
        <v>0.37779999999999198</v>
      </c>
      <c r="S685" s="2">
        <f t="shared" si="71"/>
        <v>1.6999999999999793E-3</v>
      </c>
    </row>
    <row r="686" spans="2:19" x14ac:dyDescent="0.25">
      <c r="B686" s="1">
        <f t="shared" si="72"/>
        <v>680</v>
      </c>
      <c r="C686" s="1">
        <v>980</v>
      </c>
      <c r="D686" s="13">
        <v>75.900000000000006</v>
      </c>
      <c r="E686" s="1" t="s">
        <v>11</v>
      </c>
      <c r="F686" s="2">
        <v>3.61</v>
      </c>
      <c r="G686" s="1" t="s">
        <v>12</v>
      </c>
      <c r="H686" s="1" t="s">
        <v>13</v>
      </c>
      <c r="I686" s="1" t="s">
        <v>14</v>
      </c>
      <c r="J686" s="14">
        <v>0.64271990740740736</v>
      </c>
      <c r="K686" s="15">
        <v>44751</v>
      </c>
      <c r="M686" s="2">
        <v>3.59</v>
      </c>
      <c r="O686" s="2">
        <f t="shared" si="67"/>
        <v>3.52</v>
      </c>
      <c r="P686" s="2">
        <f t="shared" si="68"/>
        <v>75.582857142857151</v>
      </c>
      <c r="Q686" s="2">
        <f t="shared" si="69"/>
        <v>0.37975000000002562</v>
      </c>
      <c r="R686" s="2">
        <f t="shared" si="70"/>
        <v>0.37802857142859703</v>
      </c>
      <c r="S686" s="2">
        <f t="shared" si="71"/>
        <v>1.721428571428596E-3</v>
      </c>
    </row>
    <row r="687" spans="2:19" x14ac:dyDescent="0.25">
      <c r="B687" s="1">
        <f t="shared" si="72"/>
        <v>681</v>
      </c>
      <c r="C687" s="1">
        <v>981</v>
      </c>
      <c r="D687" s="13">
        <v>76</v>
      </c>
      <c r="E687" s="1" t="s">
        <v>11</v>
      </c>
      <c r="F687" s="2">
        <v>3.6150000000000002</v>
      </c>
      <c r="G687" s="1" t="s">
        <v>12</v>
      </c>
      <c r="H687" s="1" t="s">
        <v>13</v>
      </c>
      <c r="I687" s="1" t="s">
        <v>14</v>
      </c>
      <c r="J687" s="14">
        <v>0.64271990740740736</v>
      </c>
      <c r="K687" s="15">
        <v>44751</v>
      </c>
      <c r="M687" s="2">
        <v>3.5950000000000002</v>
      </c>
      <c r="O687" s="2">
        <f t="shared" si="67"/>
        <v>3.5250000000000004</v>
      </c>
      <c r="P687" s="2">
        <f t="shared" si="68"/>
        <v>75.628571428571433</v>
      </c>
      <c r="Q687" s="2">
        <f t="shared" si="69"/>
        <v>0.3799999999999919</v>
      </c>
      <c r="R687" s="2">
        <f t="shared" si="70"/>
        <v>0.37825714285713485</v>
      </c>
      <c r="S687" s="2">
        <f t="shared" si="71"/>
        <v>1.7428571428570461E-3</v>
      </c>
    </row>
    <row r="688" spans="2:19" x14ac:dyDescent="0.25">
      <c r="B688" s="1">
        <f t="shared" si="72"/>
        <v>682</v>
      </c>
      <c r="C688" s="1">
        <v>982</v>
      </c>
      <c r="D688" s="13">
        <v>76</v>
      </c>
      <c r="E688" s="1" t="s">
        <v>11</v>
      </c>
      <c r="F688" s="2">
        <v>3.62</v>
      </c>
      <c r="G688" s="1" t="s">
        <v>12</v>
      </c>
      <c r="H688" s="1" t="s">
        <v>13</v>
      </c>
      <c r="I688" s="1" t="s">
        <v>14</v>
      </c>
      <c r="J688" s="14">
        <v>0.64271990740740736</v>
      </c>
      <c r="K688" s="15">
        <v>44751</v>
      </c>
      <c r="M688" s="2">
        <v>3.6</v>
      </c>
      <c r="O688" s="2">
        <f t="shared" si="67"/>
        <v>3.5300000000000002</v>
      </c>
      <c r="P688" s="2">
        <f t="shared" si="68"/>
        <v>75.67428571428573</v>
      </c>
      <c r="Q688" s="2">
        <f t="shared" si="69"/>
        <v>0.3799999999999919</v>
      </c>
      <c r="R688" s="2">
        <f t="shared" si="70"/>
        <v>0.37848571428570627</v>
      </c>
      <c r="S688" s="2">
        <f t="shared" si="71"/>
        <v>1.5142857142856347E-3</v>
      </c>
    </row>
    <row r="689" spans="2:19" x14ac:dyDescent="0.25">
      <c r="B689" s="1">
        <f t="shared" si="72"/>
        <v>683</v>
      </c>
      <c r="C689" s="1">
        <v>983</v>
      </c>
      <c r="D689" s="13">
        <v>76</v>
      </c>
      <c r="E689" s="1" t="s">
        <v>11</v>
      </c>
      <c r="F689" s="2">
        <v>3.625</v>
      </c>
      <c r="G689" s="1" t="s">
        <v>12</v>
      </c>
      <c r="H689" s="1" t="s">
        <v>13</v>
      </c>
      <c r="I689" s="1" t="s">
        <v>14</v>
      </c>
      <c r="J689" s="14">
        <v>0.64271990740740736</v>
      </c>
      <c r="K689" s="15">
        <v>44751</v>
      </c>
      <c r="M689" s="2">
        <v>3.605</v>
      </c>
      <c r="O689" s="2">
        <f t="shared" si="67"/>
        <v>3.5350000000000001</v>
      </c>
      <c r="P689" s="2">
        <f t="shared" si="68"/>
        <v>75.720000000000013</v>
      </c>
      <c r="Q689" s="2">
        <f t="shared" si="69"/>
        <v>0.38024999999999187</v>
      </c>
      <c r="R689" s="2">
        <f t="shared" si="70"/>
        <v>0.37871428571427773</v>
      </c>
      <c r="S689" s="2">
        <f t="shared" si="71"/>
        <v>1.5357142857141404E-3</v>
      </c>
    </row>
    <row r="690" spans="2:19" x14ac:dyDescent="0.25">
      <c r="B690" s="1">
        <f t="shared" si="72"/>
        <v>684</v>
      </c>
      <c r="C690" s="1">
        <v>984</v>
      </c>
      <c r="D690" s="13">
        <v>76.099999999999994</v>
      </c>
      <c r="E690" s="1" t="s">
        <v>11</v>
      </c>
      <c r="F690" s="2">
        <v>3.63</v>
      </c>
      <c r="G690" s="1" t="s">
        <v>12</v>
      </c>
      <c r="H690" s="1" t="s">
        <v>13</v>
      </c>
      <c r="I690" s="1" t="s">
        <v>14</v>
      </c>
      <c r="J690" s="14">
        <v>0.64271990740740736</v>
      </c>
      <c r="K690" s="15">
        <v>44751</v>
      </c>
      <c r="M690" s="2">
        <v>3.61</v>
      </c>
      <c r="O690" s="2">
        <f t="shared" si="67"/>
        <v>3.54</v>
      </c>
      <c r="P690" s="2">
        <f t="shared" si="68"/>
        <v>75.765714285714296</v>
      </c>
      <c r="Q690" s="2">
        <f t="shared" si="69"/>
        <v>0.38049999999999184</v>
      </c>
      <c r="R690" s="2">
        <f t="shared" si="70"/>
        <v>0.37894285714284909</v>
      </c>
      <c r="S690" s="2">
        <f t="shared" si="71"/>
        <v>1.557142857142757E-3</v>
      </c>
    </row>
    <row r="691" spans="2:19" x14ac:dyDescent="0.25">
      <c r="B691" s="1">
        <f t="shared" si="72"/>
        <v>685</v>
      </c>
      <c r="C691" s="1">
        <v>985</v>
      </c>
      <c r="D691" s="13">
        <v>76.099999999999994</v>
      </c>
      <c r="E691" s="1" t="s">
        <v>11</v>
      </c>
      <c r="F691" s="2">
        <v>3.6349999999999998</v>
      </c>
      <c r="G691" s="1" t="s">
        <v>12</v>
      </c>
      <c r="H691" s="1" t="s">
        <v>13</v>
      </c>
      <c r="I691" s="1" t="s">
        <v>14</v>
      </c>
      <c r="J691" s="14">
        <v>0.64271990740740736</v>
      </c>
      <c r="K691" s="15">
        <v>44751</v>
      </c>
      <c r="M691" s="2">
        <v>3.6149999999999998</v>
      </c>
      <c r="O691" s="2">
        <f t="shared" si="67"/>
        <v>3.5449999999999999</v>
      </c>
      <c r="P691" s="2">
        <f t="shared" si="68"/>
        <v>75.811428571428578</v>
      </c>
      <c r="Q691" s="2">
        <f t="shared" si="69"/>
        <v>0.38075000000002573</v>
      </c>
      <c r="R691" s="2">
        <f t="shared" si="70"/>
        <v>0.37917142857145425</v>
      </c>
      <c r="S691" s="2">
        <f t="shared" si="71"/>
        <v>1.5785714285714847E-3</v>
      </c>
    </row>
    <row r="692" spans="2:19" x14ac:dyDescent="0.25">
      <c r="B692" s="1">
        <f t="shared" si="72"/>
        <v>686</v>
      </c>
      <c r="C692" s="1">
        <v>986</v>
      </c>
      <c r="D692" s="13">
        <v>76.2</v>
      </c>
      <c r="E692" s="1" t="s">
        <v>11</v>
      </c>
      <c r="F692" s="2">
        <v>3.64</v>
      </c>
      <c r="G692" s="1" t="s">
        <v>12</v>
      </c>
      <c r="H692" s="1" t="s">
        <v>13</v>
      </c>
      <c r="I692" s="1" t="s">
        <v>14</v>
      </c>
      <c r="J692" s="14">
        <v>0.64271990740740736</v>
      </c>
      <c r="K692" s="15">
        <v>44751</v>
      </c>
      <c r="M692" s="2">
        <v>3.62</v>
      </c>
      <c r="O692" s="2">
        <f t="shared" si="67"/>
        <v>3.5500000000000003</v>
      </c>
      <c r="P692" s="2">
        <f t="shared" si="68"/>
        <v>75.857142857142861</v>
      </c>
      <c r="Q692" s="2">
        <f t="shared" si="69"/>
        <v>0.38124999999999187</v>
      </c>
      <c r="R692" s="2">
        <f t="shared" si="70"/>
        <v>0.37939999999999197</v>
      </c>
      <c r="S692" s="2">
        <f t="shared" si="71"/>
        <v>1.8499999999999073E-3</v>
      </c>
    </row>
    <row r="693" spans="2:19" x14ac:dyDescent="0.25">
      <c r="B693" s="1">
        <f t="shared" si="72"/>
        <v>687</v>
      </c>
      <c r="C693" s="1">
        <v>988</v>
      </c>
      <c r="D693" s="13">
        <v>76.3</v>
      </c>
      <c r="E693" s="1" t="s">
        <v>11</v>
      </c>
      <c r="F693" s="2">
        <v>3.645</v>
      </c>
      <c r="G693" s="1" t="s">
        <v>12</v>
      </c>
      <c r="H693" s="1" t="s">
        <v>13</v>
      </c>
      <c r="I693" s="1" t="s">
        <v>14</v>
      </c>
      <c r="J693" s="14">
        <v>0.64271990740740736</v>
      </c>
      <c r="K693" s="15">
        <v>44751</v>
      </c>
      <c r="M693" s="2">
        <v>3.625</v>
      </c>
      <c r="O693" s="2">
        <f t="shared" si="67"/>
        <v>3.5550000000000002</v>
      </c>
      <c r="P693" s="2">
        <f t="shared" si="68"/>
        <v>75.902857142857158</v>
      </c>
      <c r="Q693" s="2">
        <f t="shared" si="69"/>
        <v>0.38149999999999185</v>
      </c>
      <c r="R693" s="2">
        <f t="shared" si="70"/>
        <v>0.37962857142856338</v>
      </c>
      <c r="S693" s="2">
        <f t="shared" si="71"/>
        <v>1.8714285714284684E-3</v>
      </c>
    </row>
    <row r="694" spans="2:19" x14ac:dyDescent="0.25">
      <c r="B694" s="1">
        <f t="shared" si="72"/>
        <v>688</v>
      </c>
      <c r="C694" s="1">
        <v>989</v>
      </c>
      <c r="D694" s="13">
        <v>76.3</v>
      </c>
      <c r="E694" s="1" t="s">
        <v>11</v>
      </c>
      <c r="F694" s="2">
        <v>3.65</v>
      </c>
      <c r="G694" s="1" t="s">
        <v>12</v>
      </c>
      <c r="H694" s="1" t="s">
        <v>13</v>
      </c>
      <c r="I694" s="1" t="s">
        <v>14</v>
      </c>
      <c r="J694" s="14">
        <v>0.64273148148148151</v>
      </c>
      <c r="K694" s="15">
        <v>44751</v>
      </c>
      <c r="M694" s="2">
        <v>3.63</v>
      </c>
      <c r="O694" s="2">
        <f t="shared" si="67"/>
        <v>3.56</v>
      </c>
      <c r="P694" s="2">
        <f t="shared" si="68"/>
        <v>75.948571428571441</v>
      </c>
      <c r="Q694" s="2">
        <f t="shared" si="69"/>
        <v>0.38174999999999182</v>
      </c>
      <c r="R694" s="2">
        <f t="shared" si="70"/>
        <v>0.37985714285713484</v>
      </c>
      <c r="S694" s="2">
        <f t="shared" si="71"/>
        <v>1.892857142856974E-3</v>
      </c>
    </row>
    <row r="695" spans="2:19" x14ac:dyDescent="0.25">
      <c r="B695" s="1">
        <f t="shared" si="72"/>
        <v>689</v>
      </c>
      <c r="C695" s="1">
        <v>990</v>
      </c>
      <c r="D695" s="13">
        <v>76.400000000000006</v>
      </c>
      <c r="E695" s="1" t="s">
        <v>11</v>
      </c>
      <c r="F695" s="2">
        <v>3.6549999999999998</v>
      </c>
      <c r="G695" s="1" t="s">
        <v>12</v>
      </c>
      <c r="H695" s="1" t="s">
        <v>13</v>
      </c>
      <c r="I695" s="1" t="s">
        <v>14</v>
      </c>
      <c r="J695" s="14">
        <v>0.64273148148148151</v>
      </c>
      <c r="K695" s="15">
        <v>44751</v>
      </c>
      <c r="M695" s="2">
        <v>3.6349999999999998</v>
      </c>
      <c r="O695" s="2">
        <f t="shared" si="67"/>
        <v>3.5649999999999999</v>
      </c>
      <c r="P695" s="2">
        <f t="shared" si="68"/>
        <v>75.994285714285724</v>
      </c>
      <c r="Q695" s="2">
        <f t="shared" si="69"/>
        <v>0.38200000000002582</v>
      </c>
      <c r="R695" s="2">
        <f t="shared" si="70"/>
        <v>0.38008571428574001</v>
      </c>
      <c r="S695" s="2">
        <f t="shared" si="71"/>
        <v>1.9142857142858127E-3</v>
      </c>
    </row>
    <row r="696" spans="2:19" x14ac:dyDescent="0.25">
      <c r="B696" s="1">
        <f t="shared" si="72"/>
        <v>690</v>
      </c>
      <c r="C696" s="1">
        <v>991</v>
      </c>
      <c r="D696" s="13">
        <v>76.400000000000006</v>
      </c>
      <c r="E696" s="1" t="s">
        <v>11</v>
      </c>
      <c r="F696" s="2">
        <v>3.66</v>
      </c>
      <c r="G696" s="1" t="s">
        <v>12</v>
      </c>
      <c r="H696" s="1" t="s">
        <v>13</v>
      </c>
      <c r="I696" s="1" t="s">
        <v>14</v>
      </c>
      <c r="J696" s="14">
        <v>0.64273148148148151</v>
      </c>
      <c r="K696" s="15">
        <v>44751</v>
      </c>
      <c r="M696" s="2">
        <v>3.64</v>
      </c>
      <c r="O696" s="2">
        <f t="shared" si="67"/>
        <v>3.5700000000000003</v>
      </c>
      <c r="P696" s="2">
        <f t="shared" si="68"/>
        <v>76.04000000000002</v>
      </c>
      <c r="Q696" s="2">
        <f t="shared" si="69"/>
        <v>0.3819999999999919</v>
      </c>
      <c r="R696" s="2">
        <f t="shared" si="70"/>
        <v>0.38031428571427767</v>
      </c>
      <c r="S696" s="2">
        <f t="shared" si="71"/>
        <v>1.6857142857142349E-3</v>
      </c>
    </row>
    <row r="697" spans="2:19" x14ac:dyDescent="0.25">
      <c r="B697" s="1">
        <f t="shared" si="72"/>
        <v>691</v>
      </c>
      <c r="C697" s="1">
        <v>992</v>
      </c>
      <c r="D697" s="13">
        <v>76.400000000000006</v>
      </c>
      <c r="E697" s="1" t="s">
        <v>11</v>
      </c>
      <c r="F697" s="2">
        <v>3.665</v>
      </c>
      <c r="G697" s="1" t="s">
        <v>12</v>
      </c>
      <c r="H697" s="1" t="s">
        <v>13</v>
      </c>
      <c r="I697" s="1" t="s">
        <v>14</v>
      </c>
      <c r="J697" s="14">
        <v>0.64273148148148151</v>
      </c>
      <c r="K697" s="15">
        <v>44751</v>
      </c>
      <c r="M697" s="2">
        <v>3.645</v>
      </c>
      <c r="O697" s="2">
        <f t="shared" si="67"/>
        <v>3.5750000000000002</v>
      </c>
      <c r="P697" s="2">
        <f t="shared" si="68"/>
        <v>76.085714285714289</v>
      </c>
      <c r="Q697" s="2">
        <f t="shared" si="69"/>
        <v>0.3819999999999919</v>
      </c>
      <c r="R697" s="2">
        <f t="shared" si="70"/>
        <v>0.38054285714284908</v>
      </c>
      <c r="S697" s="2">
        <f t="shared" si="71"/>
        <v>1.4571428571428235E-3</v>
      </c>
    </row>
    <row r="698" spans="2:19" x14ac:dyDescent="0.25">
      <c r="B698" s="1">
        <f t="shared" si="72"/>
        <v>692</v>
      </c>
      <c r="C698" s="1">
        <v>994</v>
      </c>
      <c r="D698" s="13">
        <v>76.400000000000006</v>
      </c>
      <c r="E698" s="1" t="s">
        <v>11</v>
      </c>
      <c r="F698" s="2">
        <v>3.67</v>
      </c>
      <c r="G698" s="1" t="s">
        <v>12</v>
      </c>
      <c r="H698" s="1" t="s">
        <v>13</v>
      </c>
      <c r="I698" s="1" t="s">
        <v>14</v>
      </c>
      <c r="J698" s="14">
        <v>0.64273148148148151</v>
      </c>
      <c r="K698" s="15">
        <v>44751</v>
      </c>
      <c r="M698" s="2">
        <v>3.65</v>
      </c>
      <c r="O698" s="2">
        <f t="shared" si="67"/>
        <v>3.58</v>
      </c>
      <c r="P698" s="2">
        <f t="shared" si="68"/>
        <v>76.131428571428586</v>
      </c>
      <c r="Q698" s="2">
        <f t="shared" si="69"/>
        <v>0.38224999999999187</v>
      </c>
      <c r="R698" s="2">
        <f t="shared" si="70"/>
        <v>0.38077142857142049</v>
      </c>
      <c r="S698" s="2">
        <f t="shared" si="71"/>
        <v>1.4785714285713847E-3</v>
      </c>
    </row>
    <row r="699" spans="2:19" x14ac:dyDescent="0.25">
      <c r="B699" s="1">
        <f t="shared" si="72"/>
        <v>693</v>
      </c>
      <c r="C699" s="1">
        <v>995</v>
      </c>
      <c r="D699" s="13">
        <v>76.5</v>
      </c>
      <c r="E699" s="1" t="s">
        <v>11</v>
      </c>
      <c r="F699" s="2">
        <v>3.6749999999999998</v>
      </c>
      <c r="G699" s="1" t="s">
        <v>12</v>
      </c>
      <c r="H699" s="1" t="s">
        <v>13</v>
      </c>
      <c r="I699" s="1" t="s">
        <v>14</v>
      </c>
      <c r="J699" s="14">
        <v>0.64273148148148151</v>
      </c>
      <c r="K699" s="15">
        <v>44751</v>
      </c>
      <c r="M699" s="2">
        <v>3.6549999999999998</v>
      </c>
      <c r="O699" s="2">
        <f t="shared" si="67"/>
        <v>3.585</v>
      </c>
      <c r="P699" s="2">
        <f t="shared" si="68"/>
        <v>76.177142857142869</v>
      </c>
      <c r="Q699" s="2">
        <f t="shared" si="69"/>
        <v>0.38275000000002585</v>
      </c>
      <c r="R699" s="2">
        <f t="shared" si="70"/>
        <v>0.38100000000002582</v>
      </c>
      <c r="S699" s="2">
        <f t="shared" si="71"/>
        <v>1.7500000000000293E-3</v>
      </c>
    </row>
    <row r="700" spans="2:19" x14ac:dyDescent="0.25">
      <c r="B700" s="1">
        <f t="shared" si="72"/>
        <v>694</v>
      </c>
      <c r="C700" s="1">
        <v>997</v>
      </c>
      <c r="D700" s="13">
        <v>76.599999999999994</v>
      </c>
      <c r="E700" s="1" t="s">
        <v>11</v>
      </c>
      <c r="F700" s="2">
        <v>3.68</v>
      </c>
      <c r="G700" s="1" t="s">
        <v>12</v>
      </c>
      <c r="H700" s="1" t="s">
        <v>13</v>
      </c>
      <c r="I700" s="1" t="s">
        <v>14</v>
      </c>
      <c r="J700" s="14">
        <v>0.64273148148148151</v>
      </c>
      <c r="K700" s="15">
        <v>44751</v>
      </c>
      <c r="M700" s="2">
        <v>3.66</v>
      </c>
      <c r="O700" s="2">
        <f t="shared" si="67"/>
        <v>3.5900000000000003</v>
      </c>
      <c r="P700" s="2">
        <f t="shared" si="68"/>
        <v>76.222857142857151</v>
      </c>
      <c r="Q700" s="2">
        <f t="shared" si="69"/>
        <v>0.38299999999999179</v>
      </c>
      <c r="R700" s="2">
        <f t="shared" si="70"/>
        <v>0.38122857142856337</v>
      </c>
      <c r="S700" s="2">
        <f t="shared" si="71"/>
        <v>1.7714285714284239E-3</v>
      </c>
    </row>
    <row r="701" spans="2:19" x14ac:dyDescent="0.25">
      <c r="B701" s="1">
        <f t="shared" si="72"/>
        <v>695</v>
      </c>
      <c r="C701" s="1">
        <v>999</v>
      </c>
      <c r="D701" s="13">
        <v>76.599999999999994</v>
      </c>
      <c r="E701" s="1" t="s">
        <v>11</v>
      </c>
      <c r="F701" s="2">
        <v>3.6850000000000001</v>
      </c>
      <c r="G701" s="1" t="s">
        <v>12</v>
      </c>
      <c r="H701" s="1" t="s">
        <v>13</v>
      </c>
      <c r="I701" s="1" t="s">
        <v>14</v>
      </c>
      <c r="J701" s="14">
        <v>0.64274305555555555</v>
      </c>
      <c r="K701" s="15">
        <v>44751</v>
      </c>
      <c r="M701" s="2">
        <v>3.665</v>
      </c>
      <c r="O701" s="2">
        <f t="shared" si="67"/>
        <v>3.5950000000000002</v>
      </c>
      <c r="P701" s="2">
        <f t="shared" si="68"/>
        <v>76.268571428571448</v>
      </c>
      <c r="Q701" s="2">
        <f t="shared" si="69"/>
        <v>0.38299999999999179</v>
      </c>
      <c r="R701" s="2">
        <f t="shared" si="70"/>
        <v>0.38145714285713478</v>
      </c>
      <c r="S701" s="2">
        <f t="shared" si="71"/>
        <v>1.5428571428570126E-3</v>
      </c>
    </row>
    <row r="702" spans="2:19" x14ac:dyDescent="0.25">
      <c r="B702" s="1">
        <f t="shared" si="72"/>
        <v>696</v>
      </c>
      <c r="C702" s="1">
        <v>1000</v>
      </c>
      <c r="D702" s="13">
        <v>76.599999999999994</v>
      </c>
      <c r="E702" s="1" t="s">
        <v>11</v>
      </c>
      <c r="F702" s="2">
        <v>3.69</v>
      </c>
      <c r="G702" s="1" t="s">
        <v>12</v>
      </c>
      <c r="H702" s="1" t="s">
        <v>13</v>
      </c>
      <c r="I702" s="1" t="s">
        <v>14</v>
      </c>
      <c r="J702" s="14">
        <v>0.64274305555555555</v>
      </c>
      <c r="K702" s="15">
        <v>44751</v>
      </c>
      <c r="M702" s="2">
        <v>3.67</v>
      </c>
      <c r="O702" s="2">
        <f t="shared" si="67"/>
        <v>3.6</v>
      </c>
      <c r="P702" s="2">
        <f t="shared" si="68"/>
        <v>76.314285714285717</v>
      </c>
      <c r="Q702" s="2">
        <f t="shared" si="69"/>
        <v>0.38299999999999179</v>
      </c>
      <c r="R702" s="2">
        <f t="shared" si="70"/>
        <v>0.38168571428570619</v>
      </c>
      <c r="S702" s="2">
        <f t="shared" si="71"/>
        <v>1.3142857142856013E-3</v>
      </c>
    </row>
    <row r="703" spans="2:19" x14ac:dyDescent="0.25">
      <c r="B703" s="1">
        <f t="shared" si="72"/>
        <v>697</v>
      </c>
      <c r="C703" s="1">
        <v>1001</v>
      </c>
      <c r="D703" s="13">
        <v>76.599999999999994</v>
      </c>
      <c r="E703" s="1" t="s">
        <v>11</v>
      </c>
      <c r="F703" s="2">
        <v>3.6949999999999998</v>
      </c>
      <c r="G703" s="1" t="s">
        <v>12</v>
      </c>
      <c r="H703" s="1" t="s">
        <v>13</v>
      </c>
      <c r="I703" s="1" t="s">
        <v>14</v>
      </c>
      <c r="J703" s="14">
        <v>0.64274305555555555</v>
      </c>
      <c r="K703" s="15">
        <v>44751</v>
      </c>
      <c r="M703" s="2">
        <v>3.6749999999999998</v>
      </c>
      <c r="O703" s="2">
        <f t="shared" si="67"/>
        <v>3.605</v>
      </c>
      <c r="P703" s="2">
        <f t="shared" si="68"/>
        <v>76.360000000000014</v>
      </c>
      <c r="Q703" s="2">
        <f t="shared" si="69"/>
        <v>0.38300000000002582</v>
      </c>
      <c r="R703" s="2">
        <f t="shared" si="70"/>
        <v>0.38191428571431152</v>
      </c>
      <c r="S703" s="2">
        <f t="shared" si="71"/>
        <v>1.085714285714301E-3</v>
      </c>
    </row>
    <row r="704" spans="2:19" x14ac:dyDescent="0.25">
      <c r="B704" s="1">
        <f t="shared" si="72"/>
        <v>698</v>
      </c>
      <c r="C704" s="1">
        <v>1002</v>
      </c>
      <c r="D704" s="13">
        <v>76.599999999999994</v>
      </c>
      <c r="E704" s="1" t="s">
        <v>11</v>
      </c>
      <c r="F704" s="2">
        <v>3.7</v>
      </c>
      <c r="G704" s="1" t="s">
        <v>12</v>
      </c>
      <c r="H704" s="1" t="s">
        <v>13</v>
      </c>
      <c r="I704" s="1" t="s">
        <v>14</v>
      </c>
      <c r="J704" s="14">
        <v>0.64274305555555555</v>
      </c>
      <c r="K704" s="15">
        <v>44751</v>
      </c>
      <c r="M704" s="2">
        <v>3.68</v>
      </c>
      <c r="O704" s="2">
        <f t="shared" si="67"/>
        <v>3.6100000000000003</v>
      </c>
      <c r="P704" s="2">
        <f t="shared" si="68"/>
        <v>76.405714285714296</v>
      </c>
      <c r="Q704" s="2">
        <f t="shared" si="69"/>
        <v>0.38299999999999179</v>
      </c>
      <c r="R704" s="2">
        <f t="shared" si="70"/>
        <v>0.38214285714284907</v>
      </c>
      <c r="S704" s="2">
        <f t="shared" si="71"/>
        <v>8.5714285714272309E-4</v>
      </c>
    </row>
    <row r="705" spans="2:19" x14ac:dyDescent="0.25">
      <c r="B705" s="1">
        <f t="shared" si="72"/>
        <v>699</v>
      </c>
      <c r="C705" s="1">
        <v>1004</v>
      </c>
      <c r="D705" s="13">
        <v>76.599999999999994</v>
      </c>
      <c r="E705" s="1" t="s">
        <v>11</v>
      </c>
      <c r="F705" s="2">
        <v>3.7050000000000001</v>
      </c>
      <c r="G705" s="1" t="s">
        <v>12</v>
      </c>
      <c r="H705" s="1" t="s">
        <v>13</v>
      </c>
      <c r="I705" s="1" t="s">
        <v>14</v>
      </c>
      <c r="J705" s="14">
        <v>0.64274305555555555</v>
      </c>
      <c r="K705" s="15">
        <v>44751</v>
      </c>
      <c r="M705" s="2">
        <v>3.6850000000000001</v>
      </c>
      <c r="O705" s="2">
        <f t="shared" si="67"/>
        <v>3.6150000000000002</v>
      </c>
      <c r="P705" s="2">
        <f t="shared" si="68"/>
        <v>76.451428571428579</v>
      </c>
      <c r="Q705" s="2">
        <f t="shared" si="69"/>
        <v>0.38324999999999187</v>
      </c>
      <c r="R705" s="2">
        <f t="shared" si="70"/>
        <v>0.38237142857142048</v>
      </c>
      <c r="S705" s="2">
        <f t="shared" si="71"/>
        <v>8.7857142857139525E-4</v>
      </c>
    </row>
    <row r="706" spans="2:19" x14ac:dyDescent="0.25">
      <c r="B706" s="1">
        <f t="shared" si="72"/>
        <v>700</v>
      </c>
      <c r="C706" s="1">
        <v>1005</v>
      </c>
      <c r="D706" s="13">
        <v>76.7</v>
      </c>
      <c r="E706" s="1" t="s">
        <v>11</v>
      </c>
      <c r="F706" s="2">
        <v>3.71</v>
      </c>
      <c r="G706" s="1" t="s">
        <v>12</v>
      </c>
      <c r="H706" s="1" t="s">
        <v>13</v>
      </c>
      <c r="I706" s="1" t="s">
        <v>14</v>
      </c>
      <c r="J706" s="14">
        <v>0.64274305555555555</v>
      </c>
      <c r="K706" s="15">
        <v>44751</v>
      </c>
      <c r="M706" s="2">
        <v>3.69</v>
      </c>
      <c r="O706" s="2">
        <f t="shared" si="67"/>
        <v>3.62</v>
      </c>
      <c r="P706" s="2">
        <f t="shared" si="68"/>
        <v>76.497142857142876</v>
      </c>
      <c r="Q706" s="2">
        <f t="shared" si="69"/>
        <v>0.38374999999999182</v>
      </c>
      <c r="R706" s="2">
        <f t="shared" si="70"/>
        <v>0.38259999999999189</v>
      </c>
      <c r="S706" s="2">
        <f t="shared" si="71"/>
        <v>1.1499999999999289E-3</v>
      </c>
    </row>
    <row r="707" spans="2:19" x14ac:dyDescent="0.25">
      <c r="B707" s="1">
        <f t="shared" si="72"/>
        <v>701</v>
      </c>
      <c r="C707" s="1">
        <v>1006</v>
      </c>
      <c r="D707" s="13">
        <v>76.8</v>
      </c>
      <c r="E707" s="1" t="s">
        <v>11</v>
      </c>
      <c r="F707" s="2">
        <v>3.7149999999999999</v>
      </c>
      <c r="G707" s="1" t="s">
        <v>12</v>
      </c>
      <c r="H707" s="1" t="s">
        <v>13</v>
      </c>
      <c r="I707" s="1" t="s">
        <v>14</v>
      </c>
      <c r="J707" s="14">
        <v>0.64274305555555555</v>
      </c>
      <c r="K707" s="15">
        <v>44751</v>
      </c>
      <c r="M707" s="2">
        <v>3.6949999999999998</v>
      </c>
      <c r="O707" s="2">
        <f t="shared" si="67"/>
        <v>3.625</v>
      </c>
      <c r="P707" s="2">
        <f t="shared" si="68"/>
        <v>76.542857142857144</v>
      </c>
      <c r="Q707" s="2">
        <f t="shared" si="69"/>
        <v>0.38400000000002593</v>
      </c>
      <c r="R707" s="2">
        <f t="shared" si="70"/>
        <v>0.38282857142859733</v>
      </c>
      <c r="S707" s="2">
        <f t="shared" si="71"/>
        <v>1.171428571428601E-3</v>
      </c>
    </row>
    <row r="708" spans="2:19" x14ac:dyDescent="0.25">
      <c r="B708" s="1">
        <f t="shared" si="72"/>
        <v>702</v>
      </c>
      <c r="C708" s="1">
        <v>1008</v>
      </c>
      <c r="D708" s="13">
        <v>76.8</v>
      </c>
      <c r="E708" s="1" t="s">
        <v>11</v>
      </c>
      <c r="F708" s="2">
        <v>3.72</v>
      </c>
      <c r="G708" s="1" t="s">
        <v>12</v>
      </c>
      <c r="H708" s="1" t="s">
        <v>13</v>
      </c>
      <c r="I708" s="1" t="s">
        <v>14</v>
      </c>
      <c r="J708" s="14">
        <v>0.64274305555555555</v>
      </c>
      <c r="K708" s="15">
        <v>44751</v>
      </c>
      <c r="M708" s="2">
        <v>3.7</v>
      </c>
      <c r="O708" s="2">
        <f t="shared" si="67"/>
        <v>3.6300000000000003</v>
      </c>
      <c r="P708" s="2">
        <f t="shared" si="68"/>
        <v>76.588571428571441</v>
      </c>
      <c r="Q708" s="2">
        <f t="shared" si="69"/>
        <v>0.38424999999999176</v>
      </c>
      <c r="R708" s="2">
        <f t="shared" si="70"/>
        <v>0.38305714285713471</v>
      </c>
      <c r="S708" s="2">
        <f t="shared" si="71"/>
        <v>1.1928571428570511E-3</v>
      </c>
    </row>
    <row r="709" spans="2:19" x14ac:dyDescent="0.25">
      <c r="B709" s="1">
        <f t="shared" si="72"/>
        <v>703</v>
      </c>
      <c r="C709" s="1">
        <v>1009</v>
      </c>
      <c r="D709" s="13">
        <v>76.900000000000006</v>
      </c>
      <c r="E709" s="1" t="s">
        <v>11</v>
      </c>
      <c r="F709" s="2">
        <v>3.7250000000000001</v>
      </c>
      <c r="G709" s="1" t="s">
        <v>12</v>
      </c>
      <c r="H709" s="1" t="s">
        <v>13</v>
      </c>
      <c r="I709" s="1" t="s">
        <v>14</v>
      </c>
      <c r="J709" s="14">
        <v>0.6427546296296297</v>
      </c>
      <c r="K709" s="15">
        <v>44751</v>
      </c>
      <c r="M709" s="2">
        <v>3.7050000000000001</v>
      </c>
      <c r="O709" s="2">
        <f t="shared" si="67"/>
        <v>3.6350000000000002</v>
      </c>
      <c r="P709" s="2">
        <f t="shared" si="68"/>
        <v>76.634285714285724</v>
      </c>
      <c r="Q709" s="2">
        <f t="shared" si="69"/>
        <v>0.38449999999999185</v>
      </c>
      <c r="R709" s="2">
        <f t="shared" si="70"/>
        <v>0.38328571428570618</v>
      </c>
      <c r="S709" s="2">
        <f t="shared" si="71"/>
        <v>1.2142857142856678E-3</v>
      </c>
    </row>
    <row r="710" spans="2:19" x14ac:dyDescent="0.25">
      <c r="B710" s="1">
        <f t="shared" si="72"/>
        <v>704</v>
      </c>
      <c r="C710" s="1">
        <v>1011</v>
      </c>
      <c r="D710" s="13">
        <v>76.900000000000006</v>
      </c>
      <c r="E710" s="1" t="s">
        <v>11</v>
      </c>
      <c r="F710" s="2">
        <v>3.73</v>
      </c>
      <c r="G710" s="1" t="s">
        <v>12</v>
      </c>
      <c r="H710" s="1" t="s">
        <v>13</v>
      </c>
      <c r="I710" s="1" t="s">
        <v>14</v>
      </c>
      <c r="J710" s="14">
        <v>0.6427546296296297</v>
      </c>
      <c r="K710" s="15">
        <v>44751</v>
      </c>
      <c r="M710" s="2">
        <v>3.71</v>
      </c>
      <c r="O710" s="2">
        <f t="shared" si="67"/>
        <v>3.64</v>
      </c>
      <c r="P710" s="2">
        <f t="shared" si="68"/>
        <v>76.680000000000007</v>
      </c>
      <c r="Q710" s="2">
        <f t="shared" si="69"/>
        <v>0.38449999999999185</v>
      </c>
      <c r="R710" s="2">
        <f t="shared" si="70"/>
        <v>0.38351428571427759</v>
      </c>
      <c r="S710" s="2">
        <f t="shared" si="71"/>
        <v>9.8571428571425646E-4</v>
      </c>
    </row>
    <row r="711" spans="2:19" x14ac:dyDescent="0.25">
      <c r="B711" s="1">
        <f t="shared" si="72"/>
        <v>705</v>
      </c>
      <c r="C711" s="1">
        <v>1013</v>
      </c>
      <c r="D711" s="13">
        <v>76.900000000000006</v>
      </c>
      <c r="E711" s="1" t="s">
        <v>11</v>
      </c>
      <c r="F711" s="2">
        <v>3.7349999999999999</v>
      </c>
      <c r="G711" s="1" t="s">
        <v>12</v>
      </c>
      <c r="H711" s="1" t="s">
        <v>13</v>
      </c>
      <c r="I711" s="1" t="s">
        <v>14</v>
      </c>
      <c r="J711" s="14">
        <v>0.6427546296296297</v>
      </c>
      <c r="K711" s="15">
        <v>44751</v>
      </c>
      <c r="M711" s="2">
        <v>3.7149999999999999</v>
      </c>
      <c r="O711" s="2">
        <f t="shared" si="67"/>
        <v>3.645</v>
      </c>
      <c r="P711" s="2">
        <f t="shared" si="68"/>
        <v>76.725714285714304</v>
      </c>
      <c r="Q711" s="2">
        <f t="shared" si="69"/>
        <v>0.38475000000002596</v>
      </c>
      <c r="R711" s="2">
        <f t="shared" si="70"/>
        <v>0.38374285714288309</v>
      </c>
      <c r="S711" s="2">
        <f t="shared" si="71"/>
        <v>1.0071428571428731E-3</v>
      </c>
    </row>
    <row r="712" spans="2:19" x14ac:dyDescent="0.25">
      <c r="B712" s="1">
        <f t="shared" si="72"/>
        <v>706</v>
      </c>
      <c r="C712" s="1">
        <v>1014</v>
      </c>
      <c r="D712" s="13">
        <v>77</v>
      </c>
      <c r="E712" s="1" t="s">
        <v>11</v>
      </c>
      <c r="F712" s="2">
        <v>3.74</v>
      </c>
      <c r="G712" s="1" t="s">
        <v>12</v>
      </c>
      <c r="H712" s="1" t="s">
        <v>13</v>
      </c>
      <c r="I712" s="1" t="s">
        <v>14</v>
      </c>
      <c r="J712" s="14">
        <v>0.6427546296296297</v>
      </c>
      <c r="K712" s="15">
        <v>44751</v>
      </c>
      <c r="M712" s="2">
        <v>3.72</v>
      </c>
      <c r="O712" s="2">
        <f t="shared" ref="O712:O775" si="73">M712-$X$23</f>
        <v>3.6500000000000004</v>
      </c>
      <c r="P712" s="2">
        <f t="shared" ref="P712:P775" si="74">O712*$AC$21+$Y$23</f>
        <v>76.771428571428586</v>
      </c>
      <c r="Q712" s="2">
        <f t="shared" ref="Q712:Q775" si="75">((D712+D713)/2)*(M713-M712)</f>
        <v>0.38524999999999177</v>
      </c>
      <c r="R712" s="2">
        <f t="shared" ref="R712:R775" si="76">((P712+P713)/2)*(O713-O712)</f>
        <v>0.38397142857142047</v>
      </c>
      <c r="S712" s="2">
        <f t="shared" ref="S712:S775" si="77">Q712-R712</f>
        <v>1.2785714285712957E-3</v>
      </c>
    </row>
    <row r="713" spans="2:19" x14ac:dyDescent="0.25">
      <c r="B713" s="1">
        <f t="shared" ref="B713:B776" si="78">B712+1</f>
        <v>707</v>
      </c>
      <c r="C713" s="1">
        <v>1016</v>
      </c>
      <c r="D713" s="13">
        <v>77.099999999999994</v>
      </c>
      <c r="E713" s="1" t="s">
        <v>11</v>
      </c>
      <c r="F713" s="2">
        <v>3.7450000000000001</v>
      </c>
      <c r="G713" s="1" t="s">
        <v>12</v>
      </c>
      <c r="H713" s="1" t="s">
        <v>13</v>
      </c>
      <c r="I713" s="1" t="s">
        <v>14</v>
      </c>
      <c r="J713" s="14">
        <v>0.6427546296296297</v>
      </c>
      <c r="K713" s="15">
        <v>44751</v>
      </c>
      <c r="M713" s="2">
        <v>3.7250000000000001</v>
      </c>
      <c r="O713" s="2">
        <f t="shared" si="73"/>
        <v>3.6550000000000002</v>
      </c>
      <c r="P713" s="2">
        <f t="shared" si="74"/>
        <v>76.817142857142869</v>
      </c>
      <c r="Q713" s="2">
        <f t="shared" si="75"/>
        <v>0.38549999999999174</v>
      </c>
      <c r="R713" s="2">
        <f t="shared" si="76"/>
        <v>0.38419999999999183</v>
      </c>
      <c r="S713" s="2">
        <f t="shared" si="77"/>
        <v>1.2999999999999123E-3</v>
      </c>
    </row>
    <row r="714" spans="2:19" x14ac:dyDescent="0.25">
      <c r="B714" s="1">
        <f t="shared" si="78"/>
        <v>708</v>
      </c>
      <c r="C714" s="1">
        <v>1017</v>
      </c>
      <c r="D714" s="13">
        <v>77.099999999999994</v>
      </c>
      <c r="E714" s="1" t="s">
        <v>11</v>
      </c>
      <c r="F714" s="2">
        <v>3.75</v>
      </c>
      <c r="G714" s="1" t="s">
        <v>12</v>
      </c>
      <c r="H714" s="1" t="s">
        <v>13</v>
      </c>
      <c r="I714" s="1" t="s">
        <v>14</v>
      </c>
      <c r="J714" s="14">
        <v>0.6427546296296297</v>
      </c>
      <c r="K714" s="15">
        <v>44751</v>
      </c>
      <c r="M714" s="2">
        <v>3.73</v>
      </c>
      <c r="O714" s="2">
        <f t="shared" si="73"/>
        <v>3.66</v>
      </c>
      <c r="P714" s="2">
        <f t="shared" si="74"/>
        <v>76.862857142857152</v>
      </c>
      <c r="Q714" s="2">
        <f t="shared" si="75"/>
        <v>0.38574999999999182</v>
      </c>
      <c r="R714" s="2">
        <f t="shared" si="76"/>
        <v>0.38442857142856329</v>
      </c>
      <c r="S714" s="2">
        <f t="shared" si="77"/>
        <v>1.321428571428529E-3</v>
      </c>
    </row>
    <row r="715" spans="2:19" x14ac:dyDescent="0.25">
      <c r="B715" s="1">
        <f t="shared" si="78"/>
        <v>709</v>
      </c>
      <c r="C715" s="1">
        <v>1018</v>
      </c>
      <c r="D715" s="13">
        <v>77.2</v>
      </c>
      <c r="E715" s="1" t="s">
        <v>11</v>
      </c>
      <c r="F715" s="2">
        <v>3.7549999999999999</v>
      </c>
      <c r="G715" s="1" t="s">
        <v>12</v>
      </c>
      <c r="H715" s="1" t="s">
        <v>13</v>
      </c>
      <c r="I715" s="1" t="s">
        <v>14</v>
      </c>
      <c r="J715" s="14">
        <v>0.6427546296296297</v>
      </c>
      <c r="K715" s="15">
        <v>44751</v>
      </c>
      <c r="M715" s="2">
        <v>3.7349999999999999</v>
      </c>
      <c r="O715" s="2">
        <f t="shared" si="73"/>
        <v>3.665</v>
      </c>
      <c r="P715" s="2">
        <f t="shared" si="74"/>
        <v>76.908571428571435</v>
      </c>
      <c r="Q715" s="2">
        <f t="shared" si="75"/>
        <v>0.77200000000001789</v>
      </c>
      <c r="R715" s="2">
        <f t="shared" si="76"/>
        <v>0.76954285714287507</v>
      </c>
      <c r="S715" s="2">
        <f t="shared" si="77"/>
        <v>2.4571428571428244E-3</v>
      </c>
    </row>
    <row r="716" spans="2:19" x14ac:dyDescent="0.25">
      <c r="B716" s="1">
        <f t="shared" si="78"/>
        <v>710</v>
      </c>
      <c r="C716" s="1">
        <v>1019</v>
      </c>
      <c r="D716" s="13">
        <v>77.2</v>
      </c>
      <c r="E716" s="1" t="s">
        <v>11</v>
      </c>
      <c r="F716" s="2">
        <v>3.7650000000000001</v>
      </c>
      <c r="G716" s="1" t="s">
        <v>12</v>
      </c>
      <c r="H716" s="1" t="s">
        <v>13</v>
      </c>
      <c r="I716" s="1" t="s">
        <v>14</v>
      </c>
      <c r="J716" s="14">
        <v>0.64276620370370374</v>
      </c>
      <c r="K716" s="15">
        <v>44751</v>
      </c>
      <c r="M716" s="2">
        <v>3.7450000000000001</v>
      </c>
      <c r="O716" s="2">
        <f t="shared" si="73"/>
        <v>3.6750000000000003</v>
      </c>
      <c r="P716" s="2">
        <f t="shared" si="74"/>
        <v>77.000000000000014</v>
      </c>
      <c r="Q716" s="2">
        <f t="shared" si="75"/>
        <v>0.38624999999999177</v>
      </c>
      <c r="R716" s="2">
        <f t="shared" si="76"/>
        <v>0.38511428571427758</v>
      </c>
      <c r="S716" s="2">
        <f t="shared" si="77"/>
        <v>1.1357142857141844E-3</v>
      </c>
    </row>
    <row r="717" spans="2:19" x14ac:dyDescent="0.25">
      <c r="B717" s="1">
        <f t="shared" si="78"/>
        <v>711</v>
      </c>
      <c r="C717" s="1">
        <v>1020</v>
      </c>
      <c r="D717" s="13">
        <v>77.3</v>
      </c>
      <c r="E717" s="1" t="s">
        <v>11</v>
      </c>
      <c r="F717" s="2">
        <v>3.77</v>
      </c>
      <c r="G717" s="1" t="s">
        <v>12</v>
      </c>
      <c r="H717" s="1" t="s">
        <v>13</v>
      </c>
      <c r="I717" s="1" t="s">
        <v>14</v>
      </c>
      <c r="J717" s="14">
        <v>0.64276620370370374</v>
      </c>
      <c r="K717" s="15">
        <v>44751</v>
      </c>
      <c r="M717" s="2">
        <v>3.75</v>
      </c>
      <c r="O717" s="2">
        <f t="shared" si="73"/>
        <v>3.68</v>
      </c>
      <c r="P717" s="2">
        <f t="shared" si="74"/>
        <v>77.045714285714297</v>
      </c>
      <c r="Q717" s="2">
        <f t="shared" si="75"/>
        <v>0.77299999999998348</v>
      </c>
      <c r="R717" s="2">
        <f t="shared" si="76"/>
        <v>0.77091428571426934</v>
      </c>
      <c r="S717" s="2">
        <f t="shared" si="77"/>
        <v>2.0857142857141353E-3</v>
      </c>
    </row>
    <row r="718" spans="2:19" x14ac:dyDescent="0.25">
      <c r="B718" s="1">
        <f t="shared" si="78"/>
        <v>712</v>
      </c>
      <c r="C718" s="1">
        <v>1021</v>
      </c>
      <c r="D718" s="13">
        <v>77.3</v>
      </c>
      <c r="E718" s="1" t="s">
        <v>11</v>
      </c>
      <c r="F718" s="2">
        <v>3.78</v>
      </c>
      <c r="G718" s="1" t="s">
        <v>12</v>
      </c>
      <c r="H718" s="1" t="s">
        <v>13</v>
      </c>
      <c r="I718" s="1" t="s">
        <v>14</v>
      </c>
      <c r="J718" s="14">
        <v>0.64276620370370374</v>
      </c>
      <c r="K718" s="15">
        <v>44751</v>
      </c>
      <c r="M718" s="2">
        <v>3.76</v>
      </c>
      <c r="O718" s="2">
        <f t="shared" si="73"/>
        <v>3.69</v>
      </c>
      <c r="P718" s="2">
        <f t="shared" si="74"/>
        <v>77.137142857142862</v>
      </c>
      <c r="Q718" s="2">
        <f t="shared" si="75"/>
        <v>0.38675000000002607</v>
      </c>
      <c r="R718" s="2">
        <f t="shared" si="76"/>
        <v>0.38580000000002612</v>
      </c>
      <c r="S718" s="2">
        <f t="shared" si="77"/>
        <v>9.4999999999995088E-4</v>
      </c>
    </row>
    <row r="719" spans="2:19" x14ac:dyDescent="0.25">
      <c r="B719" s="1">
        <f t="shared" si="78"/>
        <v>713</v>
      </c>
      <c r="C719" s="1">
        <v>1022</v>
      </c>
      <c r="D719" s="13">
        <v>77.400000000000006</v>
      </c>
      <c r="E719" s="1" t="s">
        <v>11</v>
      </c>
      <c r="F719" s="2">
        <v>3.7850000000000001</v>
      </c>
      <c r="G719" s="1" t="s">
        <v>12</v>
      </c>
      <c r="H719" s="1" t="s">
        <v>13</v>
      </c>
      <c r="I719" s="1" t="s">
        <v>14</v>
      </c>
      <c r="J719" s="14">
        <v>0.64276620370370374</v>
      </c>
      <c r="K719" s="15">
        <v>44751</v>
      </c>
      <c r="M719" s="2">
        <v>3.7650000000000001</v>
      </c>
      <c r="O719" s="2">
        <f t="shared" si="73"/>
        <v>3.6950000000000003</v>
      </c>
      <c r="P719" s="2">
        <f t="shared" si="74"/>
        <v>77.182857142857159</v>
      </c>
      <c r="Q719" s="2">
        <f t="shared" si="75"/>
        <v>0.38724999999999177</v>
      </c>
      <c r="R719" s="2">
        <f t="shared" si="76"/>
        <v>0.38602857142856323</v>
      </c>
      <c r="S719" s="2">
        <f t="shared" si="77"/>
        <v>1.22142857142854E-3</v>
      </c>
    </row>
    <row r="720" spans="2:19" x14ac:dyDescent="0.25">
      <c r="B720" s="1">
        <f t="shared" si="78"/>
        <v>714</v>
      </c>
      <c r="C720" s="1">
        <v>1023</v>
      </c>
      <c r="D720" s="13">
        <v>77.5</v>
      </c>
      <c r="E720" s="1" t="s">
        <v>11</v>
      </c>
      <c r="F720" s="2">
        <v>3.79</v>
      </c>
      <c r="G720" s="1" t="s">
        <v>12</v>
      </c>
      <c r="H720" s="1" t="s">
        <v>13</v>
      </c>
      <c r="I720" s="1" t="s">
        <v>14</v>
      </c>
      <c r="J720" s="14">
        <v>0.64276620370370374</v>
      </c>
      <c r="K720" s="15">
        <v>44751</v>
      </c>
      <c r="M720" s="2">
        <v>3.77</v>
      </c>
      <c r="O720" s="2">
        <f t="shared" si="73"/>
        <v>3.7</v>
      </c>
      <c r="P720" s="2">
        <f t="shared" si="74"/>
        <v>77.228571428571442</v>
      </c>
      <c r="Q720" s="2">
        <f t="shared" si="75"/>
        <v>0.38749999999999174</v>
      </c>
      <c r="R720" s="2">
        <f t="shared" si="76"/>
        <v>0.38625714285713469</v>
      </c>
      <c r="S720" s="2">
        <f t="shared" si="77"/>
        <v>1.2428571428570456E-3</v>
      </c>
    </row>
    <row r="721" spans="2:19" x14ac:dyDescent="0.25">
      <c r="B721" s="1">
        <f t="shared" si="78"/>
        <v>715</v>
      </c>
      <c r="C721" s="1">
        <v>1024</v>
      </c>
      <c r="D721" s="13">
        <v>77.5</v>
      </c>
      <c r="E721" s="1" t="s">
        <v>11</v>
      </c>
      <c r="F721" s="2">
        <v>3.7949999999999999</v>
      </c>
      <c r="G721" s="1" t="s">
        <v>12</v>
      </c>
      <c r="H721" s="1" t="s">
        <v>13</v>
      </c>
      <c r="I721" s="1" t="s">
        <v>14</v>
      </c>
      <c r="J721" s="14">
        <v>0.64276620370370374</v>
      </c>
      <c r="K721" s="15">
        <v>44751</v>
      </c>
      <c r="M721" s="2">
        <v>3.7749999999999999</v>
      </c>
      <c r="O721" s="2">
        <f t="shared" si="73"/>
        <v>3.7050000000000001</v>
      </c>
      <c r="P721" s="2">
        <f t="shared" si="74"/>
        <v>77.274285714285725</v>
      </c>
      <c r="Q721" s="2">
        <f t="shared" si="75"/>
        <v>0.77550000000001784</v>
      </c>
      <c r="R721" s="2">
        <f t="shared" si="76"/>
        <v>0.77320000000001798</v>
      </c>
      <c r="S721" s="2">
        <f t="shared" si="77"/>
        <v>2.2999999999998577E-3</v>
      </c>
    </row>
    <row r="722" spans="2:19" x14ac:dyDescent="0.25">
      <c r="B722" s="1">
        <f t="shared" si="78"/>
        <v>716</v>
      </c>
      <c r="C722" s="1">
        <v>1025</v>
      </c>
      <c r="D722" s="13">
        <v>77.599999999999994</v>
      </c>
      <c r="E722" s="1" t="s">
        <v>11</v>
      </c>
      <c r="F722" s="2">
        <v>3.8050000000000002</v>
      </c>
      <c r="G722" s="1" t="s">
        <v>12</v>
      </c>
      <c r="H722" s="1" t="s">
        <v>13</v>
      </c>
      <c r="I722" s="1" t="s">
        <v>14</v>
      </c>
      <c r="J722" s="14">
        <v>0.64276620370370374</v>
      </c>
      <c r="K722" s="15">
        <v>44751</v>
      </c>
      <c r="M722" s="2">
        <v>3.7850000000000001</v>
      </c>
      <c r="O722" s="2">
        <f t="shared" si="73"/>
        <v>3.7150000000000003</v>
      </c>
      <c r="P722" s="2">
        <f t="shared" si="74"/>
        <v>77.36571428571429</v>
      </c>
      <c r="Q722" s="2">
        <f t="shared" si="75"/>
        <v>0.38824999999999177</v>
      </c>
      <c r="R722" s="2">
        <f t="shared" si="76"/>
        <v>0.38694285714284893</v>
      </c>
      <c r="S722" s="2">
        <f t="shared" si="77"/>
        <v>1.3071428571428401E-3</v>
      </c>
    </row>
    <row r="723" spans="2:19" x14ac:dyDescent="0.25">
      <c r="B723" s="1">
        <f t="shared" si="78"/>
        <v>717</v>
      </c>
      <c r="C723" s="1">
        <v>1026</v>
      </c>
      <c r="D723" s="13">
        <v>77.7</v>
      </c>
      <c r="E723" s="1" t="s">
        <v>11</v>
      </c>
      <c r="F723" s="2">
        <v>3.81</v>
      </c>
      <c r="G723" s="1" t="s">
        <v>12</v>
      </c>
      <c r="H723" s="1" t="s">
        <v>13</v>
      </c>
      <c r="I723" s="1" t="s">
        <v>14</v>
      </c>
      <c r="J723" s="14">
        <v>0.64276620370370374</v>
      </c>
      <c r="K723" s="15">
        <v>44751</v>
      </c>
      <c r="M723" s="2">
        <v>3.79</v>
      </c>
      <c r="O723" s="2">
        <f t="shared" si="73"/>
        <v>3.72</v>
      </c>
      <c r="P723" s="2">
        <f t="shared" si="74"/>
        <v>77.411428571428587</v>
      </c>
      <c r="Q723" s="2">
        <f t="shared" si="75"/>
        <v>0.77749999999998343</v>
      </c>
      <c r="R723" s="2">
        <f t="shared" si="76"/>
        <v>0.77457142857141215</v>
      </c>
      <c r="S723" s="2">
        <f t="shared" si="77"/>
        <v>2.9285714285712805E-3</v>
      </c>
    </row>
    <row r="724" spans="2:19" x14ac:dyDescent="0.25">
      <c r="B724" s="1">
        <f t="shared" si="78"/>
        <v>718</v>
      </c>
      <c r="C724" s="1">
        <v>1027</v>
      </c>
      <c r="D724" s="13">
        <v>77.8</v>
      </c>
      <c r="E724" s="1" t="s">
        <v>11</v>
      </c>
      <c r="F724" s="2">
        <v>3.82</v>
      </c>
      <c r="G724" s="1" t="s">
        <v>12</v>
      </c>
      <c r="H724" s="1" t="s">
        <v>13</v>
      </c>
      <c r="I724" s="1" t="s">
        <v>14</v>
      </c>
      <c r="J724" s="14">
        <v>0.64276620370370374</v>
      </c>
      <c r="K724" s="15">
        <v>44751</v>
      </c>
      <c r="M724" s="2">
        <v>3.8</v>
      </c>
      <c r="O724" s="2">
        <f t="shared" si="73"/>
        <v>3.73</v>
      </c>
      <c r="P724" s="2">
        <f t="shared" si="74"/>
        <v>77.502857142857152</v>
      </c>
      <c r="Q724" s="2">
        <f t="shared" si="75"/>
        <v>0.38900000000002627</v>
      </c>
      <c r="R724" s="2">
        <f t="shared" si="76"/>
        <v>0.38762857142859769</v>
      </c>
      <c r="S724" s="2">
        <f t="shared" si="77"/>
        <v>1.371428571428579E-3</v>
      </c>
    </row>
    <row r="725" spans="2:19" x14ac:dyDescent="0.25">
      <c r="B725" s="1">
        <f t="shared" si="78"/>
        <v>719</v>
      </c>
      <c r="C725" s="1">
        <v>1028</v>
      </c>
      <c r="D725" s="13">
        <v>77.8</v>
      </c>
      <c r="E725" s="1" t="s">
        <v>11</v>
      </c>
      <c r="F725" s="2">
        <v>3.8250000000000002</v>
      </c>
      <c r="G725" s="1" t="s">
        <v>12</v>
      </c>
      <c r="H725" s="1" t="s">
        <v>13</v>
      </c>
      <c r="I725" s="1" t="s">
        <v>14</v>
      </c>
      <c r="J725" s="14">
        <v>0.64276620370370374</v>
      </c>
      <c r="K725" s="15">
        <v>44751</v>
      </c>
      <c r="M725" s="2">
        <v>3.8050000000000002</v>
      </c>
      <c r="O725" s="2">
        <f t="shared" si="73"/>
        <v>3.7350000000000003</v>
      </c>
      <c r="P725" s="2">
        <f t="shared" si="74"/>
        <v>77.548571428571449</v>
      </c>
      <c r="Q725" s="2">
        <f t="shared" si="75"/>
        <v>0.38924999999999166</v>
      </c>
      <c r="R725" s="2">
        <f t="shared" si="76"/>
        <v>0.38785714285713463</v>
      </c>
      <c r="S725" s="2">
        <f t="shared" si="77"/>
        <v>1.3928571428570291E-3</v>
      </c>
    </row>
    <row r="726" spans="2:19" x14ac:dyDescent="0.25">
      <c r="B726" s="1">
        <f t="shared" si="78"/>
        <v>720</v>
      </c>
      <c r="C726" s="1">
        <v>1029</v>
      </c>
      <c r="D726" s="13">
        <v>77.900000000000006</v>
      </c>
      <c r="E726" s="1" t="s">
        <v>11</v>
      </c>
      <c r="F726" s="2">
        <v>3.83</v>
      </c>
      <c r="G726" s="1" t="s">
        <v>12</v>
      </c>
      <c r="H726" s="1" t="s">
        <v>13</v>
      </c>
      <c r="I726" s="1" t="s">
        <v>14</v>
      </c>
      <c r="J726" s="14">
        <v>0.64277777777777778</v>
      </c>
      <c r="K726" s="15">
        <v>44751</v>
      </c>
      <c r="M726" s="2">
        <v>3.81</v>
      </c>
      <c r="O726" s="2">
        <f t="shared" si="73"/>
        <v>3.74</v>
      </c>
      <c r="P726" s="2">
        <f t="shared" si="74"/>
        <v>77.594285714285718</v>
      </c>
      <c r="Q726" s="2">
        <f t="shared" si="75"/>
        <v>0.38949999999999174</v>
      </c>
      <c r="R726" s="2">
        <f t="shared" si="76"/>
        <v>0.38808571428570604</v>
      </c>
      <c r="S726" s="2">
        <f t="shared" si="77"/>
        <v>1.4142857142857013E-3</v>
      </c>
    </row>
    <row r="727" spans="2:19" x14ac:dyDescent="0.25">
      <c r="B727" s="1">
        <f t="shared" si="78"/>
        <v>721</v>
      </c>
      <c r="C727" s="1">
        <v>1030</v>
      </c>
      <c r="D727" s="13">
        <v>77.900000000000006</v>
      </c>
      <c r="E727" s="1" t="s">
        <v>11</v>
      </c>
      <c r="F727" s="2">
        <v>3.835</v>
      </c>
      <c r="G727" s="1" t="s">
        <v>12</v>
      </c>
      <c r="H727" s="1" t="s">
        <v>13</v>
      </c>
      <c r="I727" s="1" t="s">
        <v>14</v>
      </c>
      <c r="J727" s="14">
        <v>0.64277777777777778</v>
      </c>
      <c r="K727" s="15">
        <v>44751</v>
      </c>
      <c r="M727" s="2">
        <v>3.8149999999999999</v>
      </c>
      <c r="O727" s="2">
        <f t="shared" si="73"/>
        <v>3.7450000000000001</v>
      </c>
      <c r="P727" s="2">
        <f t="shared" si="74"/>
        <v>77.640000000000015</v>
      </c>
      <c r="Q727" s="2">
        <f t="shared" si="75"/>
        <v>0.38974999999999171</v>
      </c>
      <c r="R727" s="2">
        <f t="shared" si="76"/>
        <v>0.38831428571427745</v>
      </c>
      <c r="S727" s="2">
        <f t="shared" si="77"/>
        <v>1.4357142857142624E-3</v>
      </c>
    </row>
    <row r="728" spans="2:19" x14ac:dyDescent="0.25">
      <c r="B728" s="1">
        <f t="shared" si="78"/>
        <v>722</v>
      </c>
      <c r="C728" s="1">
        <v>1031</v>
      </c>
      <c r="D728" s="13">
        <v>78</v>
      </c>
      <c r="E728" s="1" t="s">
        <v>11</v>
      </c>
      <c r="F728" s="2">
        <v>3.84</v>
      </c>
      <c r="G728" s="1" t="s">
        <v>12</v>
      </c>
      <c r="H728" s="1" t="s">
        <v>13</v>
      </c>
      <c r="I728" s="1" t="s">
        <v>14</v>
      </c>
      <c r="J728" s="14">
        <v>0.64277777777777778</v>
      </c>
      <c r="K728" s="15">
        <v>44751</v>
      </c>
      <c r="M728" s="2">
        <v>3.82</v>
      </c>
      <c r="O728" s="2">
        <f t="shared" si="73"/>
        <v>3.75</v>
      </c>
      <c r="P728" s="2">
        <f t="shared" si="74"/>
        <v>77.685714285714297</v>
      </c>
      <c r="Q728" s="2">
        <f t="shared" si="75"/>
        <v>0.39000000000002633</v>
      </c>
      <c r="R728" s="2">
        <f t="shared" si="76"/>
        <v>0.38854285714288345</v>
      </c>
      <c r="S728" s="2">
        <f t="shared" si="77"/>
        <v>1.4571428571428791E-3</v>
      </c>
    </row>
    <row r="729" spans="2:19" x14ac:dyDescent="0.25">
      <c r="B729" s="1">
        <f t="shared" si="78"/>
        <v>723</v>
      </c>
      <c r="C729" s="1">
        <v>1032</v>
      </c>
      <c r="D729" s="13">
        <v>78</v>
      </c>
      <c r="E729" s="1" t="s">
        <v>11</v>
      </c>
      <c r="F729" s="2">
        <v>3.8450000000000002</v>
      </c>
      <c r="G729" s="1" t="s">
        <v>12</v>
      </c>
      <c r="H729" s="1" t="s">
        <v>13</v>
      </c>
      <c r="I729" s="1" t="s">
        <v>14</v>
      </c>
      <c r="J729" s="14">
        <v>0.64277777777777778</v>
      </c>
      <c r="K729" s="15">
        <v>44751</v>
      </c>
      <c r="M729" s="2">
        <v>3.8250000000000002</v>
      </c>
      <c r="O729" s="2">
        <f t="shared" si="73"/>
        <v>3.7550000000000003</v>
      </c>
      <c r="P729" s="2">
        <f t="shared" si="74"/>
        <v>77.73142857142858</v>
      </c>
      <c r="Q729" s="2">
        <f t="shared" si="75"/>
        <v>0.38999999999999169</v>
      </c>
      <c r="R729" s="2">
        <f t="shared" si="76"/>
        <v>0.38877142857142033</v>
      </c>
      <c r="S729" s="2">
        <f t="shared" si="77"/>
        <v>1.2285714285713567E-3</v>
      </c>
    </row>
    <row r="730" spans="2:19" x14ac:dyDescent="0.25">
      <c r="B730" s="1">
        <f t="shared" si="78"/>
        <v>724</v>
      </c>
      <c r="C730" s="1">
        <v>1033</v>
      </c>
      <c r="D730" s="13">
        <v>78</v>
      </c>
      <c r="E730" s="1" t="s">
        <v>11</v>
      </c>
      <c r="F730" s="2">
        <v>3.85</v>
      </c>
      <c r="G730" s="1" t="s">
        <v>12</v>
      </c>
      <c r="H730" s="1" t="s">
        <v>13</v>
      </c>
      <c r="I730" s="1" t="s">
        <v>14</v>
      </c>
      <c r="J730" s="14">
        <v>0.64277777777777778</v>
      </c>
      <c r="K730" s="15">
        <v>44751</v>
      </c>
      <c r="M730" s="2">
        <v>3.83</v>
      </c>
      <c r="O730" s="2">
        <f t="shared" si="73"/>
        <v>3.7600000000000002</v>
      </c>
      <c r="P730" s="2">
        <f t="shared" si="74"/>
        <v>77.777142857142877</v>
      </c>
      <c r="Q730" s="2">
        <f t="shared" si="75"/>
        <v>0.39024999999999166</v>
      </c>
      <c r="R730" s="2">
        <f t="shared" si="76"/>
        <v>0.38899999999999174</v>
      </c>
      <c r="S730" s="2">
        <f t="shared" si="77"/>
        <v>1.2499999999999178E-3</v>
      </c>
    </row>
    <row r="731" spans="2:19" x14ac:dyDescent="0.25">
      <c r="B731" s="1">
        <f t="shared" si="78"/>
        <v>725</v>
      </c>
      <c r="C731" s="1">
        <v>1034</v>
      </c>
      <c r="D731" s="13">
        <v>78.099999999999994</v>
      </c>
      <c r="E731" s="1" t="s">
        <v>11</v>
      </c>
      <c r="F731" s="2">
        <v>3.855</v>
      </c>
      <c r="G731" s="1" t="s">
        <v>12</v>
      </c>
      <c r="H731" s="1" t="s">
        <v>13</v>
      </c>
      <c r="I731" s="1" t="s">
        <v>14</v>
      </c>
      <c r="J731" s="14">
        <v>0.64277777777777778</v>
      </c>
      <c r="K731" s="15">
        <v>44751</v>
      </c>
      <c r="M731" s="2">
        <v>3.835</v>
      </c>
      <c r="O731" s="2">
        <f t="shared" si="73"/>
        <v>3.7650000000000001</v>
      </c>
      <c r="P731" s="2">
        <f t="shared" si="74"/>
        <v>77.822857142857146</v>
      </c>
      <c r="Q731" s="2">
        <f t="shared" si="75"/>
        <v>0.39049999999999163</v>
      </c>
      <c r="R731" s="2">
        <f t="shared" si="76"/>
        <v>0.38922857142856315</v>
      </c>
      <c r="S731" s="2">
        <f t="shared" si="77"/>
        <v>1.271428571428479E-3</v>
      </c>
    </row>
    <row r="732" spans="2:19" x14ac:dyDescent="0.25">
      <c r="B732" s="1">
        <f t="shared" si="78"/>
        <v>726</v>
      </c>
      <c r="C732" s="1">
        <v>1035</v>
      </c>
      <c r="D732" s="13">
        <v>78.099999999999994</v>
      </c>
      <c r="E732" s="1" t="s">
        <v>11</v>
      </c>
      <c r="F732" s="2">
        <v>3.86</v>
      </c>
      <c r="G732" s="1" t="s">
        <v>12</v>
      </c>
      <c r="H732" s="1" t="s">
        <v>13</v>
      </c>
      <c r="I732" s="1" t="s">
        <v>14</v>
      </c>
      <c r="J732" s="14">
        <v>0.64277777777777778</v>
      </c>
      <c r="K732" s="15">
        <v>44751</v>
      </c>
      <c r="M732" s="2">
        <v>3.84</v>
      </c>
      <c r="O732" s="2">
        <f t="shared" si="73"/>
        <v>3.77</v>
      </c>
      <c r="P732" s="2">
        <f t="shared" si="74"/>
        <v>77.868571428571443</v>
      </c>
      <c r="Q732" s="2">
        <f t="shared" si="75"/>
        <v>0.39050000000002633</v>
      </c>
      <c r="R732" s="2">
        <f t="shared" si="76"/>
        <v>0.38945714285716915</v>
      </c>
      <c r="S732" s="2">
        <f t="shared" si="77"/>
        <v>1.0428571428571787E-3</v>
      </c>
    </row>
    <row r="733" spans="2:19" x14ac:dyDescent="0.25">
      <c r="B733" s="1">
        <f t="shared" si="78"/>
        <v>727</v>
      </c>
      <c r="C733" s="1">
        <v>1037</v>
      </c>
      <c r="D733" s="13">
        <v>78.099999999999994</v>
      </c>
      <c r="E733" s="1" t="s">
        <v>11</v>
      </c>
      <c r="F733" s="2">
        <v>3.8650000000000002</v>
      </c>
      <c r="G733" s="1" t="s">
        <v>12</v>
      </c>
      <c r="H733" s="1" t="s">
        <v>13</v>
      </c>
      <c r="I733" s="1" t="s">
        <v>14</v>
      </c>
      <c r="J733" s="14">
        <v>0.64277777777777778</v>
      </c>
      <c r="K733" s="15">
        <v>44751</v>
      </c>
      <c r="M733" s="2">
        <v>3.8450000000000002</v>
      </c>
      <c r="O733" s="2">
        <f t="shared" si="73"/>
        <v>3.7750000000000004</v>
      </c>
      <c r="P733" s="2">
        <f t="shared" si="74"/>
        <v>77.914285714285725</v>
      </c>
      <c r="Q733" s="2">
        <f t="shared" si="75"/>
        <v>0.39074999999999172</v>
      </c>
      <c r="R733" s="2">
        <f t="shared" si="76"/>
        <v>0.38968571428570609</v>
      </c>
      <c r="S733" s="2">
        <f t="shared" si="77"/>
        <v>1.0642857142856288E-3</v>
      </c>
    </row>
    <row r="734" spans="2:19" x14ac:dyDescent="0.25">
      <c r="B734" s="1">
        <f t="shared" si="78"/>
        <v>728</v>
      </c>
      <c r="C734" s="1">
        <v>1038</v>
      </c>
      <c r="D734" s="13">
        <v>78.2</v>
      </c>
      <c r="E734" s="1" t="s">
        <v>11</v>
      </c>
      <c r="F734" s="2">
        <v>3.87</v>
      </c>
      <c r="G734" s="1" t="s">
        <v>12</v>
      </c>
      <c r="H734" s="1" t="s">
        <v>13</v>
      </c>
      <c r="I734" s="1" t="s">
        <v>14</v>
      </c>
      <c r="J734" s="14">
        <v>0.64277777777777778</v>
      </c>
      <c r="K734" s="15">
        <v>44751</v>
      </c>
      <c r="M734" s="2">
        <v>3.85</v>
      </c>
      <c r="O734" s="2">
        <f t="shared" si="73"/>
        <v>3.7800000000000002</v>
      </c>
      <c r="P734" s="2">
        <f t="shared" si="74"/>
        <v>77.960000000000008</v>
      </c>
      <c r="Q734" s="2">
        <f t="shared" si="75"/>
        <v>0.39124999999999166</v>
      </c>
      <c r="R734" s="2">
        <f t="shared" si="76"/>
        <v>0.3899142857142775</v>
      </c>
      <c r="S734" s="2">
        <f t="shared" si="77"/>
        <v>1.3357142857141624E-3</v>
      </c>
    </row>
    <row r="735" spans="2:19" x14ac:dyDescent="0.25">
      <c r="B735" s="1">
        <f t="shared" si="78"/>
        <v>729</v>
      </c>
      <c r="C735" s="1">
        <v>1040</v>
      </c>
      <c r="D735" s="13">
        <v>78.3</v>
      </c>
      <c r="E735" s="1" t="s">
        <v>11</v>
      </c>
      <c r="F735" s="2">
        <v>3.875</v>
      </c>
      <c r="G735" s="1" t="s">
        <v>12</v>
      </c>
      <c r="H735" s="1" t="s">
        <v>13</v>
      </c>
      <c r="I735" s="1" t="s">
        <v>14</v>
      </c>
      <c r="J735" s="14">
        <v>0.64278935185185182</v>
      </c>
      <c r="K735" s="15">
        <v>44751</v>
      </c>
      <c r="M735" s="2">
        <v>3.855</v>
      </c>
      <c r="O735" s="2">
        <f t="shared" si="73"/>
        <v>3.7850000000000001</v>
      </c>
      <c r="P735" s="2">
        <f t="shared" si="74"/>
        <v>78.005714285714305</v>
      </c>
      <c r="Q735" s="2">
        <f t="shared" si="75"/>
        <v>0.39149999999999163</v>
      </c>
      <c r="R735" s="2">
        <f t="shared" si="76"/>
        <v>0.39014285714284885</v>
      </c>
      <c r="S735" s="2">
        <f t="shared" si="77"/>
        <v>1.357142857142779E-3</v>
      </c>
    </row>
    <row r="736" spans="2:19" x14ac:dyDescent="0.25">
      <c r="B736" s="1">
        <f t="shared" si="78"/>
        <v>730</v>
      </c>
      <c r="C736" s="1">
        <v>1041</v>
      </c>
      <c r="D736" s="13">
        <v>78.3</v>
      </c>
      <c r="E736" s="1" t="s">
        <v>11</v>
      </c>
      <c r="F736" s="2">
        <v>3.88</v>
      </c>
      <c r="G736" s="1" t="s">
        <v>12</v>
      </c>
      <c r="H736" s="1" t="s">
        <v>13</v>
      </c>
      <c r="I736" s="1" t="s">
        <v>14</v>
      </c>
      <c r="J736" s="14">
        <v>0.64278935185185182</v>
      </c>
      <c r="K736" s="15">
        <v>44751</v>
      </c>
      <c r="M736" s="2">
        <v>3.86</v>
      </c>
      <c r="O736" s="2">
        <f t="shared" si="73"/>
        <v>3.79</v>
      </c>
      <c r="P736" s="2">
        <f t="shared" si="74"/>
        <v>78.051428571428573</v>
      </c>
      <c r="Q736" s="2">
        <f t="shared" si="75"/>
        <v>0.3917499999999916</v>
      </c>
      <c r="R736" s="2">
        <f t="shared" si="76"/>
        <v>0.39037142857142026</v>
      </c>
      <c r="S736" s="2">
        <f t="shared" si="77"/>
        <v>1.3785714285713402E-3</v>
      </c>
    </row>
    <row r="737" spans="2:19" x14ac:dyDescent="0.25">
      <c r="B737" s="1">
        <f t="shared" si="78"/>
        <v>731</v>
      </c>
      <c r="C737" s="1">
        <v>1042</v>
      </c>
      <c r="D737" s="13">
        <v>78.400000000000006</v>
      </c>
      <c r="E737" s="1" t="s">
        <v>11</v>
      </c>
      <c r="F737" s="2">
        <v>3.8849999999999998</v>
      </c>
      <c r="G737" s="1" t="s">
        <v>12</v>
      </c>
      <c r="H737" s="1" t="s">
        <v>13</v>
      </c>
      <c r="I737" s="1" t="s">
        <v>14</v>
      </c>
      <c r="J737" s="14">
        <v>0.64278935185185182</v>
      </c>
      <c r="K737" s="15">
        <v>44751</v>
      </c>
      <c r="M737" s="2">
        <v>3.8649999999999998</v>
      </c>
      <c r="O737" s="2">
        <f t="shared" si="73"/>
        <v>3.7949999999999999</v>
      </c>
      <c r="P737" s="2">
        <f t="shared" si="74"/>
        <v>78.09714285714287</v>
      </c>
      <c r="Q737" s="2">
        <f t="shared" si="75"/>
        <v>0.39200000000002649</v>
      </c>
      <c r="R737" s="2">
        <f t="shared" si="76"/>
        <v>0.39060000000002637</v>
      </c>
      <c r="S737" s="2">
        <f t="shared" si="77"/>
        <v>1.4000000000001234E-3</v>
      </c>
    </row>
    <row r="738" spans="2:19" x14ac:dyDescent="0.25">
      <c r="B738" s="1">
        <f t="shared" si="78"/>
        <v>732</v>
      </c>
      <c r="C738" s="1">
        <v>1044</v>
      </c>
      <c r="D738" s="13">
        <v>78.400000000000006</v>
      </c>
      <c r="E738" s="1" t="s">
        <v>11</v>
      </c>
      <c r="F738" s="2">
        <v>3.89</v>
      </c>
      <c r="G738" s="1" t="s">
        <v>12</v>
      </c>
      <c r="H738" s="1" t="s">
        <v>13</v>
      </c>
      <c r="I738" s="1" t="s">
        <v>14</v>
      </c>
      <c r="J738" s="14">
        <v>0.64278935185185182</v>
      </c>
      <c r="K738" s="15">
        <v>44751</v>
      </c>
      <c r="M738" s="2">
        <v>3.87</v>
      </c>
      <c r="O738" s="2">
        <f t="shared" si="73"/>
        <v>3.8000000000000003</v>
      </c>
      <c r="P738" s="2">
        <f t="shared" si="74"/>
        <v>78.142857142857153</v>
      </c>
      <c r="Q738" s="2">
        <f t="shared" si="75"/>
        <v>0.39224999999999166</v>
      </c>
      <c r="R738" s="2">
        <f t="shared" si="76"/>
        <v>0.3908285714285632</v>
      </c>
      <c r="S738" s="2">
        <f t="shared" si="77"/>
        <v>1.4214285714284625E-3</v>
      </c>
    </row>
    <row r="739" spans="2:19" x14ac:dyDescent="0.25">
      <c r="B739" s="1">
        <f t="shared" si="78"/>
        <v>733</v>
      </c>
      <c r="C739" s="1">
        <v>1045</v>
      </c>
      <c r="D739" s="13">
        <v>78.5</v>
      </c>
      <c r="E739" s="1" t="s">
        <v>11</v>
      </c>
      <c r="F739" s="2">
        <v>3.895</v>
      </c>
      <c r="G739" s="1" t="s">
        <v>12</v>
      </c>
      <c r="H739" s="1" t="s">
        <v>13</v>
      </c>
      <c r="I739" s="1" t="s">
        <v>14</v>
      </c>
      <c r="J739" s="14">
        <v>0.64278935185185182</v>
      </c>
      <c r="K739" s="15">
        <v>44751</v>
      </c>
      <c r="M739" s="2">
        <v>3.875</v>
      </c>
      <c r="O739" s="2">
        <f t="shared" si="73"/>
        <v>3.8050000000000002</v>
      </c>
      <c r="P739" s="2">
        <f t="shared" si="74"/>
        <v>78.188571428571436</v>
      </c>
      <c r="Q739" s="2">
        <f t="shared" si="75"/>
        <v>0.39249999999999163</v>
      </c>
      <c r="R739" s="2">
        <f t="shared" si="76"/>
        <v>0.39105714285713461</v>
      </c>
      <c r="S739" s="2">
        <f t="shared" si="77"/>
        <v>1.4428571428570236E-3</v>
      </c>
    </row>
    <row r="740" spans="2:19" x14ac:dyDescent="0.25">
      <c r="B740" s="1">
        <f t="shared" si="78"/>
        <v>734</v>
      </c>
      <c r="C740" s="1">
        <v>1047</v>
      </c>
      <c r="D740" s="13">
        <v>78.5</v>
      </c>
      <c r="E740" s="1" t="s">
        <v>11</v>
      </c>
      <c r="F740" s="2">
        <v>3.9</v>
      </c>
      <c r="G740" s="1" t="s">
        <v>12</v>
      </c>
      <c r="H740" s="1" t="s">
        <v>13</v>
      </c>
      <c r="I740" s="1" t="s">
        <v>14</v>
      </c>
      <c r="J740" s="14">
        <v>0.64278935185185182</v>
      </c>
      <c r="K740" s="15">
        <v>44751</v>
      </c>
      <c r="M740" s="2">
        <v>3.88</v>
      </c>
      <c r="O740" s="2">
        <f t="shared" si="73"/>
        <v>3.81</v>
      </c>
      <c r="P740" s="2">
        <f t="shared" si="74"/>
        <v>78.234285714285733</v>
      </c>
      <c r="Q740" s="2">
        <f t="shared" si="75"/>
        <v>0.39274999999999161</v>
      </c>
      <c r="R740" s="2">
        <f t="shared" si="76"/>
        <v>0.39128571428570602</v>
      </c>
      <c r="S740" s="2">
        <f t="shared" si="77"/>
        <v>1.4642857142855847E-3</v>
      </c>
    </row>
    <row r="741" spans="2:19" x14ac:dyDescent="0.25">
      <c r="B741" s="1">
        <f t="shared" si="78"/>
        <v>735</v>
      </c>
      <c r="C741" s="1">
        <v>1049</v>
      </c>
      <c r="D741" s="13">
        <v>78.599999999999994</v>
      </c>
      <c r="E741" s="1" t="s">
        <v>11</v>
      </c>
      <c r="F741" s="2">
        <v>3.9049999999999998</v>
      </c>
      <c r="G741" s="1" t="s">
        <v>12</v>
      </c>
      <c r="H741" s="1" t="s">
        <v>13</v>
      </c>
      <c r="I741" s="1" t="s">
        <v>14</v>
      </c>
      <c r="J741" s="14">
        <v>0.64280092592592586</v>
      </c>
      <c r="K741" s="15">
        <v>44751</v>
      </c>
      <c r="M741" s="2">
        <v>3.8849999999999998</v>
      </c>
      <c r="O741" s="2">
        <f t="shared" si="73"/>
        <v>3.8149999999999999</v>
      </c>
      <c r="P741" s="2">
        <f t="shared" si="74"/>
        <v>78.28</v>
      </c>
      <c r="Q741" s="2">
        <f t="shared" si="75"/>
        <v>0.39300000000002649</v>
      </c>
      <c r="R741" s="2">
        <f t="shared" si="76"/>
        <v>0.39151428571431218</v>
      </c>
      <c r="S741" s="2">
        <f t="shared" si="77"/>
        <v>1.4857142857143124E-3</v>
      </c>
    </row>
    <row r="742" spans="2:19" x14ac:dyDescent="0.25">
      <c r="B742" s="1">
        <f t="shared" si="78"/>
        <v>736</v>
      </c>
      <c r="C742" s="1">
        <v>1051</v>
      </c>
      <c r="D742" s="13">
        <v>78.599999999999994</v>
      </c>
      <c r="E742" s="1" t="s">
        <v>11</v>
      </c>
      <c r="F742" s="2">
        <v>3.91</v>
      </c>
      <c r="G742" s="1" t="s">
        <v>12</v>
      </c>
      <c r="H742" s="1" t="s">
        <v>13</v>
      </c>
      <c r="I742" s="1" t="s">
        <v>14</v>
      </c>
      <c r="J742" s="14">
        <v>0.64280092592592586</v>
      </c>
      <c r="K742" s="15">
        <v>44751</v>
      </c>
      <c r="M742" s="2">
        <v>3.89</v>
      </c>
      <c r="O742" s="2">
        <f t="shared" si="73"/>
        <v>3.8200000000000003</v>
      </c>
      <c r="P742" s="2">
        <f t="shared" si="74"/>
        <v>78.325714285714298</v>
      </c>
      <c r="Q742" s="2">
        <f t="shared" si="75"/>
        <v>0.39299999999999158</v>
      </c>
      <c r="R742" s="2">
        <f t="shared" si="76"/>
        <v>0.39174285714284879</v>
      </c>
      <c r="S742" s="2">
        <f t="shared" si="77"/>
        <v>1.2571428571427901E-3</v>
      </c>
    </row>
    <row r="743" spans="2:19" x14ac:dyDescent="0.25">
      <c r="B743" s="1">
        <f t="shared" si="78"/>
        <v>737</v>
      </c>
      <c r="C743" s="1">
        <v>1053</v>
      </c>
      <c r="D743" s="13">
        <v>78.599999999999994</v>
      </c>
      <c r="E743" s="1" t="s">
        <v>11</v>
      </c>
      <c r="F743" s="2">
        <v>3.915</v>
      </c>
      <c r="G743" s="1" t="s">
        <v>12</v>
      </c>
      <c r="H743" s="1" t="s">
        <v>13</v>
      </c>
      <c r="I743" s="1" t="s">
        <v>14</v>
      </c>
      <c r="J743" s="14">
        <v>0.64280092592592586</v>
      </c>
      <c r="K743" s="15">
        <v>44751</v>
      </c>
      <c r="M743" s="2">
        <v>3.895</v>
      </c>
      <c r="O743" s="2">
        <f t="shared" si="73"/>
        <v>3.8250000000000002</v>
      </c>
      <c r="P743" s="2">
        <f t="shared" si="74"/>
        <v>78.371428571428581</v>
      </c>
      <c r="Q743" s="2">
        <f t="shared" si="75"/>
        <v>0.39299999999999158</v>
      </c>
      <c r="R743" s="2">
        <f t="shared" si="76"/>
        <v>0.39197142857142031</v>
      </c>
      <c r="S743" s="2">
        <f t="shared" si="77"/>
        <v>1.0285714285712677E-3</v>
      </c>
    </row>
    <row r="744" spans="2:19" x14ac:dyDescent="0.25">
      <c r="B744" s="1">
        <f t="shared" si="78"/>
        <v>738</v>
      </c>
      <c r="C744" s="1">
        <v>1054</v>
      </c>
      <c r="D744" s="13">
        <v>78.599999999999994</v>
      </c>
      <c r="E744" s="1" t="s">
        <v>11</v>
      </c>
      <c r="F744" s="2">
        <v>3.92</v>
      </c>
      <c r="G744" s="1" t="s">
        <v>12</v>
      </c>
      <c r="H744" s="1" t="s">
        <v>13</v>
      </c>
      <c r="I744" s="1" t="s">
        <v>14</v>
      </c>
      <c r="J744" s="14">
        <v>0.64280092592592586</v>
      </c>
      <c r="K744" s="15">
        <v>44751</v>
      </c>
      <c r="M744" s="2">
        <v>3.9</v>
      </c>
      <c r="O744" s="2">
        <f t="shared" si="73"/>
        <v>3.83</v>
      </c>
      <c r="P744" s="2">
        <f t="shared" si="74"/>
        <v>78.417142857142863</v>
      </c>
      <c r="Q744" s="2">
        <f t="shared" si="75"/>
        <v>0.39324999999999166</v>
      </c>
      <c r="R744" s="2">
        <f t="shared" si="76"/>
        <v>0.39219999999999172</v>
      </c>
      <c r="S744" s="2">
        <f t="shared" si="77"/>
        <v>1.0499999999999399E-3</v>
      </c>
    </row>
    <row r="745" spans="2:19" x14ac:dyDescent="0.25">
      <c r="B745" s="1">
        <f t="shared" si="78"/>
        <v>739</v>
      </c>
      <c r="C745" s="1">
        <v>1056</v>
      </c>
      <c r="D745" s="13">
        <v>78.7</v>
      </c>
      <c r="E745" s="1" t="s">
        <v>11</v>
      </c>
      <c r="F745" s="2">
        <v>3.9249999999999998</v>
      </c>
      <c r="G745" s="1" t="s">
        <v>12</v>
      </c>
      <c r="H745" s="1" t="s">
        <v>13</v>
      </c>
      <c r="I745" s="1" t="s">
        <v>14</v>
      </c>
      <c r="J745" s="14">
        <v>0.64280092592592586</v>
      </c>
      <c r="K745" s="15">
        <v>44751</v>
      </c>
      <c r="M745" s="2">
        <v>3.9049999999999998</v>
      </c>
      <c r="O745" s="2">
        <f t="shared" si="73"/>
        <v>3.835</v>
      </c>
      <c r="P745" s="2">
        <f t="shared" si="74"/>
        <v>78.46285714285716</v>
      </c>
      <c r="Q745" s="2">
        <f t="shared" si="75"/>
        <v>0.39375000000002658</v>
      </c>
      <c r="R745" s="2">
        <f t="shared" si="76"/>
        <v>0.39242857142859794</v>
      </c>
      <c r="S745" s="2">
        <f t="shared" si="77"/>
        <v>1.32142857142864E-3</v>
      </c>
    </row>
    <row r="746" spans="2:19" x14ac:dyDescent="0.25">
      <c r="B746" s="1">
        <f t="shared" si="78"/>
        <v>740</v>
      </c>
      <c r="C746" s="1">
        <v>1057</v>
      </c>
      <c r="D746" s="13">
        <v>78.8</v>
      </c>
      <c r="E746" s="1" t="s">
        <v>11</v>
      </c>
      <c r="F746" s="2">
        <v>3.93</v>
      </c>
      <c r="G746" s="1" t="s">
        <v>12</v>
      </c>
      <c r="H746" s="1" t="s">
        <v>13</v>
      </c>
      <c r="I746" s="1" t="s">
        <v>14</v>
      </c>
      <c r="J746" s="14">
        <v>0.64280092592592586</v>
      </c>
      <c r="K746" s="15">
        <v>44751</v>
      </c>
      <c r="M746" s="2">
        <v>3.91</v>
      </c>
      <c r="O746" s="2">
        <f t="shared" si="73"/>
        <v>3.8400000000000003</v>
      </c>
      <c r="P746" s="2">
        <f t="shared" si="74"/>
        <v>78.508571428571443</v>
      </c>
      <c r="Q746" s="2">
        <f t="shared" si="75"/>
        <v>0.39399999999999158</v>
      </c>
      <c r="R746" s="2">
        <f t="shared" si="76"/>
        <v>0.3926571428571346</v>
      </c>
      <c r="S746" s="2">
        <f t="shared" si="77"/>
        <v>1.3428571428569791E-3</v>
      </c>
    </row>
    <row r="747" spans="2:19" x14ac:dyDescent="0.25">
      <c r="B747" s="1">
        <f t="shared" si="78"/>
        <v>741</v>
      </c>
      <c r="C747" s="1">
        <v>1059</v>
      </c>
      <c r="D747" s="13">
        <v>78.8</v>
      </c>
      <c r="E747" s="1" t="s">
        <v>11</v>
      </c>
      <c r="F747" s="2">
        <v>3.9350000000000001</v>
      </c>
      <c r="G747" s="1" t="s">
        <v>12</v>
      </c>
      <c r="H747" s="1" t="s">
        <v>13</v>
      </c>
      <c r="I747" s="1" t="s">
        <v>14</v>
      </c>
      <c r="J747" s="14">
        <v>0.64281250000000001</v>
      </c>
      <c r="K747" s="15">
        <v>44751</v>
      </c>
      <c r="M747" s="2">
        <v>3.915</v>
      </c>
      <c r="O747" s="2">
        <f t="shared" si="73"/>
        <v>3.8450000000000002</v>
      </c>
      <c r="P747" s="2">
        <f t="shared" si="74"/>
        <v>78.554285714285726</v>
      </c>
      <c r="Q747" s="2">
        <f t="shared" si="75"/>
        <v>0.39399999999999158</v>
      </c>
      <c r="R747" s="2">
        <f t="shared" si="76"/>
        <v>0.3928857142857059</v>
      </c>
      <c r="S747" s="2">
        <f t="shared" si="77"/>
        <v>1.1142857142856788E-3</v>
      </c>
    </row>
    <row r="748" spans="2:19" x14ac:dyDescent="0.25">
      <c r="B748" s="1">
        <f t="shared" si="78"/>
        <v>742</v>
      </c>
      <c r="C748" s="1">
        <v>1061</v>
      </c>
      <c r="D748" s="13">
        <v>78.8</v>
      </c>
      <c r="E748" s="1" t="s">
        <v>11</v>
      </c>
      <c r="F748" s="2">
        <v>3.94</v>
      </c>
      <c r="G748" s="1" t="s">
        <v>12</v>
      </c>
      <c r="H748" s="1" t="s">
        <v>13</v>
      </c>
      <c r="I748" s="1" t="s">
        <v>14</v>
      </c>
      <c r="J748" s="14">
        <v>0.64281250000000001</v>
      </c>
      <c r="K748" s="15">
        <v>44751</v>
      </c>
      <c r="M748" s="2">
        <v>3.92</v>
      </c>
      <c r="O748" s="2">
        <f t="shared" si="73"/>
        <v>3.85</v>
      </c>
      <c r="P748" s="2">
        <f t="shared" si="74"/>
        <v>78.600000000000009</v>
      </c>
      <c r="Q748" s="2">
        <f t="shared" si="75"/>
        <v>0.39424999999999155</v>
      </c>
      <c r="R748" s="2">
        <f t="shared" si="76"/>
        <v>0.39311428571427742</v>
      </c>
      <c r="S748" s="2">
        <f t="shared" si="77"/>
        <v>1.1357142857141289E-3</v>
      </c>
    </row>
    <row r="749" spans="2:19" x14ac:dyDescent="0.25">
      <c r="B749" s="1">
        <f t="shared" si="78"/>
        <v>743</v>
      </c>
      <c r="C749" s="1">
        <v>1063</v>
      </c>
      <c r="D749" s="13">
        <v>78.900000000000006</v>
      </c>
      <c r="E749" s="1" t="s">
        <v>11</v>
      </c>
      <c r="F749" s="2">
        <v>3.9449999999999998</v>
      </c>
      <c r="G749" s="1" t="s">
        <v>12</v>
      </c>
      <c r="H749" s="1" t="s">
        <v>13</v>
      </c>
      <c r="I749" s="1" t="s">
        <v>14</v>
      </c>
      <c r="J749" s="14">
        <v>0.64281250000000001</v>
      </c>
      <c r="K749" s="15">
        <v>44751</v>
      </c>
      <c r="M749" s="2">
        <v>3.9249999999999998</v>
      </c>
      <c r="O749" s="2">
        <f t="shared" si="73"/>
        <v>3.855</v>
      </c>
      <c r="P749" s="2">
        <f t="shared" si="74"/>
        <v>78.645714285714291</v>
      </c>
      <c r="Q749" s="2">
        <f t="shared" si="75"/>
        <v>0.39450000000002666</v>
      </c>
      <c r="R749" s="2">
        <f t="shared" si="76"/>
        <v>0.39334285714288375</v>
      </c>
      <c r="S749" s="2">
        <f t="shared" si="77"/>
        <v>1.1571428571429121E-3</v>
      </c>
    </row>
    <row r="750" spans="2:19" x14ac:dyDescent="0.25">
      <c r="B750" s="1">
        <f t="shared" si="78"/>
        <v>744</v>
      </c>
      <c r="C750" s="1">
        <v>1064</v>
      </c>
      <c r="D750" s="13">
        <v>78.900000000000006</v>
      </c>
      <c r="E750" s="1" t="s">
        <v>11</v>
      </c>
      <c r="F750" s="2">
        <v>3.95</v>
      </c>
      <c r="G750" s="1" t="s">
        <v>12</v>
      </c>
      <c r="H750" s="1" t="s">
        <v>13</v>
      </c>
      <c r="I750" s="1" t="s">
        <v>14</v>
      </c>
      <c r="J750" s="14">
        <v>0.64281250000000001</v>
      </c>
      <c r="K750" s="15">
        <v>44751</v>
      </c>
      <c r="M750" s="2">
        <v>3.93</v>
      </c>
      <c r="O750" s="2">
        <f t="shared" si="73"/>
        <v>3.8600000000000003</v>
      </c>
      <c r="P750" s="2">
        <f t="shared" si="74"/>
        <v>78.691428571428588</v>
      </c>
      <c r="Q750" s="2">
        <f t="shared" si="75"/>
        <v>0.39449999999999164</v>
      </c>
      <c r="R750" s="2">
        <f t="shared" si="76"/>
        <v>0.39357142857142025</v>
      </c>
      <c r="S750" s="2">
        <f t="shared" si="77"/>
        <v>9.2857142857138975E-4</v>
      </c>
    </row>
    <row r="751" spans="2:19" x14ac:dyDescent="0.25">
      <c r="B751" s="1">
        <f t="shared" si="78"/>
        <v>745</v>
      </c>
      <c r="C751" s="1">
        <v>1066</v>
      </c>
      <c r="D751" s="13">
        <v>78.900000000000006</v>
      </c>
      <c r="E751" s="1" t="s">
        <v>11</v>
      </c>
      <c r="F751" s="2">
        <v>3.9550000000000001</v>
      </c>
      <c r="G751" s="1" t="s">
        <v>12</v>
      </c>
      <c r="H751" s="1" t="s">
        <v>13</v>
      </c>
      <c r="I751" s="1" t="s">
        <v>14</v>
      </c>
      <c r="J751" s="14">
        <v>0.64281250000000001</v>
      </c>
      <c r="K751" s="15">
        <v>44751</v>
      </c>
      <c r="M751" s="2">
        <v>3.9350000000000001</v>
      </c>
      <c r="O751" s="2">
        <f t="shared" si="73"/>
        <v>3.8650000000000002</v>
      </c>
      <c r="P751" s="2">
        <f t="shared" si="74"/>
        <v>78.737142857142871</v>
      </c>
      <c r="Q751" s="2">
        <f t="shared" si="75"/>
        <v>0.39449999999999164</v>
      </c>
      <c r="R751" s="2">
        <f t="shared" si="76"/>
        <v>0.39379999999999171</v>
      </c>
      <c r="S751" s="2">
        <f t="shared" si="77"/>
        <v>6.9999999999992291E-4</v>
      </c>
    </row>
    <row r="752" spans="2:19" x14ac:dyDescent="0.25">
      <c r="B752" s="1">
        <f t="shared" si="78"/>
        <v>746</v>
      </c>
      <c r="C752" s="1">
        <v>1067</v>
      </c>
      <c r="D752" s="13">
        <v>78.900000000000006</v>
      </c>
      <c r="E752" s="1" t="s">
        <v>11</v>
      </c>
      <c r="F752" s="2">
        <v>3.96</v>
      </c>
      <c r="G752" s="1" t="s">
        <v>12</v>
      </c>
      <c r="H752" s="1" t="s">
        <v>13</v>
      </c>
      <c r="I752" s="1" t="s">
        <v>14</v>
      </c>
      <c r="J752" s="14">
        <v>0.64281250000000001</v>
      </c>
      <c r="K752" s="15">
        <v>44751</v>
      </c>
      <c r="M752" s="2">
        <v>3.94</v>
      </c>
      <c r="O752" s="2">
        <f t="shared" si="73"/>
        <v>3.87</v>
      </c>
      <c r="P752" s="2">
        <f t="shared" si="74"/>
        <v>78.782857142857154</v>
      </c>
      <c r="Q752" s="2">
        <f t="shared" si="75"/>
        <v>0.39474999999999161</v>
      </c>
      <c r="R752" s="2">
        <f t="shared" si="76"/>
        <v>0.39402857142856301</v>
      </c>
      <c r="S752" s="2">
        <f t="shared" si="77"/>
        <v>7.2142857142859507E-4</v>
      </c>
    </row>
    <row r="753" spans="2:19" x14ac:dyDescent="0.25">
      <c r="B753" s="1">
        <f t="shared" si="78"/>
        <v>747</v>
      </c>
      <c r="C753" s="1">
        <v>1069</v>
      </c>
      <c r="D753" s="13">
        <v>79</v>
      </c>
      <c r="E753" s="1" t="s">
        <v>11</v>
      </c>
      <c r="F753" s="2">
        <v>3.9649999999999999</v>
      </c>
      <c r="G753" s="1" t="s">
        <v>12</v>
      </c>
      <c r="H753" s="1" t="s">
        <v>13</v>
      </c>
      <c r="I753" s="1" t="s">
        <v>14</v>
      </c>
      <c r="J753" s="14">
        <v>0.64282407407407405</v>
      </c>
      <c r="K753" s="15">
        <v>44751</v>
      </c>
      <c r="M753" s="2">
        <v>3.9449999999999998</v>
      </c>
      <c r="O753" s="2">
        <f t="shared" si="73"/>
        <v>3.875</v>
      </c>
      <c r="P753" s="2">
        <f t="shared" si="74"/>
        <v>78.828571428571436</v>
      </c>
      <c r="Q753" s="2">
        <f t="shared" si="75"/>
        <v>0.39500000000002666</v>
      </c>
      <c r="R753" s="2">
        <f t="shared" si="76"/>
        <v>0.39425714285716956</v>
      </c>
      <c r="S753" s="2">
        <f t="shared" si="77"/>
        <v>7.4285714285710069E-4</v>
      </c>
    </row>
    <row r="754" spans="2:19" x14ac:dyDescent="0.25">
      <c r="B754" s="1">
        <f t="shared" si="78"/>
        <v>748</v>
      </c>
      <c r="C754" s="1">
        <v>1070</v>
      </c>
      <c r="D754" s="13">
        <v>79</v>
      </c>
      <c r="E754" s="1" t="s">
        <v>11</v>
      </c>
      <c r="F754" s="2">
        <v>3.97</v>
      </c>
      <c r="G754" s="1" t="s">
        <v>12</v>
      </c>
      <c r="H754" s="1" t="s">
        <v>13</v>
      </c>
      <c r="I754" s="1" t="s">
        <v>14</v>
      </c>
      <c r="J754" s="14">
        <v>0.64282407407407405</v>
      </c>
      <c r="K754" s="15">
        <v>44751</v>
      </c>
      <c r="M754" s="2">
        <v>3.95</v>
      </c>
      <c r="O754" s="2">
        <f t="shared" si="73"/>
        <v>3.8800000000000003</v>
      </c>
      <c r="P754" s="2">
        <f t="shared" si="74"/>
        <v>78.874285714285719</v>
      </c>
      <c r="Q754" s="2">
        <f t="shared" si="75"/>
        <v>0.39524999999999155</v>
      </c>
      <c r="R754" s="2">
        <f t="shared" si="76"/>
        <v>0.39448571428570595</v>
      </c>
      <c r="S754" s="2">
        <f t="shared" si="77"/>
        <v>7.6428571428560632E-4</v>
      </c>
    </row>
    <row r="755" spans="2:19" x14ac:dyDescent="0.25">
      <c r="B755" s="1">
        <f t="shared" si="78"/>
        <v>749</v>
      </c>
      <c r="C755" s="1">
        <v>1072</v>
      </c>
      <c r="D755" s="13">
        <v>79.099999999999994</v>
      </c>
      <c r="E755" s="1" t="s">
        <v>11</v>
      </c>
      <c r="F755" s="2">
        <v>3.9750000000000001</v>
      </c>
      <c r="G755" s="1" t="s">
        <v>12</v>
      </c>
      <c r="H755" s="1" t="s">
        <v>13</v>
      </c>
      <c r="I755" s="1" t="s">
        <v>14</v>
      </c>
      <c r="J755" s="14">
        <v>0.64282407407407405</v>
      </c>
      <c r="K755" s="15">
        <v>44751</v>
      </c>
      <c r="M755" s="2">
        <v>3.9550000000000001</v>
      </c>
      <c r="O755" s="2">
        <f t="shared" si="73"/>
        <v>3.8850000000000002</v>
      </c>
      <c r="P755" s="2">
        <f t="shared" si="74"/>
        <v>78.920000000000016</v>
      </c>
      <c r="Q755" s="2">
        <f t="shared" si="75"/>
        <v>0.39549999999999153</v>
      </c>
      <c r="R755" s="2">
        <f t="shared" si="76"/>
        <v>0.39471428571427736</v>
      </c>
      <c r="S755" s="2">
        <f t="shared" si="77"/>
        <v>7.8571428571416746E-4</v>
      </c>
    </row>
    <row r="756" spans="2:19" x14ac:dyDescent="0.25">
      <c r="B756" s="1">
        <f t="shared" si="78"/>
        <v>750</v>
      </c>
      <c r="C756" s="1">
        <v>1073</v>
      </c>
      <c r="D756" s="13">
        <v>79.099999999999994</v>
      </c>
      <c r="E756" s="1" t="s">
        <v>11</v>
      </c>
      <c r="F756" s="2">
        <v>3.98</v>
      </c>
      <c r="G756" s="1" t="s">
        <v>12</v>
      </c>
      <c r="H756" s="1" t="s">
        <v>13</v>
      </c>
      <c r="I756" s="1" t="s">
        <v>14</v>
      </c>
      <c r="J756" s="14">
        <v>0.64282407407407405</v>
      </c>
      <c r="K756" s="15">
        <v>44751</v>
      </c>
      <c r="M756" s="2">
        <v>3.96</v>
      </c>
      <c r="O756" s="2">
        <f t="shared" si="73"/>
        <v>3.89</v>
      </c>
      <c r="P756" s="2">
        <f t="shared" si="74"/>
        <v>78.965714285714299</v>
      </c>
      <c r="Q756" s="2">
        <f t="shared" si="75"/>
        <v>0.39599999999999153</v>
      </c>
      <c r="R756" s="2">
        <f t="shared" si="76"/>
        <v>0.39494285714284882</v>
      </c>
      <c r="S756" s="2">
        <f t="shared" si="77"/>
        <v>1.0571428571427011E-3</v>
      </c>
    </row>
    <row r="757" spans="2:19" x14ac:dyDescent="0.25">
      <c r="B757" s="1">
        <f t="shared" si="78"/>
        <v>751</v>
      </c>
      <c r="C757" s="1">
        <v>1075</v>
      </c>
      <c r="D757" s="13">
        <v>79.3</v>
      </c>
      <c r="E757" s="1" t="s">
        <v>11</v>
      </c>
      <c r="F757" s="2">
        <v>3.9849999999999999</v>
      </c>
      <c r="G757" s="1" t="s">
        <v>12</v>
      </c>
      <c r="H757" s="1" t="s">
        <v>13</v>
      </c>
      <c r="I757" s="1" t="s">
        <v>14</v>
      </c>
      <c r="J757" s="14">
        <v>0.64282407407407405</v>
      </c>
      <c r="K757" s="15">
        <v>44751</v>
      </c>
      <c r="M757" s="2">
        <v>3.9649999999999999</v>
      </c>
      <c r="O757" s="2">
        <f t="shared" si="73"/>
        <v>3.895</v>
      </c>
      <c r="P757" s="2">
        <f t="shared" si="74"/>
        <v>79.011428571428581</v>
      </c>
      <c r="Q757" s="2">
        <f t="shared" si="75"/>
        <v>0.39650000000002678</v>
      </c>
      <c r="R757" s="2">
        <f t="shared" si="76"/>
        <v>0.39517142857145532</v>
      </c>
      <c r="S757" s="2">
        <f t="shared" si="77"/>
        <v>1.3285714285714567E-3</v>
      </c>
    </row>
    <row r="758" spans="2:19" x14ac:dyDescent="0.25">
      <c r="B758" s="1">
        <f t="shared" si="78"/>
        <v>752</v>
      </c>
      <c r="C758" s="1">
        <v>1077</v>
      </c>
      <c r="D758" s="13">
        <v>79.3</v>
      </c>
      <c r="E758" s="1" t="s">
        <v>11</v>
      </c>
      <c r="F758" s="2">
        <v>3.99</v>
      </c>
      <c r="G758" s="1" t="s">
        <v>12</v>
      </c>
      <c r="H758" s="1" t="s">
        <v>13</v>
      </c>
      <c r="I758" s="1" t="s">
        <v>14</v>
      </c>
      <c r="J758" s="14">
        <v>0.64282407407407405</v>
      </c>
      <c r="K758" s="15">
        <v>44751</v>
      </c>
      <c r="M758" s="2">
        <v>3.97</v>
      </c>
      <c r="O758" s="2">
        <f t="shared" si="73"/>
        <v>3.9000000000000004</v>
      </c>
      <c r="P758" s="2">
        <f t="shared" si="74"/>
        <v>79.057142857142878</v>
      </c>
      <c r="Q758" s="2">
        <f t="shared" si="75"/>
        <v>0.39649999999999153</v>
      </c>
      <c r="R758" s="2">
        <f t="shared" si="76"/>
        <v>0.39539999999999165</v>
      </c>
      <c r="S758" s="2">
        <f t="shared" si="77"/>
        <v>1.0999999999998789E-3</v>
      </c>
    </row>
    <row r="759" spans="2:19" x14ac:dyDescent="0.25">
      <c r="B759" s="1">
        <f t="shared" si="78"/>
        <v>753</v>
      </c>
      <c r="C759" s="1">
        <v>1079</v>
      </c>
      <c r="D759" s="13">
        <v>79.3</v>
      </c>
      <c r="E759" s="1" t="s">
        <v>11</v>
      </c>
      <c r="F759" s="2">
        <v>3.9950000000000001</v>
      </c>
      <c r="G759" s="1" t="s">
        <v>12</v>
      </c>
      <c r="H759" s="1" t="s">
        <v>13</v>
      </c>
      <c r="I759" s="1" t="s">
        <v>14</v>
      </c>
      <c r="J759" s="14">
        <v>0.6428356481481482</v>
      </c>
      <c r="K759" s="15">
        <v>44751</v>
      </c>
      <c r="M759" s="2">
        <v>3.9750000000000001</v>
      </c>
      <c r="O759" s="2">
        <f t="shared" si="73"/>
        <v>3.9050000000000002</v>
      </c>
      <c r="P759" s="2">
        <f t="shared" si="74"/>
        <v>79.102857142857147</v>
      </c>
      <c r="Q759" s="2">
        <f t="shared" si="75"/>
        <v>0.3967499999999915</v>
      </c>
      <c r="R759" s="2">
        <f t="shared" si="76"/>
        <v>0.39562857142856306</v>
      </c>
      <c r="S759" s="2">
        <f t="shared" si="77"/>
        <v>1.12142857142844E-3</v>
      </c>
    </row>
    <row r="760" spans="2:19" x14ac:dyDescent="0.25">
      <c r="B760" s="1">
        <f t="shared" si="78"/>
        <v>754</v>
      </c>
      <c r="C760" s="1">
        <v>1082</v>
      </c>
      <c r="D760" s="13">
        <v>79.400000000000006</v>
      </c>
      <c r="E760" s="1" t="s">
        <v>11</v>
      </c>
      <c r="F760" s="2">
        <v>4</v>
      </c>
      <c r="G760" s="1" t="s">
        <v>12</v>
      </c>
      <c r="H760" s="1" t="s">
        <v>13</v>
      </c>
      <c r="I760" s="1" t="s">
        <v>14</v>
      </c>
      <c r="J760" s="14">
        <v>0.6428356481481482</v>
      </c>
      <c r="K760" s="15">
        <v>44751</v>
      </c>
      <c r="M760" s="2">
        <v>3.98</v>
      </c>
      <c r="O760" s="2">
        <f t="shared" si="73"/>
        <v>3.91</v>
      </c>
      <c r="P760" s="2">
        <f t="shared" si="74"/>
        <v>79.148571428571444</v>
      </c>
      <c r="Q760" s="2">
        <f t="shared" si="75"/>
        <v>0.3967499999999915</v>
      </c>
      <c r="R760" s="2">
        <f t="shared" si="76"/>
        <v>0.39585714285713447</v>
      </c>
      <c r="S760" s="2">
        <f t="shared" si="77"/>
        <v>8.9285714285702866E-4</v>
      </c>
    </row>
    <row r="761" spans="2:19" x14ac:dyDescent="0.25">
      <c r="B761" s="1">
        <f t="shared" si="78"/>
        <v>755</v>
      </c>
      <c r="C761" s="1">
        <v>1084</v>
      </c>
      <c r="D761" s="13">
        <v>79.3</v>
      </c>
      <c r="E761" s="1" t="s">
        <v>11</v>
      </c>
      <c r="F761" s="2">
        <v>4.0049999999999999</v>
      </c>
      <c r="G761" s="1" t="s">
        <v>12</v>
      </c>
      <c r="H761" s="1" t="s">
        <v>13</v>
      </c>
      <c r="I761" s="1" t="s">
        <v>14</v>
      </c>
      <c r="J761" s="14">
        <v>0.6428356481481482</v>
      </c>
      <c r="K761" s="15">
        <v>44751</v>
      </c>
      <c r="M761" s="2">
        <v>3.9849999999999999</v>
      </c>
      <c r="O761" s="2">
        <f t="shared" si="73"/>
        <v>3.915</v>
      </c>
      <c r="P761" s="2">
        <f t="shared" si="74"/>
        <v>79.194285714285726</v>
      </c>
      <c r="Q761" s="2">
        <f t="shared" si="75"/>
        <v>0.3967499999999915</v>
      </c>
      <c r="R761" s="2">
        <f t="shared" si="76"/>
        <v>0.39608571428570594</v>
      </c>
      <c r="S761" s="2">
        <f t="shared" si="77"/>
        <v>6.6428571428556182E-4</v>
      </c>
    </row>
    <row r="762" spans="2:19" x14ac:dyDescent="0.25">
      <c r="B762" s="1">
        <f t="shared" si="78"/>
        <v>756</v>
      </c>
      <c r="C762" s="1">
        <v>1087</v>
      </c>
      <c r="D762" s="13">
        <v>79.400000000000006</v>
      </c>
      <c r="E762" s="1" t="s">
        <v>11</v>
      </c>
      <c r="F762" s="2">
        <v>4.01</v>
      </c>
      <c r="G762" s="1" t="s">
        <v>12</v>
      </c>
      <c r="H762" s="1" t="s">
        <v>13</v>
      </c>
      <c r="I762" s="1" t="s">
        <v>14</v>
      </c>
      <c r="J762" s="14">
        <v>0.6428356481481482</v>
      </c>
      <c r="K762" s="15">
        <v>44751</v>
      </c>
      <c r="M762" s="2">
        <v>3.9899999999999998</v>
      </c>
      <c r="O762" s="2">
        <f t="shared" si="73"/>
        <v>3.92</v>
      </c>
      <c r="P762" s="2">
        <f t="shared" si="74"/>
        <v>79.240000000000009</v>
      </c>
      <c r="Q762" s="2">
        <f t="shared" si="75"/>
        <v>0.39699999999999158</v>
      </c>
      <c r="R762" s="2">
        <f t="shared" si="76"/>
        <v>0.39631428571427729</v>
      </c>
      <c r="S762" s="2">
        <f t="shared" si="77"/>
        <v>6.857142857142895E-4</v>
      </c>
    </row>
    <row r="763" spans="2:19" x14ac:dyDescent="0.25">
      <c r="B763" s="1">
        <f t="shared" si="78"/>
        <v>757</v>
      </c>
      <c r="C763" s="1">
        <v>1089</v>
      </c>
      <c r="D763" s="13">
        <v>79.400000000000006</v>
      </c>
      <c r="E763" s="1" t="s">
        <v>11</v>
      </c>
      <c r="F763" s="2">
        <v>4.0149999999999997</v>
      </c>
      <c r="G763" s="1" t="s">
        <v>12</v>
      </c>
      <c r="H763" s="1" t="s">
        <v>13</v>
      </c>
      <c r="I763" s="1" t="s">
        <v>14</v>
      </c>
      <c r="J763" s="14">
        <v>0.64284722222222224</v>
      </c>
      <c r="K763" s="15">
        <v>44751</v>
      </c>
      <c r="M763" s="2">
        <v>3.9949999999999997</v>
      </c>
      <c r="O763" s="2">
        <f t="shared" si="73"/>
        <v>3.9249999999999998</v>
      </c>
      <c r="P763" s="2">
        <f t="shared" si="74"/>
        <v>79.285714285714292</v>
      </c>
      <c r="Q763" s="2">
        <f t="shared" si="75"/>
        <v>0.39724999999999155</v>
      </c>
      <c r="R763" s="2">
        <f t="shared" si="76"/>
        <v>0.39654285714284876</v>
      </c>
      <c r="S763" s="2">
        <f t="shared" si="77"/>
        <v>7.0714285714279512E-4</v>
      </c>
    </row>
    <row r="764" spans="2:19" x14ac:dyDescent="0.25">
      <c r="B764" s="1">
        <f t="shared" si="78"/>
        <v>758</v>
      </c>
      <c r="C764" s="1">
        <v>1090</v>
      </c>
      <c r="D764" s="13">
        <v>79.5</v>
      </c>
      <c r="E764" s="1" t="s">
        <v>11</v>
      </c>
      <c r="F764" s="2">
        <v>4.0199999999999996</v>
      </c>
      <c r="G764" s="1" t="s">
        <v>12</v>
      </c>
      <c r="H764" s="1" t="s">
        <v>13</v>
      </c>
      <c r="I764" s="1" t="s">
        <v>14</v>
      </c>
      <c r="J764" s="14">
        <v>0.64284722222222224</v>
      </c>
      <c r="K764" s="15">
        <v>44751</v>
      </c>
      <c r="M764" s="2">
        <v>3.9999999999999996</v>
      </c>
      <c r="O764" s="2">
        <f t="shared" si="73"/>
        <v>3.9299999999999997</v>
      </c>
      <c r="P764" s="2">
        <f t="shared" si="74"/>
        <v>79.331428571428575</v>
      </c>
      <c r="Q764" s="2">
        <f t="shared" si="75"/>
        <v>0.39750000000009744</v>
      </c>
      <c r="R764" s="2">
        <f t="shared" si="76"/>
        <v>0.39677142857152586</v>
      </c>
      <c r="S764" s="2">
        <f t="shared" si="77"/>
        <v>7.2857142857157831E-4</v>
      </c>
    </row>
    <row r="765" spans="2:19" x14ac:dyDescent="0.25">
      <c r="B765" s="1">
        <f t="shared" si="78"/>
        <v>759</v>
      </c>
      <c r="C765" s="1">
        <v>1092</v>
      </c>
      <c r="D765" s="13">
        <v>79.5</v>
      </c>
      <c r="E765" s="1" t="s">
        <v>11</v>
      </c>
      <c r="F765" s="2">
        <v>4.0250000000000004</v>
      </c>
      <c r="G765" s="1" t="s">
        <v>12</v>
      </c>
      <c r="H765" s="1" t="s">
        <v>13</v>
      </c>
      <c r="I765" s="1" t="s">
        <v>14</v>
      </c>
      <c r="J765" s="14">
        <v>0.64284722222222224</v>
      </c>
      <c r="K765" s="15">
        <v>44751</v>
      </c>
      <c r="M765" s="2">
        <v>4.0050000000000008</v>
      </c>
      <c r="O765" s="2">
        <f t="shared" si="73"/>
        <v>3.9350000000000009</v>
      </c>
      <c r="P765" s="2">
        <f t="shared" si="74"/>
        <v>79.377142857142871</v>
      </c>
      <c r="Q765" s="2">
        <f t="shared" si="75"/>
        <v>0.3977499999999915</v>
      </c>
      <c r="R765" s="2">
        <f t="shared" si="76"/>
        <v>0.39699999999999164</v>
      </c>
      <c r="S765" s="2">
        <f t="shared" si="77"/>
        <v>7.4999999999986189E-4</v>
      </c>
    </row>
    <row r="766" spans="2:19" x14ac:dyDescent="0.25">
      <c r="B766" s="1">
        <f t="shared" si="78"/>
        <v>760</v>
      </c>
      <c r="C766" s="1">
        <v>1093</v>
      </c>
      <c r="D766" s="13">
        <v>79.599999999999994</v>
      </c>
      <c r="E766" s="1" t="s">
        <v>11</v>
      </c>
      <c r="F766" s="2">
        <v>4.03</v>
      </c>
      <c r="G766" s="1" t="s">
        <v>12</v>
      </c>
      <c r="H766" s="1" t="s">
        <v>13</v>
      </c>
      <c r="I766" s="1" t="s">
        <v>14</v>
      </c>
      <c r="J766" s="14">
        <v>0.64284722222222224</v>
      </c>
      <c r="K766" s="15">
        <v>44751</v>
      </c>
      <c r="M766" s="2">
        <v>4.0100000000000007</v>
      </c>
      <c r="O766" s="2">
        <f t="shared" si="73"/>
        <v>3.9400000000000008</v>
      </c>
      <c r="P766" s="2">
        <f t="shared" si="74"/>
        <v>79.422857142857168</v>
      </c>
      <c r="Q766" s="2">
        <f t="shared" si="75"/>
        <v>0.39799999999999147</v>
      </c>
      <c r="R766" s="2">
        <f t="shared" si="76"/>
        <v>0.39722857142856305</v>
      </c>
      <c r="S766" s="2">
        <f t="shared" si="77"/>
        <v>7.7142857142842303E-4</v>
      </c>
    </row>
    <row r="767" spans="2:19" x14ac:dyDescent="0.25">
      <c r="B767" s="1">
        <f t="shared" si="78"/>
        <v>761</v>
      </c>
      <c r="C767" s="1">
        <v>1095</v>
      </c>
      <c r="D767" s="13">
        <v>79.599999999999994</v>
      </c>
      <c r="E767" s="1" t="s">
        <v>11</v>
      </c>
      <c r="F767" s="2">
        <v>4.0350000000000001</v>
      </c>
      <c r="G767" s="1" t="s">
        <v>12</v>
      </c>
      <c r="H767" s="1" t="s">
        <v>13</v>
      </c>
      <c r="I767" s="1" t="s">
        <v>14</v>
      </c>
      <c r="J767" s="14">
        <v>0.64284722222222224</v>
      </c>
      <c r="K767" s="15">
        <v>44751</v>
      </c>
      <c r="M767" s="2">
        <v>4.0150000000000006</v>
      </c>
      <c r="O767" s="2">
        <f t="shared" si="73"/>
        <v>3.9450000000000007</v>
      </c>
      <c r="P767" s="2">
        <f t="shared" si="74"/>
        <v>79.468571428571437</v>
      </c>
      <c r="Q767" s="2">
        <f t="shared" si="75"/>
        <v>0.39824999999999156</v>
      </c>
      <c r="R767" s="2">
        <f t="shared" si="76"/>
        <v>0.39745714285713446</v>
      </c>
      <c r="S767" s="2">
        <f t="shared" si="77"/>
        <v>7.9285714285709519E-4</v>
      </c>
    </row>
    <row r="768" spans="2:19" x14ac:dyDescent="0.25">
      <c r="B768" s="1">
        <f t="shared" si="78"/>
        <v>762</v>
      </c>
      <c r="C768" s="1">
        <v>1096</v>
      </c>
      <c r="D768" s="13">
        <v>79.7</v>
      </c>
      <c r="E768" s="1" t="s">
        <v>11</v>
      </c>
      <c r="F768" s="2">
        <v>4.04</v>
      </c>
      <c r="G768" s="1" t="s">
        <v>12</v>
      </c>
      <c r="H768" s="1" t="s">
        <v>13</v>
      </c>
      <c r="I768" s="1" t="s">
        <v>14</v>
      </c>
      <c r="J768" s="14">
        <v>0.64284722222222224</v>
      </c>
      <c r="K768" s="15">
        <v>44751</v>
      </c>
      <c r="M768" s="2">
        <v>4.0200000000000005</v>
      </c>
      <c r="O768" s="2">
        <f t="shared" si="73"/>
        <v>3.9500000000000006</v>
      </c>
      <c r="P768" s="2">
        <f t="shared" si="74"/>
        <v>79.514285714285734</v>
      </c>
      <c r="Q768" s="2">
        <f t="shared" si="75"/>
        <v>0.3987499999999915</v>
      </c>
      <c r="R768" s="2">
        <f t="shared" si="76"/>
        <v>0.39768571428570587</v>
      </c>
      <c r="S768" s="2">
        <f t="shared" si="77"/>
        <v>1.0642857142856288E-3</v>
      </c>
    </row>
    <row r="769" spans="2:19" x14ac:dyDescent="0.25">
      <c r="B769" s="1">
        <f t="shared" si="78"/>
        <v>763</v>
      </c>
      <c r="C769" s="1">
        <v>1098</v>
      </c>
      <c r="D769" s="13">
        <v>79.8</v>
      </c>
      <c r="E769" s="1" t="s">
        <v>11</v>
      </c>
      <c r="F769" s="2">
        <v>4.0449999999999999</v>
      </c>
      <c r="G769" s="1" t="s">
        <v>12</v>
      </c>
      <c r="H769" s="1" t="s">
        <v>13</v>
      </c>
      <c r="I769" s="1" t="s">
        <v>14</v>
      </c>
      <c r="J769" s="14">
        <v>0.64284722222222224</v>
      </c>
      <c r="K769" s="15">
        <v>44751</v>
      </c>
      <c r="M769" s="2">
        <v>4.0250000000000004</v>
      </c>
      <c r="O769" s="2">
        <f t="shared" si="73"/>
        <v>3.9550000000000005</v>
      </c>
      <c r="P769" s="2">
        <f t="shared" si="74"/>
        <v>79.560000000000016</v>
      </c>
      <c r="Q769" s="2">
        <f t="shared" si="75"/>
        <v>0.39899999999999147</v>
      </c>
      <c r="R769" s="2">
        <f t="shared" si="76"/>
        <v>0.39791428571427734</v>
      </c>
      <c r="S769" s="2">
        <f t="shared" si="77"/>
        <v>1.0857142857141344E-3</v>
      </c>
    </row>
    <row r="770" spans="2:19" x14ac:dyDescent="0.25">
      <c r="B770" s="1">
        <f t="shared" si="78"/>
        <v>764</v>
      </c>
      <c r="C770" s="1">
        <v>1099</v>
      </c>
      <c r="D770" s="13">
        <v>79.8</v>
      </c>
      <c r="E770" s="1" t="s">
        <v>11</v>
      </c>
      <c r="F770" s="2">
        <v>4.05</v>
      </c>
      <c r="G770" s="1" t="s">
        <v>12</v>
      </c>
      <c r="H770" s="1" t="s">
        <v>13</v>
      </c>
      <c r="I770" s="1" t="s">
        <v>14</v>
      </c>
      <c r="J770" s="14">
        <v>0.64285879629629628</v>
      </c>
      <c r="K770" s="15">
        <v>44751</v>
      </c>
      <c r="M770" s="2">
        <v>4.03</v>
      </c>
      <c r="O770" s="2">
        <f t="shared" si="73"/>
        <v>3.9600000000000004</v>
      </c>
      <c r="P770" s="2">
        <f t="shared" si="74"/>
        <v>79.605714285714299</v>
      </c>
      <c r="Q770" s="2">
        <f t="shared" si="75"/>
        <v>0.39899999999999147</v>
      </c>
      <c r="R770" s="2">
        <f t="shared" si="76"/>
        <v>0.39814285714284869</v>
      </c>
      <c r="S770" s="2">
        <f t="shared" si="77"/>
        <v>8.571428571427786E-4</v>
      </c>
    </row>
    <row r="771" spans="2:19" x14ac:dyDescent="0.25">
      <c r="B771" s="1">
        <f t="shared" si="78"/>
        <v>765</v>
      </c>
      <c r="C771" s="1">
        <v>1100</v>
      </c>
      <c r="D771" s="13">
        <v>79.8</v>
      </c>
      <c r="E771" s="1" t="s">
        <v>11</v>
      </c>
      <c r="F771" s="2">
        <v>4.0549999999999997</v>
      </c>
      <c r="G771" s="1" t="s">
        <v>12</v>
      </c>
      <c r="H771" s="1" t="s">
        <v>13</v>
      </c>
      <c r="I771" s="1" t="s">
        <v>14</v>
      </c>
      <c r="J771" s="14">
        <v>0.64285879629629628</v>
      </c>
      <c r="K771" s="15">
        <v>44751</v>
      </c>
      <c r="M771" s="2">
        <v>4.0350000000000001</v>
      </c>
      <c r="O771" s="2">
        <f t="shared" si="73"/>
        <v>3.9650000000000003</v>
      </c>
      <c r="P771" s="2">
        <f t="shared" si="74"/>
        <v>79.651428571428582</v>
      </c>
      <c r="Q771" s="2">
        <f t="shared" si="75"/>
        <v>0.39924999999999145</v>
      </c>
      <c r="R771" s="2">
        <f t="shared" si="76"/>
        <v>0.39837142857142016</v>
      </c>
      <c r="S771" s="2">
        <f t="shared" si="77"/>
        <v>8.7857142857128423E-4</v>
      </c>
    </row>
    <row r="772" spans="2:19" x14ac:dyDescent="0.25">
      <c r="B772" s="1">
        <f t="shared" si="78"/>
        <v>766</v>
      </c>
      <c r="C772" s="1">
        <v>1101</v>
      </c>
      <c r="D772" s="13">
        <v>79.900000000000006</v>
      </c>
      <c r="E772" s="1" t="s">
        <v>11</v>
      </c>
      <c r="F772" s="2">
        <v>4.0599999999999996</v>
      </c>
      <c r="G772" s="1" t="s">
        <v>12</v>
      </c>
      <c r="H772" s="1" t="s">
        <v>13</v>
      </c>
      <c r="I772" s="1" t="s">
        <v>14</v>
      </c>
      <c r="J772" s="14">
        <v>0.64285879629629628</v>
      </c>
      <c r="K772" s="15">
        <v>44751</v>
      </c>
      <c r="M772" s="2">
        <v>4.04</v>
      </c>
      <c r="O772" s="2">
        <f t="shared" si="73"/>
        <v>3.97</v>
      </c>
      <c r="P772" s="2">
        <f t="shared" si="74"/>
        <v>79.697142857142865</v>
      </c>
      <c r="Q772" s="2">
        <f t="shared" si="75"/>
        <v>0.39950000000006247</v>
      </c>
      <c r="R772" s="2">
        <f t="shared" si="76"/>
        <v>0.39860000000006235</v>
      </c>
      <c r="S772" s="2">
        <f t="shared" si="77"/>
        <v>9.0000000000012292E-4</v>
      </c>
    </row>
    <row r="773" spans="2:19" x14ac:dyDescent="0.25">
      <c r="B773" s="1">
        <f t="shared" si="78"/>
        <v>767</v>
      </c>
      <c r="C773" s="1">
        <v>1102</v>
      </c>
      <c r="D773" s="13">
        <v>79.900000000000006</v>
      </c>
      <c r="E773" s="1" t="s">
        <v>11</v>
      </c>
      <c r="F773" s="2">
        <v>4.0650000000000004</v>
      </c>
      <c r="G773" s="1" t="s">
        <v>12</v>
      </c>
      <c r="H773" s="1" t="s">
        <v>13</v>
      </c>
      <c r="I773" s="1" t="s">
        <v>14</v>
      </c>
      <c r="J773" s="14">
        <v>0.64285879629629628</v>
      </c>
      <c r="K773" s="15">
        <v>44751</v>
      </c>
      <c r="M773" s="2">
        <v>4.0450000000000008</v>
      </c>
      <c r="O773" s="2">
        <f t="shared" si="73"/>
        <v>3.975000000000001</v>
      </c>
      <c r="P773" s="2">
        <f t="shared" si="74"/>
        <v>79.742857142857162</v>
      </c>
      <c r="Q773" s="2">
        <f t="shared" si="75"/>
        <v>0.3997499999999915</v>
      </c>
      <c r="R773" s="2">
        <f t="shared" si="76"/>
        <v>0.39882857142856298</v>
      </c>
      <c r="S773" s="2">
        <f t="shared" si="77"/>
        <v>9.2142857142851753E-4</v>
      </c>
    </row>
    <row r="774" spans="2:19" x14ac:dyDescent="0.25">
      <c r="B774" s="1">
        <f t="shared" si="78"/>
        <v>768</v>
      </c>
      <c r="C774" s="1">
        <v>1103</v>
      </c>
      <c r="D774" s="13">
        <v>80</v>
      </c>
      <c r="E774" s="1" t="s">
        <v>11</v>
      </c>
      <c r="F774" s="2">
        <v>4.07</v>
      </c>
      <c r="G774" s="1" t="s">
        <v>12</v>
      </c>
      <c r="H774" s="1" t="s">
        <v>13</v>
      </c>
      <c r="I774" s="1" t="s">
        <v>14</v>
      </c>
      <c r="J774" s="14">
        <v>0.64285879629629628</v>
      </c>
      <c r="K774" s="15">
        <v>44751</v>
      </c>
      <c r="M774" s="2">
        <v>4.0500000000000007</v>
      </c>
      <c r="O774" s="2">
        <f t="shared" si="73"/>
        <v>3.9800000000000009</v>
      </c>
      <c r="P774" s="2">
        <f t="shared" si="74"/>
        <v>79.788571428571444</v>
      </c>
      <c r="Q774" s="2">
        <f t="shared" si="75"/>
        <v>0.39999999999999147</v>
      </c>
      <c r="R774" s="2">
        <f t="shared" si="76"/>
        <v>0.39905714285713445</v>
      </c>
      <c r="S774" s="2">
        <f t="shared" si="77"/>
        <v>9.4285714285702316E-4</v>
      </c>
    </row>
    <row r="775" spans="2:19" x14ac:dyDescent="0.25">
      <c r="B775" s="1">
        <f t="shared" si="78"/>
        <v>769</v>
      </c>
      <c r="C775" s="1">
        <v>1104</v>
      </c>
      <c r="D775" s="13">
        <v>80</v>
      </c>
      <c r="E775" s="1" t="s">
        <v>11</v>
      </c>
      <c r="F775" s="2">
        <v>4.0750000000000002</v>
      </c>
      <c r="G775" s="1" t="s">
        <v>12</v>
      </c>
      <c r="H775" s="1" t="s">
        <v>13</v>
      </c>
      <c r="I775" s="1" t="s">
        <v>14</v>
      </c>
      <c r="J775" s="14">
        <v>0.64285879629629628</v>
      </c>
      <c r="K775" s="15">
        <v>44751</v>
      </c>
      <c r="M775" s="2">
        <v>4.0550000000000006</v>
      </c>
      <c r="O775" s="2">
        <f t="shared" si="73"/>
        <v>3.9850000000000008</v>
      </c>
      <c r="P775" s="2">
        <f t="shared" si="74"/>
        <v>79.834285714285727</v>
      </c>
      <c r="Q775" s="2">
        <f t="shared" si="75"/>
        <v>0.39999999999999147</v>
      </c>
      <c r="R775" s="2">
        <f t="shared" si="76"/>
        <v>0.39928571428570586</v>
      </c>
      <c r="S775" s="2">
        <f t="shared" si="77"/>
        <v>7.1428571428561183E-4</v>
      </c>
    </row>
    <row r="776" spans="2:19" x14ac:dyDescent="0.25">
      <c r="B776" s="1">
        <f t="shared" si="78"/>
        <v>770</v>
      </c>
      <c r="C776" s="1">
        <v>1106</v>
      </c>
      <c r="D776" s="13">
        <v>80</v>
      </c>
      <c r="E776" s="1" t="s">
        <v>11</v>
      </c>
      <c r="F776" s="2">
        <v>4.08</v>
      </c>
      <c r="G776" s="1" t="s">
        <v>12</v>
      </c>
      <c r="H776" s="1" t="s">
        <v>13</v>
      </c>
      <c r="I776" s="1" t="s">
        <v>14</v>
      </c>
      <c r="J776" s="14">
        <v>0.64285879629629628</v>
      </c>
      <c r="K776" s="15">
        <v>44751</v>
      </c>
      <c r="M776" s="2">
        <v>4.0600000000000005</v>
      </c>
      <c r="O776" s="2">
        <f t="shared" ref="O776:O794" si="79">M776-$X$23</f>
        <v>3.9900000000000007</v>
      </c>
      <c r="P776" s="2">
        <f t="shared" ref="P776:P794" si="80">O776*$AC$21+$Y$23</f>
        <v>79.880000000000024</v>
      </c>
      <c r="Q776" s="2">
        <f t="shared" ref="Q776:Q793" si="81">((D776+D777)/2)*(M777-M776)</f>
        <v>0.40024999999999145</v>
      </c>
      <c r="R776" s="2">
        <f t="shared" ref="R776:R793" si="82">((P776+P777)/2)*(O777-O776)</f>
        <v>0.39951428571427727</v>
      </c>
      <c r="S776" s="2">
        <f t="shared" ref="S776:S793" si="83">Q776-R776</f>
        <v>7.3571428571417297E-4</v>
      </c>
    </row>
    <row r="777" spans="2:19" x14ac:dyDescent="0.25">
      <c r="B777" s="1">
        <f t="shared" ref="B777:B794" si="84">B776+1</f>
        <v>771</v>
      </c>
      <c r="C777" s="1">
        <v>1107</v>
      </c>
      <c r="D777" s="13">
        <v>80.099999999999994</v>
      </c>
      <c r="E777" s="1" t="s">
        <v>11</v>
      </c>
      <c r="F777" s="2">
        <v>4.085</v>
      </c>
      <c r="G777" s="1" t="s">
        <v>12</v>
      </c>
      <c r="H777" s="1" t="s">
        <v>13</v>
      </c>
      <c r="I777" s="1" t="s">
        <v>14</v>
      </c>
      <c r="J777" s="14">
        <v>0.64285879629629628</v>
      </c>
      <c r="K777" s="15">
        <v>44751</v>
      </c>
      <c r="M777" s="2">
        <v>4.0650000000000004</v>
      </c>
      <c r="O777" s="2">
        <f t="shared" si="79"/>
        <v>3.9950000000000006</v>
      </c>
      <c r="P777" s="2">
        <f t="shared" si="80"/>
        <v>79.925714285714292</v>
      </c>
      <c r="Q777" s="2">
        <f t="shared" si="81"/>
        <v>0.40049999999999142</v>
      </c>
      <c r="R777" s="2">
        <f t="shared" si="82"/>
        <v>0.39974285714281316</v>
      </c>
      <c r="S777" s="2">
        <f t="shared" si="83"/>
        <v>7.5714285717826124E-4</v>
      </c>
    </row>
    <row r="778" spans="2:19" x14ac:dyDescent="0.25">
      <c r="B778" s="1">
        <f t="shared" si="84"/>
        <v>772</v>
      </c>
      <c r="C778" s="1">
        <v>1108</v>
      </c>
      <c r="D778" s="13">
        <v>80.099999999999994</v>
      </c>
      <c r="E778" s="1" t="s">
        <v>11</v>
      </c>
      <c r="F778" s="2">
        <v>4.09</v>
      </c>
      <c r="G778" s="1" t="s">
        <v>12</v>
      </c>
      <c r="H778" s="1" t="s">
        <v>13</v>
      </c>
      <c r="I778" s="1" t="s">
        <v>14</v>
      </c>
      <c r="J778" s="14">
        <v>0.64285879629629628</v>
      </c>
      <c r="K778" s="15">
        <v>44751</v>
      </c>
      <c r="M778" s="2">
        <v>4.07</v>
      </c>
      <c r="O778" s="2">
        <f t="shared" si="79"/>
        <v>4</v>
      </c>
      <c r="P778" s="2">
        <f t="shared" si="80"/>
        <v>79.971428571428589</v>
      </c>
      <c r="Q778" s="2">
        <f t="shared" si="81"/>
        <v>0.40049999999999142</v>
      </c>
      <c r="R778" s="2">
        <f t="shared" si="82"/>
        <v>0.3999714285714201</v>
      </c>
      <c r="S778" s="2">
        <f t="shared" si="83"/>
        <v>5.2857142857132278E-4</v>
      </c>
    </row>
    <row r="779" spans="2:19" x14ac:dyDescent="0.25">
      <c r="B779" s="1">
        <f t="shared" si="84"/>
        <v>773</v>
      </c>
      <c r="C779" s="1">
        <v>1109</v>
      </c>
      <c r="D779" s="13">
        <v>80.099999999999994</v>
      </c>
      <c r="E779" s="1" t="s">
        <v>11</v>
      </c>
      <c r="F779" s="2">
        <v>4.0949999999999998</v>
      </c>
      <c r="G779" s="1" t="s">
        <v>12</v>
      </c>
      <c r="H779" s="1" t="s">
        <v>13</v>
      </c>
      <c r="I779" s="1" t="s">
        <v>14</v>
      </c>
      <c r="J779" s="14">
        <v>0.64287037037037031</v>
      </c>
      <c r="K779" s="15">
        <v>44751</v>
      </c>
      <c r="M779" s="2">
        <v>4.0750000000000002</v>
      </c>
      <c r="O779" s="2">
        <f t="shared" si="79"/>
        <v>4.0049999999999999</v>
      </c>
      <c r="P779" s="2">
        <f t="shared" si="80"/>
        <v>80.017142857142858</v>
      </c>
      <c r="Q779" s="2">
        <f t="shared" si="81"/>
        <v>0.4007499999999915</v>
      </c>
      <c r="R779" s="2">
        <f t="shared" si="82"/>
        <v>0.40019999999999151</v>
      </c>
      <c r="S779" s="2">
        <f t="shared" si="83"/>
        <v>5.4999999999999494E-4</v>
      </c>
    </row>
    <row r="780" spans="2:19" x14ac:dyDescent="0.25">
      <c r="B780" s="1">
        <f t="shared" si="84"/>
        <v>774</v>
      </c>
      <c r="C780" s="1">
        <v>1110</v>
      </c>
      <c r="D780" s="13">
        <v>80.2</v>
      </c>
      <c r="E780" s="1" t="s">
        <v>11</v>
      </c>
      <c r="F780" s="2">
        <v>4.0999999999999996</v>
      </c>
      <c r="G780" s="1" t="s">
        <v>12</v>
      </c>
      <c r="H780" s="1" t="s">
        <v>13</v>
      </c>
      <c r="I780" s="1" t="s">
        <v>14</v>
      </c>
      <c r="J780" s="14">
        <v>0.64287037037037031</v>
      </c>
      <c r="K780" s="15">
        <v>44751</v>
      </c>
      <c r="M780" s="2">
        <v>4.08</v>
      </c>
      <c r="O780" s="2">
        <f t="shared" si="79"/>
        <v>4.01</v>
      </c>
      <c r="P780" s="2">
        <f t="shared" si="80"/>
        <v>80.062857142857155</v>
      </c>
      <c r="Q780" s="2">
        <f t="shared" si="81"/>
        <v>0.4010000000000627</v>
      </c>
      <c r="R780" s="2">
        <f t="shared" si="82"/>
        <v>0.40042857142863408</v>
      </c>
      <c r="S780" s="2">
        <f t="shared" si="83"/>
        <v>5.7142857142861159E-4</v>
      </c>
    </row>
    <row r="781" spans="2:19" x14ac:dyDescent="0.25">
      <c r="B781" s="1">
        <f t="shared" si="84"/>
        <v>775</v>
      </c>
      <c r="C781" s="1">
        <v>1112</v>
      </c>
      <c r="D781" s="13">
        <v>80.2</v>
      </c>
      <c r="E781" s="1" t="s">
        <v>11</v>
      </c>
      <c r="F781" s="2">
        <v>4.1050000000000004</v>
      </c>
      <c r="G781" s="1" t="s">
        <v>12</v>
      </c>
      <c r="H781" s="1" t="s">
        <v>13</v>
      </c>
      <c r="I781" s="1" t="s">
        <v>14</v>
      </c>
      <c r="J781" s="14">
        <v>0.64287037037037031</v>
      </c>
      <c r="K781" s="15">
        <v>44751</v>
      </c>
      <c r="M781" s="2">
        <v>4.0850000000000009</v>
      </c>
      <c r="O781" s="2">
        <f t="shared" si="79"/>
        <v>4.0150000000000006</v>
      </c>
      <c r="P781" s="2">
        <f t="shared" si="80"/>
        <v>80.108571428571452</v>
      </c>
      <c r="Q781" s="2">
        <f t="shared" si="81"/>
        <v>0.40099999999999147</v>
      </c>
      <c r="R781" s="2">
        <f t="shared" si="82"/>
        <v>0.40065714285713439</v>
      </c>
      <c r="S781" s="2">
        <f t="shared" si="83"/>
        <v>3.4285714285708924E-4</v>
      </c>
    </row>
    <row r="782" spans="2:19" x14ac:dyDescent="0.25">
      <c r="B782" s="1">
        <f t="shared" si="84"/>
        <v>776</v>
      </c>
      <c r="C782" s="1">
        <v>1113</v>
      </c>
      <c r="D782" s="13">
        <v>80.2</v>
      </c>
      <c r="E782" s="1" t="s">
        <v>11</v>
      </c>
      <c r="F782" s="2">
        <v>4.1100000000000003</v>
      </c>
      <c r="G782" s="1" t="s">
        <v>12</v>
      </c>
      <c r="H782" s="1" t="s">
        <v>13</v>
      </c>
      <c r="I782" s="1" t="s">
        <v>14</v>
      </c>
      <c r="J782" s="14">
        <v>0.64287037037037031</v>
      </c>
      <c r="K782" s="15">
        <v>44751</v>
      </c>
      <c r="M782" s="2">
        <v>4.0900000000000007</v>
      </c>
      <c r="O782" s="2">
        <f t="shared" si="79"/>
        <v>4.0200000000000005</v>
      </c>
      <c r="P782" s="2">
        <f t="shared" si="80"/>
        <v>80.15428571428572</v>
      </c>
      <c r="Q782" s="2">
        <f t="shared" si="81"/>
        <v>0.40099999999999147</v>
      </c>
      <c r="R782" s="2">
        <f t="shared" si="82"/>
        <v>0.4008857142857058</v>
      </c>
      <c r="S782" s="2">
        <f t="shared" si="83"/>
        <v>1.1428571428567791E-4</v>
      </c>
    </row>
    <row r="783" spans="2:19" x14ac:dyDescent="0.25">
      <c r="B783" s="1">
        <f t="shared" si="84"/>
        <v>777</v>
      </c>
      <c r="C783" s="1">
        <v>1114</v>
      </c>
      <c r="D783" s="13">
        <v>80.2</v>
      </c>
      <c r="E783" s="1" t="s">
        <v>11</v>
      </c>
      <c r="F783" s="2">
        <v>4.1150000000000002</v>
      </c>
      <c r="G783" s="1" t="s">
        <v>12</v>
      </c>
      <c r="H783" s="1" t="s">
        <v>13</v>
      </c>
      <c r="I783" s="1" t="s">
        <v>14</v>
      </c>
      <c r="J783" s="14">
        <v>0.64287037037037031</v>
      </c>
      <c r="K783" s="15">
        <v>44751</v>
      </c>
      <c r="M783" s="2">
        <v>4.0950000000000006</v>
      </c>
      <c r="O783" s="2">
        <f t="shared" si="79"/>
        <v>4.0250000000000004</v>
      </c>
      <c r="P783" s="2">
        <f t="shared" si="80"/>
        <v>80.200000000000017</v>
      </c>
      <c r="Q783" s="2">
        <f t="shared" si="81"/>
        <v>0.40449999999999142</v>
      </c>
      <c r="R783" s="2">
        <f t="shared" si="82"/>
        <v>0.40111428571427721</v>
      </c>
      <c r="S783" s="2">
        <f t="shared" si="83"/>
        <v>3.3857142857142142E-3</v>
      </c>
    </row>
    <row r="784" spans="2:19" x14ac:dyDescent="0.25">
      <c r="B784" s="1">
        <f t="shared" si="84"/>
        <v>778</v>
      </c>
      <c r="C784" s="1">
        <v>1115</v>
      </c>
      <c r="D784" s="13">
        <v>81.599999999999994</v>
      </c>
      <c r="E784" s="1" t="s">
        <v>11</v>
      </c>
      <c r="F784" s="2">
        <v>4.12</v>
      </c>
      <c r="G784" s="1" t="s">
        <v>12</v>
      </c>
      <c r="H784" s="1" t="s">
        <v>13</v>
      </c>
      <c r="I784" s="1" t="s">
        <v>14</v>
      </c>
      <c r="J784" s="14">
        <v>0.64287037037037031</v>
      </c>
      <c r="K784" s="15">
        <v>44751</v>
      </c>
      <c r="M784" s="2">
        <v>4.1000000000000005</v>
      </c>
      <c r="O784" s="2">
        <f t="shared" si="79"/>
        <v>4.03</v>
      </c>
      <c r="P784" s="2">
        <f t="shared" si="80"/>
        <v>80.2457142857143</v>
      </c>
      <c r="Q784" s="2">
        <f t="shared" si="81"/>
        <v>0.41699999999999116</v>
      </c>
      <c r="R784" s="2">
        <f t="shared" si="82"/>
        <v>0.40134285714284867</v>
      </c>
      <c r="S784" s="2">
        <f t="shared" si="83"/>
        <v>1.5657142857142481E-2</v>
      </c>
    </row>
    <row r="785" spans="2:20" x14ac:dyDescent="0.25">
      <c r="B785" s="1">
        <f t="shared" si="84"/>
        <v>779</v>
      </c>
      <c r="C785" s="1">
        <v>1116</v>
      </c>
      <c r="D785" s="13">
        <v>85.2</v>
      </c>
      <c r="E785" s="1" t="s">
        <v>11</v>
      </c>
      <c r="F785" s="2">
        <v>4.125</v>
      </c>
      <c r="G785" s="1" t="s">
        <v>12</v>
      </c>
      <c r="H785" s="1" t="s">
        <v>13</v>
      </c>
      <c r="I785" s="1" t="s">
        <v>14</v>
      </c>
      <c r="J785" s="14">
        <v>0.64287037037037031</v>
      </c>
      <c r="K785" s="15">
        <v>44751</v>
      </c>
      <c r="M785" s="2">
        <v>4.1050000000000004</v>
      </c>
      <c r="O785" s="2">
        <f t="shared" si="79"/>
        <v>4.0350000000000001</v>
      </c>
      <c r="P785" s="2">
        <f t="shared" si="80"/>
        <v>80.291428571428582</v>
      </c>
      <c r="Q785" s="2">
        <f t="shared" si="81"/>
        <v>0.4342499999999907</v>
      </c>
      <c r="R785" s="2">
        <f t="shared" si="82"/>
        <v>0.40157142857142003</v>
      </c>
      <c r="S785" s="2">
        <f t="shared" si="83"/>
        <v>3.2678571428570669E-2</v>
      </c>
    </row>
    <row r="786" spans="2:20" x14ac:dyDescent="0.25">
      <c r="B786" s="1">
        <f t="shared" si="84"/>
        <v>780</v>
      </c>
      <c r="C786" s="1">
        <v>1117</v>
      </c>
      <c r="D786" s="13">
        <v>88.5</v>
      </c>
      <c r="E786" s="1" t="s">
        <v>11</v>
      </c>
      <c r="F786" s="2">
        <v>4.13</v>
      </c>
      <c r="G786" s="1" t="s">
        <v>12</v>
      </c>
      <c r="H786" s="1" t="s">
        <v>13</v>
      </c>
      <c r="I786" s="1" t="s">
        <v>14</v>
      </c>
      <c r="J786" s="14">
        <v>0.64287037037037031</v>
      </c>
      <c r="K786" s="15">
        <v>44751</v>
      </c>
      <c r="M786" s="2">
        <v>4.1100000000000003</v>
      </c>
      <c r="O786" s="2">
        <f t="shared" si="79"/>
        <v>4.04</v>
      </c>
      <c r="P786" s="2">
        <f t="shared" si="80"/>
        <v>80.337142857142865</v>
      </c>
      <c r="Q786" s="2">
        <f t="shared" si="81"/>
        <v>0.45024999999999038</v>
      </c>
      <c r="R786" s="2">
        <f t="shared" si="82"/>
        <v>0.4017999999999915</v>
      </c>
      <c r="S786" s="2">
        <f t="shared" si="83"/>
        <v>4.8449999999998883E-2</v>
      </c>
    </row>
    <row r="787" spans="2:20" x14ac:dyDescent="0.25">
      <c r="B787" s="1">
        <f t="shared" si="84"/>
        <v>781</v>
      </c>
      <c r="C787" s="1">
        <v>1118</v>
      </c>
      <c r="D787" s="13">
        <v>91.6</v>
      </c>
      <c r="E787" s="1" t="s">
        <v>11</v>
      </c>
      <c r="F787" s="2">
        <v>4.1349999999999998</v>
      </c>
      <c r="G787" s="1" t="s">
        <v>12</v>
      </c>
      <c r="H787" s="1" t="s">
        <v>13</v>
      </c>
      <c r="I787" s="1" t="s">
        <v>14</v>
      </c>
      <c r="J787" s="14">
        <v>0.64287037037037031</v>
      </c>
      <c r="K787" s="15">
        <v>44751</v>
      </c>
      <c r="M787" s="2">
        <v>4.1150000000000002</v>
      </c>
      <c r="O787" s="2">
        <f t="shared" si="79"/>
        <v>4.0449999999999999</v>
      </c>
      <c r="P787" s="2">
        <f t="shared" si="80"/>
        <v>80.382857142857148</v>
      </c>
      <c r="Q787" s="2">
        <f t="shared" si="81"/>
        <v>0.46474999999999006</v>
      </c>
      <c r="R787" s="2">
        <f t="shared" si="82"/>
        <v>0.40202857142856291</v>
      </c>
      <c r="S787" s="2">
        <f t="shared" si="83"/>
        <v>6.2721428571427151E-2</v>
      </c>
    </row>
    <row r="788" spans="2:20" x14ac:dyDescent="0.25">
      <c r="B788" s="1">
        <f t="shared" si="84"/>
        <v>782</v>
      </c>
      <c r="C788" s="1">
        <v>1119</v>
      </c>
      <c r="D788" s="13">
        <v>94.3</v>
      </c>
      <c r="E788" s="1" t="s">
        <v>11</v>
      </c>
      <c r="F788" s="2">
        <v>4.1399999999999997</v>
      </c>
      <c r="G788" s="1" t="s">
        <v>12</v>
      </c>
      <c r="H788" s="1" t="s">
        <v>13</v>
      </c>
      <c r="I788" s="1" t="s">
        <v>14</v>
      </c>
      <c r="J788" s="14">
        <v>0.64288194444444446</v>
      </c>
      <c r="K788" s="15">
        <v>44751</v>
      </c>
      <c r="M788" s="2">
        <v>4.12</v>
      </c>
      <c r="O788" s="2">
        <f t="shared" si="79"/>
        <v>4.05</v>
      </c>
      <c r="P788" s="2">
        <f t="shared" si="80"/>
        <v>80.428571428571445</v>
      </c>
      <c r="Q788" s="2">
        <f t="shared" si="81"/>
        <v>0.47874999999998979</v>
      </c>
      <c r="R788" s="2">
        <f t="shared" si="82"/>
        <v>0.40225714285713432</v>
      </c>
      <c r="S788" s="2">
        <f t="shared" si="83"/>
        <v>7.6492857142855475E-2</v>
      </c>
    </row>
    <row r="789" spans="2:20" x14ac:dyDescent="0.25">
      <c r="B789" s="1">
        <f t="shared" si="84"/>
        <v>783</v>
      </c>
      <c r="C789" s="1">
        <v>1120</v>
      </c>
      <c r="D789" s="13">
        <v>97.2</v>
      </c>
      <c r="E789" s="1" t="s">
        <v>11</v>
      </c>
      <c r="F789" s="2">
        <v>4.1449999999999996</v>
      </c>
      <c r="G789" s="1" t="s">
        <v>12</v>
      </c>
      <c r="H789" s="1" t="s">
        <v>13</v>
      </c>
      <c r="I789" s="1" t="s">
        <v>14</v>
      </c>
      <c r="J789" s="14">
        <v>0.64288194444444446</v>
      </c>
      <c r="K789" s="15">
        <v>44751</v>
      </c>
      <c r="M789" s="2">
        <v>4.125</v>
      </c>
      <c r="O789" s="2">
        <f t="shared" si="79"/>
        <v>4.0549999999999997</v>
      </c>
      <c r="P789" s="2">
        <f t="shared" si="80"/>
        <v>80.474285714285713</v>
      </c>
      <c r="Q789" s="2">
        <f t="shared" si="81"/>
        <v>0.49875000000007796</v>
      </c>
      <c r="R789" s="2">
        <f t="shared" si="82"/>
        <v>0.40248571428577723</v>
      </c>
      <c r="S789" s="2">
        <f t="shared" si="83"/>
        <v>9.6264285714300735E-2</v>
      </c>
    </row>
    <row r="790" spans="2:20" x14ac:dyDescent="0.25">
      <c r="B790" s="1">
        <f t="shared" si="84"/>
        <v>784</v>
      </c>
      <c r="C790" s="1">
        <v>1122</v>
      </c>
      <c r="D790" s="13">
        <v>102.3</v>
      </c>
      <c r="E790" s="1" t="s">
        <v>11</v>
      </c>
      <c r="F790" s="2">
        <v>4.1500000000000004</v>
      </c>
      <c r="G790" s="1" t="s">
        <v>12</v>
      </c>
      <c r="H790" s="1" t="s">
        <v>13</v>
      </c>
      <c r="I790" s="1" t="s">
        <v>14</v>
      </c>
      <c r="J790" s="14">
        <v>0.64288194444444446</v>
      </c>
      <c r="K790" s="15">
        <v>44751</v>
      </c>
      <c r="M790" s="2">
        <v>4.1300000000000008</v>
      </c>
      <c r="O790" s="2">
        <f t="shared" si="79"/>
        <v>4.0600000000000005</v>
      </c>
      <c r="P790" s="2">
        <f t="shared" si="80"/>
        <v>80.52000000000001</v>
      </c>
      <c r="Q790" s="2">
        <f t="shared" si="81"/>
        <v>0.52249999999998886</v>
      </c>
      <c r="R790" s="2">
        <f t="shared" si="82"/>
        <v>0.4027142857142772</v>
      </c>
      <c r="S790" s="2">
        <f t="shared" si="83"/>
        <v>0.11978571428571166</v>
      </c>
    </row>
    <row r="791" spans="2:20" x14ac:dyDescent="0.25">
      <c r="B791" s="1">
        <f t="shared" si="84"/>
        <v>785</v>
      </c>
      <c r="C791" s="1">
        <v>1124</v>
      </c>
      <c r="D791" s="13">
        <v>106.7</v>
      </c>
      <c r="E791" s="1" t="s">
        <v>11</v>
      </c>
      <c r="F791" s="2">
        <v>4.1550000000000002</v>
      </c>
      <c r="G791" s="1" t="s">
        <v>12</v>
      </c>
      <c r="H791" s="1" t="s">
        <v>13</v>
      </c>
      <c r="I791" s="1" t="s">
        <v>14</v>
      </c>
      <c r="J791" s="14">
        <v>0.64288194444444446</v>
      </c>
      <c r="K791" s="15">
        <v>44751</v>
      </c>
      <c r="M791" s="2">
        <v>4.1350000000000007</v>
      </c>
      <c r="O791" s="2">
        <f t="shared" si="79"/>
        <v>4.0650000000000004</v>
      </c>
      <c r="P791" s="2">
        <f t="shared" si="80"/>
        <v>80.565714285714307</v>
      </c>
      <c r="Q791" s="2">
        <f t="shared" si="81"/>
        <v>0.53924999999998846</v>
      </c>
      <c r="R791" s="2">
        <f t="shared" si="82"/>
        <v>0.40294285714284861</v>
      </c>
      <c r="S791" s="2">
        <f t="shared" si="83"/>
        <v>0.13630714285713985</v>
      </c>
    </row>
    <row r="792" spans="2:20" x14ac:dyDescent="0.25">
      <c r="B792" s="1">
        <f t="shared" si="84"/>
        <v>786</v>
      </c>
      <c r="C792" s="1">
        <v>1125</v>
      </c>
      <c r="D792" s="13">
        <v>109</v>
      </c>
      <c r="E792" s="1" t="s">
        <v>11</v>
      </c>
      <c r="F792" s="2">
        <v>4.16</v>
      </c>
      <c r="G792" s="1" t="s">
        <v>12</v>
      </c>
      <c r="H792" s="1" t="s">
        <v>13</v>
      </c>
      <c r="I792" s="1" t="s">
        <v>14</v>
      </c>
      <c r="J792" s="14">
        <v>0.64288194444444446</v>
      </c>
      <c r="K792" s="15">
        <v>44751</v>
      </c>
      <c r="M792" s="2">
        <v>4.1400000000000006</v>
      </c>
      <c r="O792" s="2">
        <f t="shared" si="79"/>
        <v>4.07</v>
      </c>
      <c r="P792" s="2">
        <f t="shared" si="80"/>
        <v>80.611428571428576</v>
      </c>
      <c r="Q792" s="2">
        <f t="shared" si="81"/>
        <v>0.55549999999998811</v>
      </c>
      <c r="R792" s="2">
        <f t="shared" si="82"/>
        <v>0.40317142857142002</v>
      </c>
      <c r="S792" s="2">
        <f t="shared" si="83"/>
        <v>0.15232857142856809</v>
      </c>
    </row>
    <row r="793" spans="2:20" x14ac:dyDescent="0.25">
      <c r="B793" s="1">
        <f t="shared" si="84"/>
        <v>787</v>
      </c>
      <c r="C793" s="1">
        <v>1127</v>
      </c>
      <c r="D793" s="13">
        <v>113.2</v>
      </c>
      <c r="E793" s="1" t="s">
        <v>11</v>
      </c>
      <c r="F793" s="2">
        <v>4.165</v>
      </c>
      <c r="G793" s="1" t="s">
        <v>12</v>
      </c>
      <c r="H793" s="1" t="s">
        <v>13</v>
      </c>
      <c r="I793" s="1" t="s">
        <v>14</v>
      </c>
      <c r="J793" s="14">
        <v>0.64288194444444446</v>
      </c>
      <c r="K793" s="15">
        <v>44751</v>
      </c>
      <c r="M793" s="2">
        <v>4.1450000000000005</v>
      </c>
      <c r="O793" s="2">
        <f t="shared" si="79"/>
        <v>4.0750000000000002</v>
      </c>
      <c r="P793" s="2">
        <f t="shared" si="80"/>
        <v>80.657142857142873</v>
      </c>
      <c r="Q793" s="2">
        <f t="shared" si="81"/>
        <v>0.58174999999998755</v>
      </c>
      <c r="R793" s="2">
        <f t="shared" si="82"/>
        <v>0.40339999999999143</v>
      </c>
      <c r="S793" s="2">
        <f t="shared" si="83"/>
        <v>0.17834999999999612</v>
      </c>
    </row>
    <row r="794" spans="2:20" x14ac:dyDescent="0.25">
      <c r="B794" s="1">
        <f t="shared" si="84"/>
        <v>788</v>
      </c>
      <c r="C794" s="1">
        <v>1129</v>
      </c>
      <c r="D794" s="13">
        <v>119.5</v>
      </c>
      <c r="E794" s="1" t="s">
        <v>11</v>
      </c>
      <c r="F794" s="2">
        <v>4.17</v>
      </c>
      <c r="G794" s="1" t="s">
        <v>12</v>
      </c>
      <c r="H794" s="1" t="s">
        <v>13</v>
      </c>
      <c r="I794" s="1" t="s">
        <v>14</v>
      </c>
      <c r="J794" s="14">
        <v>0.6428935185185185</v>
      </c>
      <c r="K794" s="15">
        <v>44751</v>
      </c>
      <c r="M794" s="2">
        <v>4.1500000000000004</v>
      </c>
      <c r="O794" s="2">
        <f t="shared" si="79"/>
        <v>4.08</v>
      </c>
      <c r="P794" s="2">
        <f t="shared" si="80"/>
        <v>80.702857142857155</v>
      </c>
    </row>
    <row r="795" spans="2:20" x14ac:dyDescent="0.25"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25"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25"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25"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25"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25"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3:20" x14ac:dyDescent="0.25"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3:20" x14ac:dyDescent="0.25"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3:20" x14ac:dyDescent="0.25"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3:20" x14ac:dyDescent="0.25"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3:20" x14ac:dyDescent="0.25"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3:20" x14ac:dyDescent="0.25"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3:20" x14ac:dyDescent="0.25"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3:20" x14ac:dyDescent="0.25"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3:20" x14ac:dyDescent="0.25"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3:20" x14ac:dyDescent="0.25"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3:20" x14ac:dyDescent="0.25"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3:20" x14ac:dyDescent="0.25"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3:20" x14ac:dyDescent="0.25"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3:20" x14ac:dyDescent="0.25"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3:20" x14ac:dyDescent="0.25"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3:20" x14ac:dyDescent="0.25"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3:20" x14ac:dyDescent="0.25"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3:20" x14ac:dyDescent="0.25"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3:20" x14ac:dyDescent="0.25"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3:20" x14ac:dyDescent="0.25"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3:20" x14ac:dyDescent="0.25"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3:20" x14ac:dyDescent="0.25"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3:20" x14ac:dyDescent="0.25"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3:20" x14ac:dyDescent="0.25"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3:20" x14ac:dyDescent="0.25"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3:20" x14ac:dyDescent="0.25"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3:20" x14ac:dyDescent="0.25"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3:20" x14ac:dyDescent="0.25"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3:20" x14ac:dyDescent="0.25"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3:20" x14ac:dyDescent="0.25"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3:20" x14ac:dyDescent="0.25"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3:20" x14ac:dyDescent="0.25"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3:20" x14ac:dyDescent="0.25"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3:20" x14ac:dyDescent="0.25"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3:20" x14ac:dyDescent="0.25"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3:20" x14ac:dyDescent="0.25"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3:20" x14ac:dyDescent="0.25"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3:20" x14ac:dyDescent="0.25"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3:20" x14ac:dyDescent="0.25"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3:20" x14ac:dyDescent="0.25"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3:20" x14ac:dyDescent="0.25"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3:20" x14ac:dyDescent="0.25"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3:20" x14ac:dyDescent="0.25"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3:20" x14ac:dyDescent="0.25"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3:20" x14ac:dyDescent="0.25"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3:20" x14ac:dyDescent="0.25"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3:20" x14ac:dyDescent="0.25"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3:20" x14ac:dyDescent="0.25"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3:20" x14ac:dyDescent="0.25"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3:20" x14ac:dyDescent="0.25"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3:20" x14ac:dyDescent="0.25"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3:20" x14ac:dyDescent="0.25"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3:20" x14ac:dyDescent="0.25"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3:20" x14ac:dyDescent="0.25"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3:20" x14ac:dyDescent="0.25"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3:20" x14ac:dyDescent="0.25"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3:20" x14ac:dyDescent="0.25"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3:20" x14ac:dyDescent="0.25"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3:20" x14ac:dyDescent="0.25"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3:20" x14ac:dyDescent="0.25"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3:20" x14ac:dyDescent="0.25"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3:20" x14ac:dyDescent="0.25"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3:20" x14ac:dyDescent="0.25"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3:20" x14ac:dyDescent="0.25"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3:20" x14ac:dyDescent="0.25"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3:20" x14ac:dyDescent="0.25"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3:20" x14ac:dyDescent="0.25"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3:20" x14ac:dyDescent="0.25"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3:20" x14ac:dyDescent="0.25"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3:20" x14ac:dyDescent="0.25"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3:20" x14ac:dyDescent="0.25"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3:20" x14ac:dyDescent="0.25"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3:20" x14ac:dyDescent="0.25"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3:20" x14ac:dyDescent="0.25"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3:20" x14ac:dyDescent="0.25"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3:20" x14ac:dyDescent="0.25"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3:20" x14ac:dyDescent="0.25"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3:20" x14ac:dyDescent="0.25"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3:20" x14ac:dyDescent="0.25"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3:20" x14ac:dyDescent="0.25"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3:20" x14ac:dyDescent="0.25"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3:20" x14ac:dyDescent="0.25"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3:20" x14ac:dyDescent="0.25"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3:20" x14ac:dyDescent="0.25"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3:20" x14ac:dyDescent="0.25"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3:20" x14ac:dyDescent="0.25"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3:20" x14ac:dyDescent="0.25"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3:20" x14ac:dyDescent="0.25"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3:20" x14ac:dyDescent="0.25"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3:20" x14ac:dyDescent="0.25"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3:20" x14ac:dyDescent="0.25"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3:20" x14ac:dyDescent="0.25"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3:20" x14ac:dyDescent="0.25"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3:20" x14ac:dyDescent="0.25"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3:20" x14ac:dyDescent="0.25"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3:20" x14ac:dyDescent="0.25"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3:20" x14ac:dyDescent="0.25"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3:20" x14ac:dyDescent="0.25"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3:20" x14ac:dyDescent="0.25"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3:20" x14ac:dyDescent="0.25"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3:20" x14ac:dyDescent="0.25"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3:20" x14ac:dyDescent="0.25"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3:20" x14ac:dyDescent="0.25"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3:20" x14ac:dyDescent="0.25"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3:20" x14ac:dyDescent="0.25"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3:20" x14ac:dyDescent="0.25"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3:20" x14ac:dyDescent="0.25"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3:20" x14ac:dyDescent="0.25"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3:20" x14ac:dyDescent="0.25"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3:20" x14ac:dyDescent="0.25"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3:20" x14ac:dyDescent="0.25"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3:20" x14ac:dyDescent="0.25"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3:20" x14ac:dyDescent="0.25"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3:20" x14ac:dyDescent="0.25"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3:20" x14ac:dyDescent="0.25"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3:20" x14ac:dyDescent="0.25"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3:20" x14ac:dyDescent="0.25"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3:20" x14ac:dyDescent="0.25"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3:20" x14ac:dyDescent="0.25"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3:20" x14ac:dyDescent="0.25"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3:20" x14ac:dyDescent="0.25"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3:20" x14ac:dyDescent="0.25"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3:20" x14ac:dyDescent="0.25"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3:20" x14ac:dyDescent="0.25"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3:20" x14ac:dyDescent="0.25"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3:20" x14ac:dyDescent="0.25"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3:20" x14ac:dyDescent="0.25"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3:20" x14ac:dyDescent="0.25"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3:20" x14ac:dyDescent="0.25"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3:20" x14ac:dyDescent="0.25"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3:20" x14ac:dyDescent="0.25"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3:20" x14ac:dyDescent="0.25"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3:20" x14ac:dyDescent="0.25"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3:20" x14ac:dyDescent="0.25"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3:20" x14ac:dyDescent="0.25"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3:20" x14ac:dyDescent="0.25"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3:20" x14ac:dyDescent="0.25"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3:20" x14ac:dyDescent="0.25"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3:20" x14ac:dyDescent="0.25"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3:20" x14ac:dyDescent="0.25"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3:20" x14ac:dyDescent="0.25"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3:20" x14ac:dyDescent="0.25"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3:20" x14ac:dyDescent="0.25"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3:20" x14ac:dyDescent="0.25"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3:20" x14ac:dyDescent="0.25"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3:20" x14ac:dyDescent="0.25"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3:20" x14ac:dyDescent="0.25"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3:20" x14ac:dyDescent="0.25"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3:20" x14ac:dyDescent="0.25"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3:20" x14ac:dyDescent="0.25"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3:20" x14ac:dyDescent="0.25"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3:20" x14ac:dyDescent="0.25"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3:20" x14ac:dyDescent="0.25"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3:20" x14ac:dyDescent="0.25"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3:20" x14ac:dyDescent="0.25"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3:20" x14ac:dyDescent="0.25"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3:20" x14ac:dyDescent="0.25"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3:20" x14ac:dyDescent="0.25"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3:20" x14ac:dyDescent="0.25"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3:20" x14ac:dyDescent="0.25"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3:20" x14ac:dyDescent="0.25"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3:20" x14ac:dyDescent="0.25"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3:20" x14ac:dyDescent="0.25"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3:20" x14ac:dyDescent="0.25"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3:20" x14ac:dyDescent="0.25"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3:20" x14ac:dyDescent="0.25"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3:20" x14ac:dyDescent="0.25"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3:20" x14ac:dyDescent="0.25"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3:20" x14ac:dyDescent="0.25"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3:20" x14ac:dyDescent="0.25"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3:20" x14ac:dyDescent="0.25"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3:20" x14ac:dyDescent="0.25"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3:20" x14ac:dyDescent="0.25"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3:20" x14ac:dyDescent="0.25"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3:20" x14ac:dyDescent="0.25"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3:20" x14ac:dyDescent="0.25"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3:20" x14ac:dyDescent="0.25"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3:20" x14ac:dyDescent="0.25"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3:20" x14ac:dyDescent="0.25"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3:20" x14ac:dyDescent="0.25"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3:20" x14ac:dyDescent="0.25"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3:20" x14ac:dyDescent="0.25"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3:20" x14ac:dyDescent="0.25"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3:20" x14ac:dyDescent="0.25"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3:20" x14ac:dyDescent="0.25"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3:20" x14ac:dyDescent="0.25"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3:20" x14ac:dyDescent="0.25"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3:20" x14ac:dyDescent="0.25"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3:20" x14ac:dyDescent="0.25"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3:20" x14ac:dyDescent="0.25"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3:20" x14ac:dyDescent="0.25"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3:20" x14ac:dyDescent="0.25"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3:20" x14ac:dyDescent="0.25"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3:20" x14ac:dyDescent="0.25"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3:20" x14ac:dyDescent="0.25"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3:20" x14ac:dyDescent="0.25"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3:20" x14ac:dyDescent="0.25"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3:20" x14ac:dyDescent="0.25"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3:20" x14ac:dyDescent="0.25"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3:20" x14ac:dyDescent="0.25"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3:20" x14ac:dyDescent="0.25"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3:20" x14ac:dyDescent="0.25"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3:20" x14ac:dyDescent="0.25"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3:20" x14ac:dyDescent="0.25"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3:20" x14ac:dyDescent="0.25"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3:20" x14ac:dyDescent="0.25"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3:20" x14ac:dyDescent="0.25"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3:20" x14ac:dyDescent="0.25"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3:20" x14ac:dyDescent="0.25"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3:20" x14ac:dyDescent="0.25"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3:20" x14ac:dyDescent="0.25"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3:20" x14ac:dyDescent="0.25"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3:20" x14ac:dyDescent="0.25"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3:20" x14ac:dyDescent="0.25"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3:20" x14ac:dyDescent="0.25"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3:20" x14ac:dyDescent="0.25"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3:20" x14ac:dyDescent="0.25"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3:20" x14ac:dyDescent="0.25"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3:20" x14ac:dyDescent="0.25"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3:20" x14ac:dyDescent="0.25"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3:20" x14ac:dyDescent="0.25"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3:20" x14ac:dyDescent="0.25"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3:20" x14ac:dyDescent="0.25"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3:20" x14ac:dyDescent="0.25"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3:20" x14ac:dyDescent="0.25"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3:20" x14ac:dyDescent="0.25"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3:20" x14ac:dyDescent="0.25"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3:20" x14ac:dyDescent="0.25"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3:20" x14ac:dyDescent="0.25"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3:20" x14ac:dyDescent="0.25"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3:20" x14ac:dyDescent="0.25"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3:20" x14ac:dyDescent="0.25"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3:20" x14ac:dyDescent="0.25"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3:20" x14ac:dyDescent="0.25"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3:20" x14ac:dyDescent="0.25"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3:20" x14ac:dyDescent="0.25"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3:20" x14ac:dyDescent="0.25"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3:20" x14ac:dyDescent="0.25"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3:20" x14ac:dyDescent="0.25"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3:20" x14ac:dyDescent="0.25"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3:20" x14ac:dyDescent="0.25"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3:20" x14ac:dyDescent="0.25"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3:20" x14ac:dyDescent="0.25"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3:20" x14ac:dyDescent="0.25"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3:20" x14ac:dyDescent="0.25"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3:20" x14ac:dyDescent="0.25"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3:20" x14ac:dyDescent="0.25"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3:20" x14ac:dyDescent="0.25"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3:20" x14ac:dyDescent="0.25"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3:20" x14ac:dyDescent="0.25"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3:20" x14ac:dyDescent="0.25"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3:20" x14ac:dyDescent="0.25"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3:20" x14ac:dyDescent="0.25"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3:20" x14ac:dyDescent="0.25"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3:20" x14ac:dyDescent="0.25"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3:20" x14ac:dyDescent="0.25"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3:20" x14ac:dyDescent="0.25"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3:20" x14ac:dyDescent="0.25"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3:20" x14ac:dyDescent="0.25"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3:20" x14ac:dyDescent="0.25"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3:20" x14ac:dyDescent="0.25"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3:20" x14ac:dyDescent="0.25"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3:20" x14ac:dyDescent="0.25"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3:20" x14ac:dyDescent="0.25"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3:20" x14ac:dyDescent="0.25"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3:20" x14ac:dyDescent="0.25"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3:20" x14ac:dyDescent="0.25"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3:20" x14ac:dyDescent="0.25"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3:20" x14ac:dyDescent="0.25"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3:20" x14ac:dyDescent="0.25"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3:20" x14ac:dyDescent="0.25"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3:20" x14ac:dyDescent="0.25"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3:20" x14ac:dyDescent="0.25"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3:20" x14ac:dyDescent="0.25"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3:20" x14ac:dyDescent="0.25"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3:20" x14ac:dyDescent="0.25"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3:20" x14ac:dyDescent="0.25"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3:20" x14ac:dyDescent="0.25"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3:20" x14ac:dyDescent="0.25"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3:20" x14ac:dyDescent="0.25"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3:20" x14ac:dyDescent="0.25"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3:20" x14ac:dyDescent="0.25"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3:20" x14ac:dyDescent="0.25"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3:20" x14ac:dyDescent="0.25"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3:20" x14ac:dyDescent="0.25"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3:20" x14ac:dyDescent="0.25"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3:20" x14ac:dyDescent="0.25"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3:20" x14ac:dyDescent="0.25"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3:20" x14ac:dyDescent="0.25"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3:20" x14ac:dyDescent="0.25"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3:20" x14ac:dyDescent="0.25"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3:20" x14ac:dyDescent="0.25"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3:20" x14ac:dyDescent="0.25"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3:20" x14ac:dyDescent="0.25"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3:20" x14ac:dyDescent="0.25"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3:20" x14ac:dyDescent="0.25"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3:20" x14ac:dyDescent="0.25"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3:20" x14ac:dyDescent="0.25"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3:20" x14ac:dyDescent="0.25"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3:20" x14ac:dyDescent="0.25"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3:20" x14ac:dyDescent="0.25"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3:20" x14ac:dyDescent="0.25"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3:20" x14ac:dyDescent="0.25"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3:20" x14ac:dyDescent="0.25"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3:20" x14ac:dyDescent="0.25"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3:20" x14ac:dyDescent="0.25"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3:20" x14ac:dyDescent="0.25"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3:20" x14ac:dyDescent="0.25"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3:20" x14ac:dyDescent="0.25"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3:20" x14ac:dyDescent="0.25"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</sheetData>
  <mergeCells count="6">
    <mergeCell ref="BF21:BJ21"/>
    <mergeCell ref="D2:K2"/>
    <mergeCell ref="D3:K3"/>
    <mergeCell ref="AI21:AM21"/>
    <mergeCell ref="AN21:AV21"/>
    <mergeCell ref="AW21:BE21"/>
  </mergeCells>
  <conditionalFormatting sqref="C1:M4 C5:S5 C6:M1048576">
    <cfRule type="expression" dxfId="16" priority="5">
      <formula>$M1=$X$59</formula>
    </cfRule>
    <cfRule type="expression" dxfId="15" priority="6">
      <formula>$M1=$X$23</formula>
    </cfRule>
    <cfRule type="expression" dxfId="14" priority="7">
      <formula>$M1=$X$28</formula>
    </cfRule>
    <cfRule type="expression" dxfId="13" priority="8">
      <formula>$M1=$X$29</formula>
    </cfRule>
  </conditionalFormatting>
  <conditionalFormatting sqref="C6:M1048576 C1:M4 C5:S5">
    <cfRule type="expression" dxfId="12" priority="4">
      <formula>$M1=$X$44</formula>
    </cfRule>
  </conditionalFormatting>
  <conditionalFormatting sqref="M7:P7 R7:T7 S8:T21 M8:N280 O8:P794 R8:R794 T22:T280 S22:S793">
    <cfRule type="cellIs" dxfId="11" priority="3" operator="lessThan">
      <formula>0</formula>
    </cfRule>
  </conditionalFormatting>
  <conditionalFormatting sqref="X32">
    <cfRule type="cellIs" dxfId="10" priority="1" operator="between">
      <formula>$X$28</formula>
      <formula>$X$29</formula>
    </cfRule>
  </conditionalFormatting>
  <conditionalFormatting sqref="X47">
    <cfRule type="cellIs" dxfId="9" priority="2" operator="between">
      <formula>$X$43</formula>
      <formula>$X$44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6E57-55CD-41D7-8667-1603AC003355}">
  <dimension ref="B1:AE1110"/>
  <sheetViews>
    <sheetView zoomScale="80" zoomScaleNormal="80" workbookViewId="0">
      <selection activeCell="I23" sqref="I23"/>
    </sheetView>
  </sheetViews>
  <sheetFormatPr defaultRowHeight="15" x14ac:dyDescent="0.25"/>
  <cols>
    <col min="2" max="3" width="9.140625" style="1"/>
    <col min="4" max="4" width="9.140625" style="13"/>
    <col min="5" max="5" width="9.140625" style="1"/>
    <col min="6" max="6" width="13.28515625" style="2" bestFit="1" customWidth="1"/>
    <col min="7" max="9" width="9.140625" style="1"/>
    <col min="10" max="10" width="10.42578125" style="14" bestFit="1" customWidth="1"/>
    <col min="11" max="11" width="9.7109375" style="15" bestFit="1" customWidth="1"/>
    <col min="12" max="12" width="9.140625" style="1"/>
    <col min="13" max="20" width="9.140625" style="2"/>
    <col min="22" max="22" width="14" bestFit="1" customWidth="1"/>
    <col min="23" max="23" width="9.140625" style="1"/>
    <col min="24" max="24" width="9.140625" style="2"/>
    <col min="26" max="27" width="9.140625" style="1"/>
    <col min="28" max="28" width="19.140625" bestFit="1" customWidth="1"/>
    <col min="29" max="29" width="9.140625" style="2" customWidth="1"/>
    <col min="30" max="30" width="9.140625" style="1"/>
  </cols>
  <sheetData>
    <row r="1" spans="2:25" x14ac:dyDescent="0.25">
      <c r="D1" s="1"/>
      <c r="F1" s="1"/>
      <c r="J1" s="1"/>
      <c r="K1" s="1"/>
      <c r="S1" s="17"/>
      <c r="V1" s="3"/>
      <c r="Y1" s="1"/>
    </row>
    <row r="2" spans="2:25" x14ac:dyDescent="0.25">
      <c r="C2" s="4" t="s">
        <v>0</v>
      </c>
      <c r="D2" s="32" t="s">
        <v>54</v>
      </c>
      <c r="E2" s="32"/>
      <c r="F2" s="32"/>
      <c r="G2" s="32"/>
      <c r="H2" s="32"/>
      <c r="I2" s="32"/>
      <c r="J2" s="32"/>
      <c r="K2" s="33"/>
      <c r="L2" s="3"/>
      <c r="M2" s="5"/>
      <c r="N2" s="5"/>
      <c r="O2" s="5"/>
      <c r="P2" s="5"/>
      <c r="Q2" s="5"/>
      <c r="R2" s="5"/>
      <c r="S2" s="17" t="s">
        <v>27</v>
      </c>
      <c r="T2" s="5"/>
      <c r="V2" s="3"/>
      <c r="Y2" s="1"/>
    </row>
    <row r="3" spans="2:25" x14ac:dyDescent="0.25">
      <c r="C3" s="6" t="s">
        <v>1</v>
      </c>
      <c r="D3" s="34"/>
      <c r="E3" s="34"/>
      <c r="F3" s="34"/>
      <c r="G3" s="34"/>
      <c r="H3" s="34"/>
      <c r="I3" s="34"/>
      <c r="J3" s="34"/>
      <c r="K3" s="35"/>
      <c r="L3" s="3"/>
      <c r="M3" s="5"/>
      <c r="N3" s="5"/>
      <c r="O3" s="5"/>
      <c r="P3" s="5"/>
      <c r="Q3" s="5"/>
      <c r="R3" s="5"/>
      <c r="S3" s="17" t="s">
        <v>28</v>
      </c>
      <c r="T3" s="5"/>
      <c r="V3" s="3"/>
      <c r="Y3" s="1"/>
    </row>
    <row r="4" spans="2:25" x14ac:dyDescent="0.25">
      <c r="C4" s="10"/>
      <c r="D4" s="3"/>
      <c r="E4" s="3"/>
      <c r="F4" s="3"/>
      <c r="G4" s="3"/>
      <c r="H4" s="3"/>
      <c r="I4" s="3"/>
      <c r="J4" s="3"/>
      <c r="K4" s="3"/>
      <c r="L4" s="3"/>
      <c r="M4" s="5"/>
      <c r="N4" s="5"/>
      <c r="O4" s="5"/>
      <c r="P4" s="5"/>
      <c r="Q4" s="5"/>
      <c r="R4" s="5"/>
      <c r="S4" s="20" t="s">
        <v>29</v>
      </c>
      <c r="T4" s="5"/>
      <c r="V4" s="3"/>
      <c r="Y4" s="1"/>
    </row>
    <row r="5" spans="2:25" x14ac:dyDescent="0.25">
      <c r="C5" s="1">
        <v>1</v>
      </c>
      <c r="D5" s="1">
        <v>2</v>
      </c>
      <c r="E5" s="1">
        <v>3</v>
      </c>
      <c r="F5" s="1">
        <f>E5+1</f>
        <v>4</v>
      </c>
      <c r="G5" s="1">
        <f t="shared" ref="G5:S5" si="0">F5+1</f>
        <v>5</v>
      </c>
      <c r="H5" s="1">
        <f t="shared" si="0"/>
        <v>6</v>
      </c>
      <c r="I5" s="1">
        <f t="shared" si="0"/>
        <v>7</v>
      </c>
      <c r="J5" s="1">
        <f t="shared" si="0"/>
        <v>8</v>
      </c>
      <c r="K5" s="1">
        <f t="shared" si="0"/>
        <v>9</v>
      </c>
      <c r="L5" s="1">
        <f t="shared" si="0"/>
        <v>10</v>
      </c>
      <c r="M5" s="1">
        <f t="shared" si="0"/>
        <v>11</v>
      </c>
      <c r="N5" s="1">
        <f t="shared" si="0"/>
        <v>12</v>
      </c>
      <c r="O5" s="1">
        <f t="shared" si="0"/>
        <v>13</v>
      </c>
      <c r="P5" s="1">
        <f t="shared" si="0"/>
        <v>14</v>
      </c>
      <c r="Q5" s="1">
        <f t="shared" si="0"/>
        <v>15</v>
      </c>
      <c r="R5" s="1">
        <f t="shared" si="0"/>
        <v>16</v>
      </c>
      <c r="S5" s="1">
        <f t="shared" si="0"/>
        <v>17</v>
      </c>
      <c r="V5" s="3"/>
      <c r="Y5" s="1"/>
    </row>
    <row r="6" spans="2:25" x14ac:dyDescent="0.25">
      <c r="C6" s="7" t="s">
        <v>2</v>
      </c>
      <c r="D6" s="8" t="s">
        <v>3</v>
      </c>
      <c r="E6" s="8" t="s">
        <v>4</v>
      </c>
      <c r="F6" s="8" t="s">
        <v>5</v>
      </c>
      <c r="G6" s="8" t="s">
        <v>4</v>
      </c>
      <c r="H6" s="8" t="s">
        <v>6</v>
      </c>
      <c r="I6" s="8" t="s">
        <v>7</v>
      </c>
      <c r="J6" s="8" t="s">
        <v>8</v>
      </c>
      <c r="K6" s="9" t="s">
        <v>9</v>
      </c>
      <c r="L6" s="10"/>
      <c r="M6" s="11" t="s">
        <v>10</v>
      </c>
      <c r="N6" s="12"/>
      <c r="O6" s="12"/>
      <c r="P6" s="12"/>
      <c r="Q6" s="12" t="s">
        <v>24</v>
      </c>
      <c r="R6" s="12" t="s">
        <v>25</v>
      </c>
      <c r="S6" s="12" t="s">
        <v>26</v>
      </c>
      <c r="T6" s="12"/>
      <c r="V6" s="16"/>
      <c r="W6" s="10"/>
      <c r="X6" s="12"/>
      <c r="Y6" s="16"/>
    </row>
    <row r="7" spans="2:25" x14ac:dyDescent="0.25">
      <c r="B7" s="1">
        <v>1</v>
      </c>
      <c r="C7" s="1">
        <v>53</v>
      </c>
      <c r="D7" s="13">
        <v>0</v>
      </c>
      <c r="E7" s="1" t="s">
        <v>11</v>
      </c>
      <c r="F7" s="2">
        <v>0.15</v>
      </c>
      <c r="G7" s="1" t="s">
        <v>12</v>
      </c>
      <c r="H7" s="1" t="s">
        <v>13</v>
      </c>
      <c r="I7" s="1" t="s">
        <v>14</v>
      </c>
      <c r="J7" s="14">
        <v>0.37071759259259257</v>
      </c>
      <c r="K7" s="15">
        <v>45537</v>
      </c>
      <c r="L7" s="15"/>
      <c r="M7" s="2">
        <v>0</v>
      </c>
      <c r="O7" s="2">
        <f>M7-$X$23</f>
        <v>-7.4999999999999997E-2</v>
      </c>
      <c r="P7" s="2">
        <f>O7*$AC$21+$Y$23</f>
        <v>54.402535657686215</v>
      </c>
      <c r="Q7" s="2">
        <f>((D7+D8)/2)*(M8-M7)</f>
        <v>5.0000000000000044E-4</v>
      </c>
      <c r="R7" s="2">
        <f>((P7+P8)/2)*(O8-O7)</f>
        <v>0.27202892234548359</v>
      </c>
      <c r="S7" s="2">
        <f>Q7-R7</f>
        <v>-0.27152892234548359</v>
      </c>
      <c r="V7" s="16"/>
      <c r="W7" s="10"/>
      <c r="X7" s="12"/>
      <c r="Y7" s="16"/>
    </row>
    <row r="8" spans="2:25" x14ac:dyDescent="0.25">
      <c r="B8" s="1">
        <f>B7+1</f>
        <v>2</v>
      </c>
      <c r="C8" s="1">
        <v>54</v>
      </c>
      <c r="D8" s="13">
        <v>0.2</v>
      </c>
      <c r="E8" s="1" t="s">
        <v>11</v>
      </c>
      <c r="F8" s="2">
        <v>0.155</v>
      </c>
      <c r="G8" s="1" t="s">
        <v>12</v>
      </c>
      <c r="H8" s="1" t="s">
        <v>13</v>
      </c>
      <c r="I8" s="1" t="s">
        <v>14</v>
      </c>
      <c r="J8" s="14">
        <v>0.37072916666666667</v>
      </c>
      <c r="K8" s="15">
        <v>45537</v>
      </c>
      <c r="L8" s="15"/>
      <c r="M8" s="2">
        <v>5.0000000000000044E-3</v>
      </c>
      <c r="O8" s="2">
        <f t="shared" ref="O8:O71" si="1">M8-$X$23</f>
        <v>-6.9999999999999993E-2</v>
      </c>
      <c r="P8" s="2">
        <f t="shared" ref="P8:P71" si="2">O8*$AC$21+$Y$23</f>
        <v>54.409033280507131</v>
      </c>
      <c r="Q8" s="2">
        <f t="shared" ref="Q8:Q71" si="3">((D8+D9)/2)*(M9-M8)</f>
        <v>6.7500000000000069E-3</v>
      </c>
      <c r="R8" s="2">
        <f t="shared" ref="R8:R71" si="4">((P8+P9)/2)*(O9-O8)</f>
        <v>0.2720614104595882</v>
      </c>
      <c r="S8" s="2">
        <f t="shared" ref="S8:S71" si="5">Q8-R8</f>
        <v>-0.26531141045958817</v>
      </c>
      <c r="V8" s="16"/>
      <c r="W8" s="10"/>
      <c r="X8" s="12"/>
      <c r="Y8" s="16"/>
    </row>
    <row r="9" spans="2:25" x14ac:dyDescent="0.25">
      <c r="B9" s="1">
        <f t="shared" ref="B9:B72" si="6">B8+1</f>
        <v>3</v>
      </c>
      <c r="C9" s="1">
        <v>56</v>
      </c>
      <c r="D9" s="13">
        <v>2.5</v>
      </c>
      <c r="E9" s="1" t="s">
        <v>11</v>
      </c>
      <c r="F9" s="2">
        <v>0.16</v>
      </c>
      <c r="G9" s="1" t="s">
        <v>12</v>
      </c>
      <c r="H9" s="1" t="s">
        <v>13</v>
      </c>
      <c r="I9" s="1" t="s">
        <v>14</v>
      </c>
      <c r="J9" s="14">
        <v>0.37072916666666667</v>
      </c>
      <c r="K9" s="15">
        <v>45537</v>
      </c>
      <c r="L9" s="15"/>
      <c r="M9" s="2">
        <v>1.0000000000000009E-2</v>
      </c>
      <c r="O9" s="2">
        <f t="shared" si="1"/>
        <v>-6.4999999999999988E-2</v>
      </c>
      <c r="P9" s="2">
        <f t="shared" si="2"/>
        <v>54.415530903328047</v>
      </c>
      <c r="Q9" s="2">
        <f t="shared" si="3"/>
        <v>2.275000000000002E-2</v>
      </c>
      <c r="R9" s="2">
        <f t="shared" si="4"/>
        <v>0.27209389857369276</v>
      </c>
      <c r="S9" s="2">
        <f t="shared" si="5"/>
        <v>-0.24934389857369274</v>
      </c>
      <c r="V9" s="16"/>
      <c r="W9" s="10"/>
      <c r="X9" s="12"/>
      <c r="Y9" s="16"/>
    </row>
    <row r="10" spans="2:25" x14ac:dyDescent="0.25">
      <c r="B10" s="1">
        <f t="shared" si="6"/>
        <v>4</v>
      </c>
      <c r="C10" s="1">
        <v>58</v>
      </c>
      <c r="D10" s="13">
        <v>6.6</v>
      </c>
      <c r="E10" s="1" t="s">
        <v>11</v>
      </c>
      <c r="F10" s="2">
        <v>0.16500000000000001</v>
      </c>
      <c r="G10" s="1" t="s">
        <v>12</v>
      </c>
      <c r="H10" s="1" t="s">
        <v>13</v>
      </c>
      <c r="I10" s="1" t="s">
        <v>14</v>
      </c>
      <c r="J10" s="14">
        <v>0.37072916666666667</v>
      </c>
      <c r="K10" s="15">
        <v>45537</v>
      </c>
      <c r="L10" s="15"/>
      <c r="M10" s="2">
        <v>1.5000000000000013E-2</v>
      </c>
      <c r="O10" s="2">
        <f t="shared" si="1"/>
        <v>-5.9999999999999984E-2</v>
      </c>
      <c r="P10" s="2">
        <f t="shared" si="2"/>
        <v>54.422028526148971</v>
      </c>
      <c r="Q10" s="2">
        <f t="shared" si="3"/>
        <v>4.4000000000000046E-2</v>
      </c>
      <c r="R10" s="2">
        <f t="shared" si="4"/>
        <v>0.27212638668779737</v>
      </c>
      <c r="S10" s="2">
        <f t="shared" si="5"/>
        <v>-0.22812638668779733</v>
      </c>
      <c r="V10" s="16"/>
      <c r="W10" s="10"/>
      <c r="X10" s="12"/>
      <c r="Y10" s="16"/>
    </row>
    <row r="11" spans="2:25" x14ac:dyDescent="0.25">
      <c r="B11" s="1">
        <f t="shared" si="6"/>
        <v>5</v>
      </c>
      <c r="C11" s="1">
        <v>60</v>
      </c>
      <c r="D11" s="13">
        <v>11</v>
      </c>
      <c r="E11" s="1" t="s">
        <v>11</v>
      </c>
      <c r="F11" s="2">
        <v>0.17</v>
      </c>
      <c r="G11" s="1" t="s">
        <v>12</v>
      </c>
      <c r="H11" s="1" t="s">
        <v>13</v>
      </c>
      <c r="I11" s="1" t="s">
        <v>14</v>
      </c>
      <c r="J11" s="14">
        <v>0.37072916666666667</v>
      </c>
      <c r="K11" s="15">
        <v>45537</v>
      </c>
      <c r="L11" s="15"/>
      <c r="M11" s="2">
        <v>2.0000000000000018E-2</v>
      </c>
      <c r="O11" s="2">
        <f t="shared" si="1"/>
        <v>-5.4999999999999979E-2</v>
      </c>
      <c r="P11" s="2">
        <f t="shared" si="2"/>
        <v>54.428526148969887</v>
      </c>
      <c r="Q11" s="2">
        <f t="shared" si="3"/>
        <v>6.4499999999999696E-2</v>
      </c>
      <c r="R11" s="2">
        <f t="shared" si="4"/>
        <v>0.27215887480190049</v>
      </c>
      <c r="S11" s="2">
        <f t="shared" si="5"/>
        <v>-0.20765887480190079</v>
      </c>
      <c r="V11" s="16"/>
      <c r="W11" s="10"/>
      <c r="X11" s="12"/>
      <c r="Y11" s="16"/>
    </row>
    <row r="12" spans="2:25" x14ac:dyDescent="0.25">
      <c r="B12" s="1">
        <f t="shared" si="6"/>
        <v>6</v>
      </c>
      <c r="C12" s="1">
        <v>62</v>
      </c>
      <c r="D12" s="13">
        <v>14.8</v>
      </c>
      <c r="E12" s="1" t="s">
        <v>11</v>
      </c>
      <c r="F12" s="2">
        <v>0.17499999999999999</v>
      </c>
      <c r="G12" s="1" t="s">
        <v>12</v>
      </c>
      <c r="H12" s="1" t="s">
        <v>13</v>
      </c>
      <c r="I12" s="1" t="s">
        <v>14</v>
      </c>
      <c r="J12" s="14">
        <v>0.37072916666666667</v>
      </c>
      <c r="K12" s="15">
        <v>45537</v>
      </c>
      <c r="L12" s="15"/>
      <c r="M12" s="2">
        <v>2.4999999999999994E-2</v>
      </c>
      <c r="O12" s="2">
        <f t="shared" si="1"/>
        <v>-0.05</v>
      </c>
      <c r="P12" s="2">
        <f t="shared" si="2"/>
        <v>54.43502377179081</v>
      </c>
      <c r="Q12" s="2">
        <f t="shared" si="3"/>
        <v>8.6750000000000091E-2</v>
      </c>
      <c r="R12" s="2">
        <f t="shared" si="4"/>
        <v>0.2721913629160066</v>
      </c>
      <c r="S12" s="2">
        <f t="shared" si="5"/>
        <v>-0.18544136291600649</v>
      </c>
      <c r="V12" s="16"/>
      <c r="W12" s="10"/>
      <c r="X12" s="12"/>
      <c r="Y12" s="16"/>
    </row>
    <row r="13" spans="2:25" x14ac:dyDescent="0.25">
      <c r="B13" s="1">
        <f t="shared" si="6"/>
        <v>7</v>
      </c>
      <c r="C13" s="1">
        <v>65</v>
      </c>
      <c r="D13" s="13">
        <v>19.899999999999999</v>
      </c>
      <c r="E13" s="1" t="s">
        <v>11</v>
      </c>
      <c r="F13" s="2">
        <v>0.18</v>
      </c>
      <c r="G13" s="1" t="s">
        <v>12</v>
      </c>
      <c r="H13" s="1" t="s">
        <v>13</v>
      </c>
      <c r="I13" s="1" t="s">
        <v>14</v>
      </c>
      <c r="J13" s="14">
        <v>0.37074074074074076</v>
      </c>
      <c r="K13" s="15">
        <v>45537</v>
      </c>
      <c r="L13" s="15"/>
      <c r="M13" s="2">
        <v>0.03</v>
      </c>
      <c r="O13" s="2">
        <f t="shared" si="1"/>
        <v>-4.4999999999999998E-2</v>
      </c>
      <c r="P13" s="2">
        <f t="shared" si="2"/>
        <v>54.441521394611726</v>
      </c>
      <c r="Q13" s="2">
        <f t="shared" si="3"/>
        <v>0.1112500000000001</v>
      </c>
      <c r="R13" s="2">
        <f t="shared" si="4"/>
        <v>0.27222385103011115</v>
      </c>
      <c r="S13" s="2">
        <f t="shared" si="5"/>
        <v>-0.16097385103011105</v>
      </c>
      <c r="V13" s="16"/>
      <c r="W13" s="10"/>
      <c r="X13" s="12"/>
      <c r="Y13" s="16"/>
    </row>
    <row r="14" spans="2:25" x14ac:dyDescent="0.25">
      <c r="B14" s="1">
        <f t="shared" si="6"/>
        <v>8</v>
      </c>
      <c r="C14" s="1">
        <v>68</v>
      </c>
      <c r="D14" s="13">
        <v>24.6</v>
      </c>
      <c r="E14" s="1" t="s">
        <v>11</v>
      </c>
      <c r="F14" s="2">
        <v>0.185</v>
      </c>
      <c r="G14" s="1" t="s">
        <v>12</v>
      </c>
      <c r="H14" s="1" t="s">
        <v>13</v>
      </c>
      <c r="I14" s="1" t="s">
        <v>14</v>
      </c>
      <c r="J14" s="14">
        <v>0.37074074074074076</v>
      </c>
      <c r="K14" s="15">
        <v>45537</v>
      </c>
      <c r="L14" s="15"/>
      <c r="M14" s="2">
        <v>3.5000000000000003E-2</v>
      </c>
      <c r="O14" s="2">
        <f t="shared" si="1"/>
        <v>-3.9999999999999994E-2</v>
      </c>
      <c r="P14" s="2">
        <f t="shared" si="2"/>
        <v>54.448019017432649</v>
      </c>
      <c r="Q14" s="2">
        <f t="shared" si="3"/>
        <v>0.13875000000000012</v>
      </c>
      <c r="R14" s="2">
        <f t="shared" si="4"/>
        <v>0.27225633914421576</v>
      </c>
      <c r="S14" s="2">
        <f t="shared" si="5"/>
        <v>-0.13350633914421564</v>
      </c>
      <c r="V14" s="16"/>
      <c r="W14" s="10"/>
      <c r="X14" s="12"/>
      <c r="Y14" s="16"/>
    </row>
    <row r="15" spans="2:25" x14ac:dyDescent="0.25">
      <c r="B15" s="1">
        <f t="shared" si="6"/>
        <v>9</v>
      </c>
      <c r="C15" s="1">
        <v>72</v>
      </c>
      <c r="D15" s="13">
        <v>30.9</v>
      </c>
      <c r="E15" s="1" t="s">
        <v>11</v>
      </c>
      <c r="F15" s="2">
        <v>0.19</v>
      </c>
      <c r="G15" s="1" t="s">
        <v>12</v>
      </c>
      <c r="H15" s="1" t="s">
        <v>13</v>
      </c>
      <c r="I15" s="1" t="s">
        <v>14</v>
      </c>
      <c r="J15" s="14">
        <v>0.37074074074074076</v>
      </c>
      <c r="K15" s="15">
        <v>45537</v>
      </c>
      <c r="L15" s="15"/>
      <c r="M15" s="2">
        <v>4.0000000000000008E-2</v>
      </c>
      <c r="O15" s="2">
        <f t="shared" si="1"/>
        <v>-3.4999999999999989E-2</v>
      </c>
      <c r="P15" s="2">
        <f t="shared" si="2"/>
        <v>54.454516640253566</v>
      </c>
      <c r="Q15" s="2">
        <f t="shared" si="3"/>
        <v>0.16525000000000012</v>
      </c>
      <c r="R15" s="2">
        <f t="shared" si="4"/>
        <v>0.27228882725832038</v>
      </c>
      <c r="S15" s="2">
        <f t="shared" si="5"/>
        <v>-0.10703882725832026</v>
      </c>
      <c r="V15" s="16"/>
      <c r="W15" s="10"/>
      <c r="X15" s="12"/>
      <c r="Y15" s="16"/>
    </row>
    <row r="16" spans="2:25" x14ac:dyDescent="0.25">
      <c r="B16" s="1">
        <f t="shared" si="6"/>
        <v>10</v>
      </c>
      <c r="C16" s="1">
        <v>74</v>
      </c>
      <c r="D16" s="13">
        <v>35.200000000000003</v>
      </c>
      <c r="E16" s="1" t="s">
        <v>11</v>
      </c>
      <c r="F16" s="2">
        <v>0.19500000000000001</v>
      </c>
      <c r="G16" s="1" t="s">
        <v>12</v>
      </c>
      <c r="H16" s="1" t="s">
        <v>13</v>
      </c>
      <c r="I16" s="1" t="s">
        <v>14</v>
      </c>
      <c r="J16" s="14">
        <v>0.3707523148148148</v>
      </c>
      <c r="K16" s="15">
        <v>45537</v>
      </c>
      <c r="L16" s="15"/>
      <c r="M16" s="2">
        <v>4.5000000000000012E-2</v>
      </c>
      <c r="O16" s="2">
        <f t="shared" si="1"/>
        <v>-2.9999999999999985E-2</v>
      </c>
      <c r="P16" s="2">
        <f t="shared" si="2"/>
        <v>54.461014263074482</v>
      </c>
      <c r="Q16" s="2">
        <f t="shared" si="3"/>
        <v>0.1945000000000002</v>
      </c>
      <c r="R16" s="2">
        <f t="shared" si="4"/>
        <v>0.27232131537242499</v>
      </c>
      <c r="S16" s="2">
        <f t="shared" si="5"/>
        <v>-7.7821315372424787E-2</v>
      </c>
      <c r="V16" s="16"/>
      <c r="W16" s="10"/>
      <c r="X16" s="12"/>
      <c r="Y16" s="16"/>
    </row>
    <row r="17" spans="2:31" x14ac:dyDescent="0.25">
      <c r="B17" s="1">
        <f t="shared" si="6"/>
        <v>11</v>
      </c>
      <c r="C17" s="1">
        <v>77</v>
      </c>
      <c r="D17" s="13">
        <v>42.6</v>
      </c>
      <c r="E17" s="1" t="s">
        <v>11</v>
      </c>
      <c r="F17" s="2">
        <v>0.2</v>
      </c>
      <c r="G17" s="1" t="s">
        <v>12</v>
      </c>
      <c r="H17" s="1" t="s">
        <v>13</v>
      </c>
      <c r="I17" s="1" t="s">
        <v>14</v>
      </c>
      <c r="J17" s="14">
        <v>0.3707523148148148</v>
      </c>
      <c r="K17" s="15">
        <v>45537</v>
      </c>
      <c r="L17" s="15"/>
      <c r="M17" s="2">
        <v>5.0000000000000017E-2</v>
      </c>
      <c r="O17" s="2">
        <f t="shared" si="1"/>
        <v>-2.4999999999999981E-2</v>
      </c>
      <c r="P17" s="2">
        <f t="shared" si="2"/>
        <v>54.467511885895405</v>
      </c>
      <c r="Q17" s="2">
        <f t="shared" si="3"/>
        <v>0.21924999999999897</v>
      </c>
      <c r="R17" s="2">
        <f t="shared" si="4"/>
        <v>0.27235380348652805</v>
      </c>
      <c r="S17" s="2">
        <f t="shared" si="5"/>
        <v>-5.3103803486529072E-2</v>
      </c>
      <c r="V17" s="3"/>
      <c r="Y17" s="1"/>
    </row>
    <row r="18" spans="2:31" x14ac:dyDescent="0.25">
      <c r="B18" s="1">
        <f t="shared" si="6"/>
        <v>12</v>
      </c>
      <c r="C18" s="1">
        <v>78</v>
      </c>
      <c r="D18" s="13">
        <v>45.1</v>
      </c>
      <c r="E18" s="1" t="s">
        <v>11</v>
      </c>
      <c r="F18" s="2">
        <v>0.20499999999999999</v>
      </c>
      <c r="G18" s="1" t="s">
        <v>12</v>
      </c>
      <c r="H18" s="1" t="s">
        <v>13</v>
      </c>
      <c r="I18" s="1" t="s">
        <v>14</v>
      </c>
      <c r="J18" s="14">
        <v>0.3707523148148148</v>
      </c>
      <c r="K18" s="15">
        <v>45537</v>
      </c>
      <c r="L18" s="15"/>
      <c r="M18" s="2">
        <v>5.4999999999999993E-2</v>
      </c>
      <c r="O18" s="2">
        <f t="shared" si="1"/>
        <v>-2.0000000000000004E-2</v>
      </c>
      <c r="P18" s="2">
        <f t="shared" si="2"/>
        <v>54.474009508716321</v>
      </c>
      <c r="Q18" s="2">
        <f t="shared" si="3"/>
        <v>0.23625000000000021</v>
      </c>
      <c r="R18" s="2">
        <f t="shared" si="4"/>
        <v>0.27238629160063416</v>
      </c>
      <c r="S18" s="2">
        <f t="shared" si="5"/>
        <v>-3.6136291600633946E-2</v>
      </c>
      <c r="V18" s="3"/>
      <c r="Y18" s="1"/>
    </row>
    <row r="19" spans="2:31" x14ac:dyDescent="0.25">
      <c r="B19" s="1">
        <f t="shared" si="6"/>
        <v>13</v>
      </c>
      <c r="C19" s="1">
        <v>81</v>
      </c>
      <c r="D19" s="13">
        <v>49.4</v>
      </c>
      <c r="E19" s="1" t="s">
        <v>11</v>
      </c>
      <c r="F19" s="2">
        <v>0.21</v>
      </c>
      <c r="G19" s="1" t="s">
        <v>12</v>
      </c>
      <c r="H19" s="1" t="s">
        <v>13</v>
      </c>
      <c r="I19" s="1" t="s">
        <v>14</v>
      </c>
      <c r="J19" s="14">
        <v>0.3707523148148148</v>
      </c>
      <c r="K19" s="15">
        <v>45537</v>
      </c>
      <c r="L19" s="15"/>
      <c r="M19" s="2">
        <v>0.06</v>
      </c>
      <c r="O19" s="2">
        <f t="shared" si="1"/>
        <v>-1.4999999999999999E-2</v>
      </c>
      <c r="P19" s="2">
        <f t="shared" si="2"/>
        <v>54.480507131537244</v>
      </c>
      <c r="Q19" s="2">
        <f t="shared" si="3"/>
        <v>0.2562500000000002</v>
      </c>
      <c r="R19" s="2">
        <f t="shared" si="4"/>
        <v>0.27241877971473877</v>
      </c>
      <c r="S19" s="2">
        <f t="shared" si="5"/>
        <v>-1.6168779714738568E-2</v>
      </c>
      <c r="V19" s="3"/>
      <c r="Y19" s="1"/>
    </row>
    <row r="20" spans="2:31" x14ac:dyDescent="0.25">
      <c r="B20" s="1">
        <f t="shared" si="6"/>
        <v>14</v>
      </c>
      <c r="C20" s="1">
        <v>85</v>
      </c>
      <c r="D20" s="13">
        <v>53.1</v>
      </c>
      <c r="E20" s="1" t="s">
        <v>11</v>
      </c>
      <c r="F20" s="2">
        <v>0.215</v>
      </c>
      <c r="G20" s="1" t="s">
        <v>12</v>
      </c>
      <c r="H20" s="1" t="s">
        <v>13</v>
      </c>
      <c r="I20" s="1" t="s">
        <v>14</v>
      </c>
      <c r="J20" s="14">
        <v>0.37076388888888889</v>
      </c>
      <c r="K20" s="15">
        <v>45537</v>
      </c>
      <c r="L20" s="15"/>
      <c r="M20" s="2">
        <v>6.5000000000000002E-2</v>
      </c>
      <c r="O20" s="2">
        <f t="shared" si="1"/>
        <v>-9.999999999999995E-3</v>
      </c>
      <c r="P20" s="2">
        <f t="shared" si="2"/>
        <v>54.487004754358161</v>
      </c>
      <c r="Q20" s="2">
        <f t="shared" si="3"/>
        <v>0.26900000000000024</v>
      </c>
      <c r="R20" s="2">
        <f t="shared" si="4"/>
        <v>0.27245126782884338</v>
      </c>
      <c r="S20" s="2">
        <f t="shared" si="5"/>
        <v>-3.4512678288431409E-3</v>
      </c>
      <c r="V20" s="3"/>
      <c r="Y20" s="1"/>
    </row>
    <row r="21" spans="2:31" x14ac:dyDescent="0.25">
      <c r="B21" s="1">
        <f t="shared" si="6"/>
        <v>15</v>
      </c>
      <c r="C21" s="1">
        <v>89</v>
      </c>
      <c r="D21" s="13">
        <v>54.5</v>
      </c>
      <c r="E21" s="1" t="s">
        <v>11</v>
      </c>
      <c r="F21" s="2">
        <v>0.22</v>
      </c>
      <c r="G21" s="1" t="s">
        <v>12</v>
      </c>
      <c r="H21" s="1" t="s">
        <v>13</v>
      </c>
      <c r="I21" s="1" t="s">
        <v>14</v>
      </c>
      <c r="J21" s="14">
        <v>0.37076388888888889</v>
      </c>
      <c r="K21" s="15">
        <v>45537</v>
      </c>
      <c r="L21" s="15"/>
      <c r="M21" s="2">
        <v>7.0000000000000007E-2</v>
      </c>
      <c r="O21" s="2">
        <f t="shared" si="1"/>
        <v>-4.9999999999999906E-3</v>
      </c>
      <c r="P21" s="2">
        <f t="shared" si="2"/>
        <v>54.493502377179084</v>
      </c>
      <c r="Q21" s="2">
        <f t="shared" si="3"/>
        <v>0.27475000000000027</v>
      </c>
      <c r="R21" s="2">
        <f t="shared" si="4"/>
        <v>0.27248375594294721</v>
      </c>
      <c r="S21" s="2">
        <f t="shared" si="5"/>
        <v>2.2662440570530573E-3</v>
      </c>
      <c r="V21" s="3"/>
      <c r="Y21" s="1"/>
      <c r="AB21" t="s">
        <v>23</v>
      </c>
      <c r="AC21" s="2">
        <f>($Y$43-$Y$23)/($X$43-$X$23)</f>
        <v>1.2995245641838358</v>
      </c>
    </row>
    <row r="22" spans="2:31" x14ac:dyDescent="0.25">
      <c r="B22" s="1">
        <f t="shared" si="6"/>
        <v>16</v>
      </c>
      <c r="C22" s="1">
        <v>91</v>
      </c>
      <c r="D22" s="13">
        <v>55.4</v>
      </c>
      <c r="E22" s="1" t="s">
        <v>11</v>
      </c>
      <c r="F22" s="2">
        <v>0.22500000000000001</v>
      </c>
      <c r="G22" s="1" t="s">
        <v>12</v>
      </c>
      <c r="H22" s="1" t="s">
        <v>13</v>
      </c>
      <c r="I22" s="1" t="s">
        <v>14</v>
      </c>
      <c r="J22" s="14">
        <v>0.37076388888888889</v>
      </c>
      <c r="K22" s="15">
        <v>45537</v>
      </c>
      <c r="L22" s="15"/>
      <c r="M22" s="2">
        <v>7.5000000000000011E-2</v>
      </c>
      <c r="O22" s="2">
        <f t="shared" si="1"/>
        <v>0</v>
      </c>
      <c r="P22" s="2">
        <f t="shared" si="2"/>
        <v>54.5</v>
      </c>
      <c r="Q22" s="2">
        <f t="shared" si="3"/>
        <v>0.27825000000000022</v>
      </c>
      <c r="R22" s="2">
        <f t="shared" si="4"/>
        <v>0.27251624405705327</v>
      </c>
      <c r="S22" s="2">
        <f t="shared" si="5"/>
        <v>5.7337559429469498E-3</v>
      </c>
      <c r="V22" s="3"/>
      <c r="Y22" s="1"/>
      <c r="Z22" s="1" t="s">
        <v>38</v>
      </c>
      <c r="AA22" s="1" t="s">
        <v>39</v>
      </c>
    </row>
    <row r="23" spans="2:31" x14ac:dyDescent="0.25">
      <c r="B23" s="1">
        <f t="shared" si="6"/>
        <v>17</v>
      </c>
      <c r="C23" s="1">
        <v>94</v>
      </c>
      <c r="D23" s="13">
        <v>55.9</v>
      </c>
      <c r="E23" s="1" t="s">
        <v>11</v>
      </c>
      <c r="F23" s="2">
        <v>0.23</v>
      </c>
      <c r="G23" s="1" t="s">
        <v>12</v>
      </c>
      <c r="H23" s="1" t="s">
        <v>13</v>
      </c>
      <c r="I23" s="1" t="s">
        <v>14</v>
      </c>
      <c r="J23" s="14">
        <v>0.37077546296296299</v>
      </c>
      <c r="K23" s="15">
        <v>45537</v>
      </c>
      <c r="L23" s="15"/>
      <c r="M23" s="2">
        <v>8.0000000000000016E-2</v>
      </c>
      <c r="O23" s="2">
        <f t="shared" si="1"/>
        <v>5.0000000000000183E-3</v>
      </c>
      <c r="P23" s="2">
        <f t="shared" si="2"/>
        <v>54.506497622820916</v>
      </c>
      <c r="Q23" s="2">
        <f t="shared" si="3"/>
        <v>0.28049999999999864</v>
      </c>
      <c r="R23" s="2">
        <f t="shared" si="4"/>
        <v>0.27254873217115561</v>
      </c>
      <c r="S23" s="2">
        <f t="shared" si="5"/>
        <v>7.9512678288430338E-3</v>
      </c>
      <c r="V23" s="3"/>
      <c r="W23" s="1" t="s">
        <v>15</v>
      </c>
      <c r="X23" s="22">
        <v>7.4999999999999997E-2</v>
      </c>
      <c r="Y23" s="1">
        <f>_xlfn.XLOOKUP(X23,M$7:M$2001,D$7:D$2001,0,-1)</f>
        <v>54.5</v>
      </c>
      <c r="Z23" s="1" cm="1">
        <f t="array" aca="1" ref="Z23" ca="1">CELL("row",_xlfn.XLOOKUP(X23,M$7:M$2001,D$7:D$2001,0,-1))</f>
        <v>21</v>
      </c>
      <c r="AA23" s="1">
        <f ca="1">Z23-6</f>
        <v>15</v>
      </c>
      <c r="AB23" t="s">
        <v>32</v>
      </c>
      <c r="AC23" s="2">
        <f ca="1">SUM(INDEX(C7:S1000,AA23,17):(INDEX(C7:S1000,AA24,17)))</f>
        <v>2.2662440570530573E-3</v>
      </c>
      <c r="AD23" s="1">
        <v>17</v>
      </c>
      <c r="AE23" t="s">
        <v>40</v>
      </c>
    </row>
    <row r="24" spans="2:31" x14ac:dyDescent="0.25">
      <c r="B24" s="1">
        <f t="shared" si="6"/>
        <v>18</v>
      </c>
      <c r="C24" s="1">
        <v>96</v>
      </c>
      <c r="D24" s="13">
        <v>56.3</v>
      </c>
      <c r="E24" s="1" t="s">
        <v>11</v>
      </c>
      <c r="F24" s="2">
        <v>0.23499999999999999</v>
      </c>
      <c r="G24" s="1" t="s">
        <v>12</v>
      </c>
      <c r="H24" s="1" t="s">
        <v>13</v>
      </c>
      <c r="I24" s="1" t="s">
        <v>14</v>
      </c>
      <c r="J24" s="14">
        <v>0.37077546296296299</v>
      </c>
      <c r="K24" s="15">
        <v>45537</v>
      </c>
      <c r="L24" s="15"/>
      <c r="M24" s="2">
        <v>8.4999999999999992E-2</v>
      </c>
      <c r="O24" s="2">
        <f t="shared" si="1"/>
        <v>9.999999999999995E-3</v>
      </c>
      <c r="P24" s="2">
        <f t="shared" si="2"/>
        <v>54.512995245641839</v>
      </c>
      <c r="Q24" s="2">
        <f t="shared" si="3"/>
        <v>0.28150000000000025</v>
      </c>
      <c r="R24" s="2">
        <f t="shared" si="4"/>
        <v>0.27258122028526172</v>
      </c>
      <c r="S24" s="2">
        <f t="shared" si="5"/>
        <v>8.9187797147385339E-3</v>
      </c>
      <c r="W24" s="1" t="s">
        <v>16</v>
      </c>
      <c r="X24" s="2">
        <f>X28</f>
        <v>7.4999999999999997E-2</v>
      </c>
      <c r="Y24" s="1">
        <f>_xlfn.XLOOKUP(X24,M$7:M$2001,D$7:D$2001,0,-1)</f>
        <v>54.5</v>
      </c>
      <c r="Z24" s="1" cm="1">
        <f t="array" aca="1" ref="Z24" ca="1">CELL("row",_xlfn.XLOOKUP(X24,M$7:M$2001,D$7:D$2001,0,-1))</f>
        <v>21</v>
      </c>
      <c r="AA24" s="1">
        <f t="shared" ref="AA24" ca="1" si="7">Z24-6</f>
        <v>15</v>
      </c>
      <c r="AB24" t="s">
        <v>48</v>
      </c>
      <c r="AC24" s="2">
        <f>X24-X23</f>
        <v>0</v>
      </c>
    </row>
    <row r="25" spans="2:31" x14ac:dyDescent="0.25">
      <c r="B25" s="1">
        <f t="shared" si="6"/>
        <v>19</v>
      </c>
      <c r="C25" s="1">
        <v>98</v>
      </c>
      <c r="D25" s="13">
        <v>56.3</v>
      </c>
      <c r="E25" s="1" t="s">
        <v>11</v>
      </c>
      <c r="F25" s="2">
        <v>0.24</v>
      </c>
      <c r="G25" s="1" t="s">
        <v>12</v>
      </c>
      <c r="H25" s="1" t="s">
        <v>13</v>
      </c>
      <c r="I25" s="1" t="s">
        <v>14</v>
      </c>
      <c r="J25" s="14">
        <v>0.37077546296296299</v>
      </c>
      <c r="K25" s="15">
        <v>45537</v>
      </c>
      <c r="L25" s="15"/>
      <c r="M25" s="2">
        <v>0.09</v>
      </c>
      <c r="O25" s="2">
        <f t="shared" si="1"/>
        <v>1.4999999999999999E-2</v>
      </c>
      <c r="P25" s="2">
        <f t="shared" si="2"/>
        <v>54.519492868462756</v>
      </c>
      <c r="Q25" s="2">
        <f t="shared" si="3"/>
        <v>0.28200000000000025</v>
      </c>
      <c r="R25" s="2">
        <f t="shared" si="4"/>
        <v>0.27261370839936633</v>
      </c>
      <c r="S25" s="2">
        <f t="shared" si="5"/>
        <v>9.3862916006339225E-3</v>
      </c>
      <c r="Y25" s="1"/>
      <c r="AB25" t="s">
        <v>50</v>
      </c>
      <c r="AC25" s="2">
        <f>(AC24)/(AC24+AC31+AC38+AC43) *100</f>
        <v>0</v>
      </c>
    </row>
    <row r="26" spans="2:31" x14ac:dyDescent="0.25">
      <c r="B26" s="1">
        <f t="shared" si="6"/>
        <v>20</v>
      </c>
      <c r="C26" s="1">
        <v>100</v>
      </c>
      <c r="D26" s="13">
        <v>56.5</v>
      </c>
      <c r="E26" s="1" t="s">
        <v>11</v>
      </c>
      <c r="F26" s="2">
        <v>0.245</v>
      </c>
      <c r="G26" s="1" t="s">
        <v>12</v>
      </c>
      <c r="H26" s="1" t="s">
        <v>13</v>
      </c>
      <c r="I26" s="1" t="s">
        <v>14</v>
      </c>
      <c r="J26" s="14">
        <v>0.37077546296296299</v>
      </c>
      <c r="K26" s="15">
        <v>45537</v>
      </c>
      <c r="L26" s="15"/>
      <c r="M26" s="2">
        <v>9.5000000000000001E-2</v>
      </c>
      <c r="O26" s="2">
        <f t="shared" si="1"/>
        <v>2.0000000000000004E-2</v>
      </c>
      <c r="P26" s="2">
        <f t="shared" si="2"/>
        <v>54.525990491283679</v>
      </c>
      <c r="Q26" s="2">
        <f t="shared" si="3"/>
        <v>0.28275000000000022</v>
      </c>
      <c r="R26" s="2">
        <f t="shared" si="4"/>
        <v>0.27264619651347094</v>
      </c>
      <c r="S26" s="2">
        <f t="shared" si="5"/>
        <v>1.0103803486529284E-2</v>
      </c>
      <c r="Y26" s="1"/>
    </row>
    <row r="27" spans="2:31" x14ac:dyDescent="0.25">
      <c r="B27" s="1">
        <f t="shared" si="6"/>
        <v>21</v>
      </c>
      <c r="C27" s="1">
        <v>104</v>
      </c>
      <c r="D27" s="13">
        <v>56.6</v>
      </c>
      <c r="E27" s="1" t="s">
        <v>11</v>
      </c>
      <c r="F27" s="2">
        <v>0.25</v>
      </c>
      <c r="G27" s="1" t="s">
        <v>12</v>
      </c>
      <c r="H27" s="1" t="s">
        <v>13</v>
      </c>
      <c r="I27" s="1" t="s">
        <v>14</v>
      </c>
      <c r="J27" s="14">
        <v>0.37078703703703703</v>
      </c>
      <c r="K27" s="15">
        <v>45537</v>
      </c>
      <c r="L27" s="15"/>
      <c r="M27" s="2">
        <v>0.1</v>
      </c>
      <c r="O27" s="2">
        <f t="shared" si="1"/>
        <v>2.5000000000000008E-2</v>
      </c>
      <c r="P27" s="2">
        <f t="shared" si="2"/>
        <v>54.532488114104595</v>
      </c>
      <c r="Q27" s="2">
        <f t="shared" si="3"/>
        <v>0.28375000000000028</v>
      </c>
      <c r="R27" s="2">
        <f t="shared" si="4"/>
        <v>0.2726786846275755</v>
      </c>
      <c r="S27" s="2">
        <f t="shared" si="5"/>
        <v>1.1071315372424784E-2</v>
      </c>
      <c r="Y27" s="1"/>
    </row>
    <row r="28" spans="2:31" x14ac:dyDescent="0.25">
      <c r="B28" s="1">
        <f t="shared" si="6"/>
        <v>22</v>
      </c>
      <c r="C28" s="1">
        <v>106</v>
      </c>
      <c r="D28" s="13">
        <v>56.9</v>
      </c>
      <c r="E28" s="1" t="s">
        <v>11</v>
      </c>
      <c r="F28" s="2">
        <v>0.255</v>
      </c>
      <c r="G28" s="1" t="s">
        <v>12</v>
      </c>
      <c r="H28" s="1" t="s">
        <v>13</v>
      </c>
      <c r="I28" s="1" t="s">
        <v>14</v>
      </c>
      <c r="J28" s="14">
        <v>0.37078703703703703</v>
      </c>
      <c r="K28" s="15">
        <v>45537</v>
      </c>
      <c r="L28" s="15"/>
      <c r="M28" s="2">
        <v>0.10500000000000001</v>
      </c>
      <c r="O28" s="2">
        <f t="shared" si="1"/>
        <v>3.0000000000000013E-2</v>
      </c>
      <c r="P28" s="2">
        <f t="shared" si="2"/>
        <v>54.538985736925518</v>
      </c>
      <c r="Q28" s="2">
        <f t="shared" si="3"/>
        <v>0.28450000000000025</v>
      </c>
      <c r="R28" s="2">
        <f t="shared" si="4"/>
        <v>0.27271117274168011</v>
      </c>
      <c r="S28" s="2">
        <f t="shared" si="5"/>
        <v>1.1788827258320145E-2</v>
      </c>
      <c r="W28" s="1" t="s">
        <v>17</v>
      </c>
      <c r="X28" s="22">
        <v>7.4999999999999997E-2</v>
      </c>
      <c r="Y28" s="18">
        <f>_xlfn.XLOOKUP(X28,M$7:M$2001,D$7:D$2001,0,-1)</f>
        <v>54.5</v>
      </c>
      <c r="Z28" s="1" cm="1">
        <f t="array" aca="1" ref="Z28" ca="1">CELL("row",_xlfn.XLOOKUP(X28,M$7:M$2001,D$7:D$2001,0,-1))</f>
        <v>21</v>
      </c>
      <c r="AA28" s="1">
        <f t="shared" ref="AA28:AA29" ca="1" si="8">Z28-6</f>
        <v>15</v>
      </c>
      <c r="AB28" t="s">
        <v>30</v>
      </c>
      <c r="AC28" s="2">
        <f ca="1">SUM(INDEX(C7:S1000,AA28,17):(INDEX(C7:S1000,AA29,17)))</f>
        <v>4.0456683835182226</v>
      </c>
      <c r="AD28" s="1">
        <v>16</v>
      </c>
      <c r="AE28" t="s">
        <v>35</v>
      </c>
    </row>
    <row r="29" spans="2:31" x14ac:dyDescent="0.25">
      <c r="B29" s="1">
        <f t="shared" si="6"/>
        <v>23</v>
      </c>
      <c r="C29" s="1">
        <v>108</v>
      </c>
      <c r="D29" s="13">
        <v>56.9</v>
      </c>
      <c r="E29" s="1" t="s">
        <v>11</v>
      </c>
      <c r="F29" s="2">
        <v>0.26</v>
      </c>
      <c r="G29" s="1" t="s">
        <v>12</v>
      </c>
      <c r="H29" s="1" t="s">
        <v>13</v>
      </c>
      <c r="I29" s="1" t="s">
        <v>14</v>
      </c>
      <c r="J29" s="14">
        <v>0.37078703703703703</v>
      </c>
      <c r="K29" s="15">
        <v>45537</v>
      </c>
      <c r="L29" s="15"/>
      <c r="M29" s="2">
        <v>0.11000000000000001</v>
      </c>
      <c r="O29" s="2">
        <f t="shared" si="1"/>
        <v>3.5000000000000017E-2</v>
      </c>
      <c r="P29" s="2">
        <f t="shared" si="2"/>
        <v>54.545483359746434</v>
      </c>
      <c r="Q29" s="2">
        <f t="shared" si="3"/>
        <v>0.28500000000000025</v>
      </c>
      <c r="R29" s="2">
        <f t="shared" si="4"/>
        <v>0.27274366085578472</v>
      </c>
      <c r="S29" s="2">
        <f t="shared" si="5"/>
        <v>1.2256339144215533E-2</v>
      </c>
      <c r="W29" s="1" t="s">
        <v>18</v>
      </c>
      <c r="X29" s="2">
        <f>X35</f>
        <v>0.87</v>
      </c>
      <c r="Y29" s="21">
        <f>_xlfn.XLOOKUP(X29,M$7:M$2001,D$7:D$2001,0,-1)</f>
        <v>53.9</v>
      </c>
      <c r="Z29" s="1" cm="1">
        <f t="array" aca="1" ref="Z29" ca="1">CELL("row",_xlfn.XLOOKUP(X29,M$7:M$2001,D$7:D$2001,0,-1))</f>
        <v>173</v>
      </c>
      <c r="AA29" s="1">
        <f t="shared" ca="1" si="8"/>
        <v>167</v>
      </c>
      <c r="AB29" t="s">
        <v>34</v>
      </c>
      <c r="AC29" s="2">
        <f ca="1">MAX(INDEX(C7:S1000,AA28,2):(INDEX(C7:S1000,AA29,2)))</f>
        <v>64.3</v>
      </c>
      <c r="AD29" s="1">
        <v>2</v>
      </c>
      <c r="AE29" t="s">
        <v>43</v>
      </c>
    </row>
    <row r="30" spans="2:31" x14ac:dyDescent="0.25">
      <c r="B30" s="1">
        <f t="shared" si="6"/>
        <v>24</v>
      </c>
      <c r="C30" s="1">
        <v>111</v>
      </c>
      <c r="D30" s="13">
        <v>57.1</v>
      </c>
      <c r="E30" s="1" t="s">
        <v>11</v>
      </c>
      <c r="F30" s="2">
        <v>0.26500000000000001</v>
      </c>
      <c r="G30" s="1" t="s">
        <v>12</v>
      </c>
      <c r="H30" s="1" t="s">
        <v>13</v>
      </c>
      <c r="I30" s="1" t="s">
        <v>14</v>
      </c>
      <c r="J30" s="14">
        <v>0.37078703703703703</v>
      </c>
      <c r="K30" s="15">
        <v>45537</v>
      </c>
      <c r="L30" s="15"/>
      <c r="M30" s="2">
        <v>0.11500000000000002</v>
      </c>
      <c r="O30" s="2">
        <f t="shared" si="1"/>
        <v>4.0000000000000022E-2</v>
      </c>
      <c r="P30" s="2">
        <f t="shared" si="2"/>
        <v>54.551980982567351</v>
      </c>
      <c r="Q30" s="2">
        <f t="shared" si="3"/>
        <v>0.28575000000000028</v>
      </c>
      <c r="R30" s="2">
        <f t="shared" si="4"/>
        <v>0.27277614896988933</v>
      </c>
      <c r="S30" s="2">
        <f t="shared" si="5"/>
        <v>1.297385103011095E-2</v>
      </c>
      <c r="Y30" s="1"/>
      <c r="AB30" t="s">
        <v>44</v>
      </c>
      <c r="AC30" s="2">
        <f ca="1">AC29-_xlfn.XLOOKUP(AC29,D2:D1000,P2:P1000)</f>
        <v>9.3191759112519748</v>
      </c>
      <c r="AD30" s="1" t="s">
        <v>42</v>
      </c>
      <c r="AE30" t="s">
        <v>41</v>
      </c>
    </row>
    <row r="31" spans="2:31" x14ac:dyDescent="0.25">
      <c r="B31" s="1">
        <f t="shared" si="6"/>
        <v>25</v>
      </c>
      <c r="C31" s="1">
        <v>116</v>
      </c>
      <c r="D31" s="13">
        <v>57.2</v>
      </c>
      <c r="E31" s="1" t="s">
        <v>11</v>
      </c>
      <c r="F31" s="2">
        <v>0.27</v>
      </c>
      <c r="G31" s="1" t="s">
        <v>12</v>
      </c>
      <c r="H31" s="1" t="s">
        <v>13</v>
      </c>
      <c r="I31" s="1" t="s">
        <v>14</v>
      </c>
      <c r="J31" s="14">
        <v>0.37079861111111112</v>
      </c>
      <c r="K31" s="15">
        <v>45537</v>
      </c>
      <c r="L31" s="15"/>
      <c r="M31" s="2">
        <v>0.12000000000000002</v>
      </c>
      <c r="O31" s="2">
        <f t="shared" si="1"/>
        <v>4.5000000000000026E-2</v>
      </c>
      <c r="P31" s="2">
        <f t="shared" si="2"/>
        <v>54.558478605388274</v>
      </c>
      <c r="Q31" s="2">
        <f t="shared" si="3"/>
        <v>0.28675000000000028</v>
      </c>
      <c r="R31" s="2">
        <f t="shared" si="4"/>
        <v>0.27280863708399389</v>
      </c>
      <c r="S31" s="2">
        <f t="shared" si="5"/>
        <v>1.3941362916006395E-2</v>
      </c>
      <c r="Y31" s="1"/>
      <c r="AB31" t="s">
        <v>46</v>
      </c>
      <c r="AC31" s="2">
        <f>X29-X28</f>
        <v>0.79500000000000004</v>
      </c>
    </row>
    <row r="32" spans="2:31" x14ac:dyDescent="0.25">
      <c r="B32" s="1">
        <f t="shared" si="6"/>
        <v>26</v>
      </c>
      <c r="C32" s="1">
        <v>128</v>
      </c>
      <c r="D32" s="13">
        <v>57.5</v>
      </c>
      <c r="E32" s="1" t="s">
        <v>11</v>
      </c>
      <c r="F32" s="2">
        <v>0.27500000000000002</v>
      </c>
      <c r="G32" s="1" t="s">
        <v>12</v>
      </c>
      <c r="H32" s="1" t="s">
        <v>13</v>
      </c>
      <c r="I32" s="1" t="s">
        <v>14</v>
      </c>
      <c r="J32" s="14">
        <v>0.37081018518518516</v>
      </c>
      <c r="K32" s="15">
        <v>45537</v>
      </c>
      <c r="L32" s="15"/>
      <c r="M32" s="2">
        <v>0.12500000000000003</v>
      </c>
      <c r="O32" s="2">
        <f t="shared" si="1"/>
        <v>5.0000000000000031E-2</v>
      </c>
      <c r="P32" s="2">
        <f t="shared" si="2"/>
        <v>54.56497622820919</v>
      </c>
      <c r="Q32" s="2">
        <f t="shared" si="3"/>
        <v>0.28825000000000023</v>
      </c>
      <c r="R32" s="2">
        <f t="shared" si="4"/>
        <v>0.2728411251980985</v>
      </c>
      <c r="S32" s="2">
        <f t="shared" si="5"/>
        <v>1.5408874801901729E-2</v>
      </c>
      <c r="Y32" s="1"/>
      <c r="AB32" t="s">
        <v>51</v>
      </c>
      <c r="AC32" s="2">
        <f>(AC31)/(AC24+AC31+AC38+AC43) * 100</f>
        <v>25.198098256735346</v>
      </c>
    </row>
    <row r="33" spans="2:31" x14ac:dyDescent="0.25">
      <c r="B33" s="1">
        <f t="shared" si="6"/>
        <v>27</v>
      </c>
      <c r="C33" s="1">
        <v>133</v>
      </c>
      <c r="D33" s="13">
        <v>57.8</v>
      </c>
      <c r="E33" s="1" t="s">
        <v>11</v>
      </c>
      <c r="F33" s="2">
        <v>0.28000000000000003</v>
      </c>
      <c r="G33" s="1" t="s">
        <v>12</v>
      </c>
      <c r="H33" s="1" t="s">
        <v>13</v>
      </c>
      <c r="I33" s="1" t="s">
        <v>14</v>
      </c>
      <c r="J33" s="14">
        <v>0.37081018518518516</v>
      </c>
      <c r="K33" s="15">
        <v>45537</v>
      </c>
      <c r="L33" s="15"/>
      <c r="M33" s="2">
        <v>0.13000000000000003</v>
      </c>
      <c r="O33" s="2">
        <f t="shared" si="1"/>
        <v>5.5000000000000035E-2</v>
      </c>
      <c r="P33" s="2">
        <f t="shared" si="2"/>
        <v>54.571473851030113</v>
      </c>
      <c r="Q33" s="2">
        <f t="shared" si="3"/>
        <v>0.28824999999999706</v>
      </c>
      <c r="R33" s="2">
        <f t="shared" si="4"/>
        <v>0.27287361331220006</v>
      </c>
      <c r="S33" s="2">
        <f t="shared" si="5"/>
        <v>1.5376386687797006E-2</v>
      </c>
      <c r="Y33" s="1"/>
    </row>
    <row r="34" spans="2:31" x14ac:dyDescent="0.25">
      <c r="B34" s="1">
        <f t="shared" si="6"/>
        <v>28</v>
      </c>
      <c r="C34" s="1">
        <v>135</v>
      </c>
      <c r="D34" s="13">
        <v>57.5</v>
      </c>
      <c r="E34" s="1" t="s">
        <v>11</v>
      </c>
      <c r="F34" s="2">
        <v>0.28499999999999998</v>
      </c>
      <c r="G34" s="1" t="s">
        <v>12</v>
      </c>
      <c r="H34" s="1" t="s">
        <v>13</v>
      </c>
      <c r="I34" s="1" t="s">
        <v>14</v>
      </c>
      <c r="J34" s="14">
        <v>0.37082175925925925</v>
      </c>
      <c r="K34" s="15">
        <v>45537</v>
      </c>
      <c r="L34" s="15"/>
      <c r="M34" s="2">
        <v>0.13499999999999998</v>
      </c>
      <c r="O34" s="2">
        <f t="shared" si="1"/>
        <v>5.9999999999999984E-2</v>
      </c>
      <c r="P34" s="2">
        <f t="shared" si="2"/>
        <v>54.577971473851029</v>
      </c>
      <c r="Q34" s="2">
        <f t="shared" si="3"/>
        <v>0.28750000000000026</v>
      </c>
      <c r="R34" s="2">
        <f t="shared" si="4"/>
        <v>0.27290610142630772</v>
      </c>
      <c r="S34" s="2">
        <f t="shared" si="5"/>
        <v>1.4593898573692532E-2</v>
      </c>
      <c r="Y34" s="1"/>
    </row>
    <row r="35" spans="2:31" x14ac:dyDescent="0.25">
      <c r="B35" s="1">
        <f t="shared" si="6"/>
        <v>29</v>
      </c>
      <c r="C35" s="1">
        <v>137</v>
      </c>
      <c r="D35" s="13">
        <v>57.5</v>
      </c>
      <c r="E35" s="1" t="s">
        <v>11</v>
      </c>
      <c r="F35" s="2">
        <v>0.28999999999999998</v>
      </c>
      <c r="G35" s="1" t="s">
        <v>12</v>
      </c>
      <c r="H35" s="1" t="s">
        <v>13</v>
      </c>
      <c r="I35" s="1" t="s">
        <v>14</v>
      </c>
      <c r="J35" s="14">
        <v>0.37082175925925925</v>
      </c>
      <c r="K35" s="15">
        <v>45537</v>
      </c>
      <c r="L35" s="15"/>
      <c r="M35" s="2">
        <v>0.13999999999999999</v>
      </c>
      <c r="O35" s="2">
        <f t="shared" si="1"/>
        <v>6.4999999999999988E-2</v>
      </c>
      <c r="P35" s="2">
        <f t="shared" si="2"/>
        <v>54.584469096671953</v>
      </c>
      <c r="Q35" s="2">
        <f t="shared" si="3"/>
        <v>0.28825000000000023</v>
      </c>
      <c r="R35" s="2">
        <f t="shared" si="4"/>
        <v>0.27293858954041228</v>
      </c>
      <c r="S35" s="2">
        <f t="shared" si="5"/>
        <v>1.5311410459587949E-2</v>
      </c>
      <c r="W35" s="1" t="s">
        <v>19</v>
      </c>
      <c r="X35" s="22">
        <v>0.87</v>
      </c>
      <c r="Y35" s="21">
        <f>_xlfn.XLOOKUP(X35,M$7:M$2001,D$7:D$2001,0,-1)</f>
        <v>53.9</v>
      </c>
      <c r="Z35" s="1" cm="1">
        <f t="array" aca="1" ref="Z35" ca="1">CELL("row",_xlfn.XLOOKUP(X35,M$7:M$2001,D$7:D$2001,0,-1))</f>
        <v>173</v>
      </c>
      <c r="AA35" s="1">
        <f t="shared" ref="AA35:AA36" ca="1" si="9">Z35-6</f>
        <v>167</v>
      </c>
      <c r="AB35" t="s">
        <v>31</v>
      </c>
      <c r="AC35" s="2">
        <f ca="1">SUM(INDEX(C7:S1000,AA35,17):(INDEX(C7:S1000,AA36,17)))</f>
        <v>-13.33896394611727</v>
      </c>
      <c r="AD35" s="1">
        <v>16</v>
      </c>
      <c r="AE35" t="s">
        <v>35</v>
      </c>
    </row>
    <row r="36" spans="2:31" x14ac:dyDescent="0.25">
      <c r="B36" s="1">
        <f t="shared" si="6"/>
        <v>30</v>
      </c>
      <c r="C36" s="1">
        <v>140</v>
      </c>
      <c r="D36" s="13">
        <v>57.8</v>
      </c>
      <c r="E36" s="1" t="s">
        <v>11</v>
      </c>
      <c r="F36" s="2">
        <v>0.29499999999999998</v>
      </c>
      <c r="G36" s="1" t="s">
        <v>12</v>
      </c>
      <c r="H36" s="1" t="s">
        <v>13</v>
      </c>
      <c r="I36" s="1" t="s">
        <v>14</v>
      </c>
      <c r="J36" s="14">
        <v>0.37082175925925925</v>
      </c>
      <c r="K36" s="15">
        <v>45537</v>
      </c>
      <c r="L36" s="15"/>
      <c r="M36" s="2">
        <v>0.14499999999999999</v>
      </c>
      <c r="O36" s="2">
        <f t="shared" si="1"/>
        <v>6.9999999999999993E-2</v>
      </c>
      <c r="P36" s="2">
        <f t="shared" si="2"/>
        <v>54.590966719492869</v>
      </c>
      <c r="Q36" s="2">
        <f t="shared" si="3"/>
        <v>0.28925000000000023</v>
      </c>
      <c r="R36" s="2">
        <f t="shared" si="4"/>
        <v>0.27297107765451689</v>
      </c>
      <c r="S36" s="2">
        <f t="shared" si="5"/>
        <v>1.6278922345483338E-2</v>
      </c>
      <c r="W36" s="1" t="s">
        <v>20</v>
      </c>
      <c r="X36" s="2">
        <f>X42</f>
        <v>2.2850000000000001</v>
      </c>
      <c r="Y36" s="19">
        <f>_xlfn.XLOOKUP(X36,M$7:M$2001,D$7:D$2001,0,-1)</f>
        <v>53.1</v>
      </c>
      <c r="Z36" s="1" cm="1">
        <f t="array" aca="1" ref="Z36" ca="1">CELL("row",_xlfn.XLOOKUP(X36,M$7:M$2001,D$7:D$2001,0,-1))</f>
        <v>429</v>
      </c>
      <c r="AA36" s="1">
        <f t="shared" ca="1" si="9"/>
        <v>423</v>
      </c>
      <c r="AB36" t="s">
        <v>37</v>
      </c>
      <c r="AC36" s="2">
        <f ca="1">MIN(INDEX(C7:S1000,AA35,2):(INDEX(C7:S1000,AA36,2)))</f>
        <v>43.4</v>
      </c>
      <c r="AD36" s="1">
        <v>1</v>
      </c>
      <c r="AE36" t="s">
        <v>36</v>
      </c>
    </row>
    <row r="37" spans="2:31" x14ac:dyDescent="0.25">
      <c r="B37" s="1">
        <f t="shared" si="6"/>
        <v>31</v>
      </c>
      <c r="C37" s="1">
        <v>143</v>
      </c>
      <c r="D37" s="13">
        <v>57.9</v>
      </c>
      <c r="E37" s="1" t="s">
        <v>11</v>
      </c>
      <c r="F37" s="2">
        <v>0.3</v>
      </c>
      <c r="G37" s="1" t="s">
        <v>12</v>
      </c>
      <c r="H37" s="1" t="s">
        <v>13</v>
      </c>
      <c r="I37" s="1" t="s">
        <v>14</v>
      </c>
      <c r="J37" s="14">
        <v>0.37082175925925925</v>
      </c>
      <c r="K37" s="15">
        <v>45537</v>
      </c>
      <c r="L37" s="15"/>
      <c r="M37" s="2">
        <v>0.15</v>
      </c>
      <c r="O37" s="2">
        <f t="shared" si="1"/>
        <v>7.4999999999999997E-2</v>
      </c>
      <c r="P37" s="2">
        <f t="shared" si="2"/>
        <v>54.597464342313785</v>
      </c>
      <c r="Q37" s="2">
        <f t="shared" si="3"/>
        <v>0.28975000000000029</v>
      </c>
      <c r="R37" s="2">
        <f t="shared" si="4"/>
        <v>0.27300356576862145</v>
      </c>
      <c r="S37" s="2">
        <f t="shared" si="5"/>
        <v>1.6746434231378837E-2</v>
      </c>
      <c r="Y37" s="1"/>
      <c r="AB37" t="s">
        <v>45</v>
      </c>
      <c r="AC37" s="2">
        <f ca="1">_xlfn.XLOOKUP(AC36,D2:D1000,P2:P1000)-AC36</f>
        <v>12.659429477020602</v>
      </c>
    </row>
    <row r="38" spans="2:31" x14ac:dyDescent="0.25">
      <c r="B38" s="1">
        <f t="shared" si="6"/>
        <v>32</v>
      </c>
      <c r="C38" s="1">
        <v>144</v>
      </c>
      <c r="D38" s="13">
        <v>58</v>
      </c>
      <c r="E38" s="1" t="s">
        <v>11</v>
      </c>
      <c r="F38" s="2">
        <v>0.30499999999999999</v>
      </c>
      <c r="G38" s="1" t="s">
        <v>12</v>
      </c>
      <c r="H38" s="1" t="s">
        <v>13</v>
      </c>
      <c r="I38" s="1" t="s">
        <v>14</v>
      </c>
      <c r="J38" s="14">
        <v>0.37083333333333335</v>
      </c>
      <c r="K38" s="15">
        <v>45537</v>
      </c>
      <c r="L38" s="15"/>
      <c r="M38" s="2">
        <v>0.155</v>
      </c>
      <c r="O38" s="2">
        <f t="shared" si="1"/>
        <v>0.08</v>
      </c>
      <c r="P38" s="2">
        <f t="shared" si="2"/>
        <v>54.603961965134708</v>
      </c>
      <c r="Q38" s="2">
        <f t="shared" si="3"/>
        <v>0.29025000000000023</v>
      </c>
      <c r="R38" s="2">
        <f t="shared" si="4"/>
        <v>0.27303605388272606</v>
      </c>
      <c r="S38" s="2">
        <f t="shared" si="5"/>
        <v>1.721394611727417E-2</v>
      </c>
      <c r="Y38" s="1"/>
      <c r="AB38" t="s">
        <v>47</v>
      </c>
      <c r="AC38" s="2">
        <f>X36-X35</f>
        <v>1.415</v>
      </c>
    </row>
    <row r="39" spans="2:31" x14ac:dyDescent="0.25">
      <c r="B39" s="1">
        <f t="shared" si="6"/>
        <v>33</v>
      </c>
      <c r="C39" s="1">
        <v>146</v>
      </c>
      <c r="D39" s="13">
        <v>58.1</v>
      </c>
      <c r="E39" s="1" t="s">
        <v>11</v>
      </c>
      <c r="F39" s="2">
        <v>0.31</v>
      </c>
      <c r="G39" s="1" t="s">
        <v>12</v>
      </c>
      <c r="H39" s="1" t="s">
        <v>13</v>
      </c>
      <c r="I39" s="1" t="s">
        <v>14</v>
      </c>
      <c r="J39" s="14">
        <v>0.37083333333333335</v>
      </c>
      <c r="K39" s="15">
        <v>45537</v>
      </c>
      <c r="L39" s="15"/>
      <c r="M39" s="2">
        <v>0.16</v>
      </c>
      <c r="O39" s="2">
        <f t="shared" si="1"/>
        <v>8.5000000000000006E-2</v>
      </c>
      <c r="P39" s="2">
        <f t="shared" si="2"/>
        <v>54.610459587955624</v>
      </c>
      <c r="Q39" s="2">
        <f t="shared" si="3"/>
        <v>0.29100000000000026</v>
      </c>
      <c r="R39" s="2">
        <f t="shared" si="4"/>
        <v>0.27306854199683067</v>
      </c>
      <c r="S39" s="2">
        <f t="shared" si="5"/>
        <v>1.7931458003169587E-2</v>
      </c>
      <c r="Y39" s="1"/>
      <c r="AB39" t="s">
        <v>52</v>
      </c>
      <c r="AC39" s="2">
        <f>(AC38)/(AC24+AC31+AC38+AC43) * 100</f>
        <v>44.849445324881145</v>
      </c>
    </row>
    <row r="40" spans="2:31" x14ac:dyDescent="0.25">
      <c r="B40" s="1">
        <f t="shared" si="6"/>
        <v>34</v>
      </c>
      <c r="C40" s="1">
        <v>148</v>
      </c>
      <c r="D40" s="13">
        <v>58.3</v>
      </c>
      <c r="E40" s="1" t="s">
        <v>11</v>
      </c>
      <c r="F40" s="2">
        <v>0.315</v>
      </c>
      <c r="G40" s="1" t="s">
        <v>12</v>
      </c>
      <c r="H40" s="1" t="s">
        <v>13</v>
      </c>
      <c r="I40" s="1" t="s">
        <v>14</v>
      </c>
      <c r="J40" s="14">
        <v>0.37083333333333335</v>
      </c>
      <c r="K40" s="15">
        <v>45537</v>
      </c>
      <c r="L40" s="15"/>
      <c r="M40" s="2">
        <v>0.16500000000000001</v>
      </c>
      <c r="O40" s="2">
        <f t="shared" si="1"/>
        <v>9.0000000000000011E-2</v>
      </c>
      <c r="P40" s="2">
        <f t="shared" si="2"/>
        <v>54.616957210776548</v>
      </c>
      <c r="Q40" s="2">
        <f t="shared" si="3"/>
        <v>0.29175000000000023</v>
      </c>
      <c r="R40" s="2">
        <f t="shared" si="4"/>
        <v>0.27310103011093528</v>
      </c>
      <c r="S40" s="2">
        <f t="shared" si="5"/>
        <v>1.8648969889064948E-2</v>
      </c>
      <c r="Y40" s="1"/>
    </row>
    <row r="41" spans="2:31" x14ac:dyDescent="0.25">
      <c r="B41" s="1">
        <f t="shared" si="6"/>
        <v>35</v>
      </c>
      <c r="C41" s="1">
        <v>149</v>
      </c>
      <c r="D41" s="13">
        <v>58.4</v>
      </c>
      <c r="E41" s="1" t="s">
        <v>11</v>
      </c>
      <c r="F41" s="2">
        <v>0.32</v>
      </c>
      <c r="G41" s="1" t="s">
        <v>12</v>
      </c>
      <c r="H41" s="1" t="s">
        <v>13</v>
      </c>
      <c r="I41" s="1" t="s">
        <v>14</v>
      </c>
      <c r="J41" s="14">
        <v>0.37083333333333335</v>
      </c>
      <c r="K41" s="15">
        <v>45537</v>
      </c>
      <c r="L41" s="15"/>
      <c r="M41" s="2">
        <v>0.17</v>
      </c>
      <c r="O41" s="2">
        <f t="shared" si="1"/>
        <v>9.5000000000000015E-2</v>
      </c>
      <c r="P41" s="2">
        <f t="shared" si="2"/>
        <v>54.623454833597464</v>
      </c>
      <c r="Q41" s="2">
        <f t="shared" si="3"/>
        <v>0.29250000000000026</v>
      </c>
      <c r="R41" s="2">
        <f t="shared" si="4"/>
        <v>0.27313351822503984</v>
      </c>
      <c r="S41" s="2">
        <f t="shared" si="5"/>
        <v>1.936648177496042E-2</v>
      </c>
      <c r="Y41" s="1"/>
    </row>
    <row r="42" spans="2:31" x14ac:dyDescent="0.25">
      <c r="B42" s="1">
        <f t="shared" si="6"/>
        <v>36</v>
      </c>
      <c r="C42" s="1">
        <v>151</v>
      </c>
      <c r="D42" s="13">
        <v>58.6</v>
      </c>
      <c r="E42" s="1" t="s">
        <v>11</v>
      </c>
      <c r="F42" s="2">
        <v>0.32500000000000001</v>
      </c>
      <c r="G42" s="1" t="s">
        <v>12</v>
      </c>
      <c r="H42" s="1" t="s">
        <v>13</v>
      </c>
      <c r="I42" s="1" t="s">
        <v>14</v>
      </c>
      <c r="J42" s="14">
        <v>0.37083333333333335</v>
      </c>
      <c r="K42" s="15">
        <v>45537</v>
      </c>
      <c r="L42" s="15"/>
      <c r="M42" s="2">
        <v>0.17500000000000002</v>
      </c>
      <c r="O42" s="2">
        <f t="shared" si="1"/>
        <v>0.10000000000000002</v>
      </c>
      <c r="P42" s="2">
        <f t="shared" si="2"/>
        <v>54.629952456418387</v>
      </c>
      <c r="Q42" s="2">
        <f t="shared" si="3"/>
        <v>0.29300000000000026</v>
      </c>
      <c r="R42" s="2">
        <f t="shared" si="4"/>
        <v>0.27316600633914445</v>
      </c>
      <c r="S42" s="2">
        <f t="shared" si="5"/>
        <v>1.9833993660855809E-2</v>
      </c>
      <c r="W42" s="1" t="s">
        <v>21</v>
      </c>
      <c r="X42" s="22">
        <v>2.2850000000000001</v>
      </c>
      <c r="Y42" s="1">
        <f>_xlfn.XLOOKUP(X42,M$7:M$2001,D$7:D$2001,0,-1)</f>
        <v>53.1</v>
      </c>
      <c r="Z42" s="1" cm="1">
        <f t="array" aca="1" ref="Z42" ca="1">CELL("row",_xlfn.XLOOKUP(X42,M$7:M$2001,D$7:D$2001,0,-1))</f>
        <v>429</v>
      </c>
      <c r="AA42" s="1">
        <f t="shared" ref="AA42" ca="1" si="10">Z42-6</f>
        <v>423</v>
      </c>
      <c r="AB42" t="s">
        <v>33</v>
      </c>
      <c r="AC42" s="2">
        <f ca="1">SUM(INDEX(C7:S1000,AA42,17):(INDEX(C7:S1000,AA43,17)))</f>
        <v>-1.9482622820919184</v>
      </c>
    </row>
    <row r="43" spans="2:31" x14ac:dyDescent="0.25">
      <c r="B43" s="1">
        <f t="shared" si="6"/>
        <v>37</v>
      </c>
      <c r="C43" s="1">
        <v>152</v>
      </c>
      <c r="D43" s="13">
        <v>58.6</v>
      </c>
      <c r="E43" s="1" t="s">
        <v>11</v>
      </c>
      <c r="F43" s="2">
        <v>0.33</v>
      </c>
      <c r="G43" s="1" t="s">
        <v>12</v>
      </c>
      <c r="H43" s="1" t="s">
        <v>13</v>
      </c>
      <c r="I43" s="1" t="s">
        <v>14</v>
      </c>
      <c r="J43" s="14">
        <v>0.37083333333333335</v>
      </c>
      <c r="K43" s="15">
        <v>45537</v>
      </c>
      <c r="L43" s="15"/>
      <c r="M43" s="2">
        <v>0.18000000000000002</v>
      </c>
      <c r="O43" s="2">
        <f t="shared" si="1"/>
        <v>0.10500000000000002</v>
      </c>
      <c r="P43" s="2">
        <f t="shared" si="2"/>
        <v>54.636450079239303</v>
      </c>
      <c r="Q43" s="2">
        <f t="shared" si="3"/>
        <v>0.29375000000000029</v>
      </c>
      <c r="R43" s="2">
        <f t="shared" si="4"/>
        <v>0.27319849445324906</v>
      </c>
      <c r="S43" s="2">
        <f t="shared" si="5"/>
        <v>2.0551505546751225E-2</v>
      </c>
      <c r="W43" s="1" t="s">
        <v>22</v>
      </c>
      <c r="X43" s="22">
        <v>3.23</v>
      </c>
      <c r="Y43" s="1">
        <f>_xlfn.XLOOKUP(X43,M$7:M$2001,D$7:D$2001,0,-1)</f>
        <v>58.6</v>
      </c>
      <c r="Z43" s="1" cm="1">
        <f t="array" aca="1" ref="Z43" ca="1">CELL("row",_xlfn.XLOOKUP(X43,M$7:M$2001,D$7:D$2001,0,-1))</f>
        <v>596</v>
      </c>
      <c r="AA43" s="1">
        <f ca="1">Z43-6</f>
        <v>590</v>
      </c>
      <c r="AB43" t="s">
        <v>49</v>
      </c>
      <c r="AC43" s="2">
        <f>X43-X42</f>
        <v>0.94499999999999984</v>
      </c>
    </row>
    <row r="44" spans="2:31" x14ac:dyDescent="0.25">
      <c r="B44" s="1">
        <f t="shared" si="6"/>
        <v>38</v>
      </c>
      <c r="C44" s="1">
        <v>154</v>
      </c>
      <c r="D44" s="13">
        <v>58.9</v>
      </c>
      <c r="E44" s="1" t="s">
        <v>11</v>
      </c>
      <c r="F44" s="2">
        <v>0.33500000000000002</v>
      </c>
      <c r="G44" s="1" t="s">
        <v>12</v>
      </c>
      <c r="H44" s="1" t="s">
        <v>13</v>
      </c>
      <c r="I44" s="1" t="s">
        <v>14</v>
      </c>
      <c r="J44" s="14">
        <v>0.37084490740740739</v>
      </c>
      <c r="K44" s="15">
        <v>45537</v>
      </c>
      <c r="L44" s="15"/>
      <c r="M44" s="2">
        <v>0.18500000000000003</v>
      </c>
      <c r="O44" s="2">
        <f t="shared" si="1"/>
        <v>0.11000000000000003</v>
      </c>
      <c r="P44" s="2">
        <f t="shared" si="2"/>
        <v>54.642947702060219</v>
      </c>
      <c r="Q44" s="2">
        <f t="shared" si="3"/>
        <v>0.29475000000000029</v>
      </c>
      <c r="R44" s="2">
        <f t="shared" si="4"/>
        <v>0.27323098256735368</v>
      </c>
      <c r="S44" s="2">
        <f t="shared" si="5"/>
        <v>2.1519017432646614E-2</v>
      </c>
      <c r="Y44" s="1"/>
      <c r="AB44" t="s">
        <v>53</v>
      </c>
      <c r="AC44" s="2">
        <f>AC43/(AC43+AC38+AC31+AC24) * 100</f>
        <v>29.952456418383516</v>
      </c>
    </row>
    <row r="45" spans="2:31" x14ac:dyDescent="0.25">
      <c r="B45" s="1">
        <f t="shared" si="6"/>
        <v>39</v>
      </c>
      <c r="C45" s="1">
        <v>155</v>
      </c>
      <c r="D45" s="13">
        <v>59</v>
      </c>
      <c r="E45" s="1" t="s">
        <v>11</v>
      </c>
      <c r="F45" s="2">
        <v>0.34</v>
      </c>
      <c r="G45" s="1" t="s">
        <v>12</v>
      </c>
      <c r="H45" s="1" t="s">
        <v>13</v>
      </c>
      <c r="I45" s="1" t="s">
        <v>14</v>
      </c>
      <c r="J45" s="14">
        <v>0.37084490740740739</v>
      </c>
      <c r="K45" s="15">
        <v>45537</v>
      </c>
      <c r="L45" s="15"/>
      <c r="M45" s="2">
        <v>0.19000000000000003</v>
      </c>
      <c r="O45" s="2">
        <f t="shared" si="1"/>
        <v>0.11500000000000003</v>
      </c>
      <c r="P45" s="2">
        <f t="shared" si="2"/>
        <v>54.649445324881142</v>
      </c>
      <c r="Q45" s="2">
        <f t="shared" si="3"/>
        <v>0.29524999999999696</v>
      </c>
      <c r="R45" s="2">
        <f t="shared" si="4"/>
        <v>0.27326347068145523</v>
      </c>
      <c r="S45" s="2">
        <f t="shared" si="5"/>
        <v>2.1986529318541725E-2</v>
      </c>
    </row>
    <row r="46" spans="2:31" x14ac:dyDescent="0.25">
      <c r="B46" s="1">
        <f t="shared" si="6"/>
        <v>40</v>
      </c>
      <c r="C46" s="1">
        <v>156</v>
      </c>
      <c r="D46" s="13">
        <v>59.1</v>
      </c>
      <c r="E46" s="1" t="s">
        <v>11</v>
      </c>
      <c r="F46" s="2">
        <v>0.34499999999999997</v>
      </c>
      <c r="G46" s="1" t="s">
        <v>12</v>
      </c>
      <c r="H46" s="1" t="s">
        <v>13</v>
      </c>
      <c r="I46" s="1" t="s">
        <v>14</v>
      </c>
      <c r="J46" s="14">
        <v>0.37084490740740739</v>
      </c>
      <c r="K46" s="15">
        <v>45537</v>
      </c>
      <c r="L46" s="15"/>
      <c r="M46" s="2">
        <v>0.19499999999999998</v>
      </c>
      <c r="O46" s="2">
        <f t="shared" si="1"/>
        <v>0.11999999999999998</v>
      </c>
      <c r="P46" s="2">
        <f t="shared" si="2"/>
        <v>54.655942947702059</v>
      </c>
      <c r="Q46" s="2">
        <f t="shared" si="3"/>
        <v>0.29575000000000029</v>
      </c>
      <c r="R46" s="2">
        <f t="shared" si="4"/>
        <v>0.27329595879556284</v>
      </c>
      <c r="S46" s="2">
        <f t="shared" si="5"/>
        <v>2.2454041204437447E-2</v>
      </c>
    </row>
    <row r="47" spans="2:31" x14ac:dyDescent="0.25">
      <c r="B47" s="1">
        <f t="shared" si="6"/>
        <v>41</v>
      </c>
      <c r="C47" s="1">
        <v>157</v>
      </c>
      <c r="D47" s="13">
        <v>59.2</v>
      </c>
      <c r="E47" s="1" t="s">
        <v>11</v>
      </c>
      <c r="F47" s="2">
        <v>0.35</v>
      </c>
      <c r="G47" s="1" t="s">
        <v>12</v>
      </c>
      <c r="H47" s="1" t="s">
        <v>13</v>
      </c>
      <c r="I47" s="1" t="s">
        <v>14</v>
      </c>
      <c r="J47" s="14">
        <v>0.37084490740740739</v>
      </c>
      <c r="K47" s="15">
        <v>45537</v>
      </c>
      <c r="L47" s="15"/>
      <c r="M47" s="2">
        <v>0.19999999999999998</v>
      </c>
      <c r="O47" s="2">
        <f t="shared" si="1"/>
        <v>0.12499999999999999</v>
      </c>
      <c r="P47" s="2">
        <f t="shared" si="2"/>
        <v>54.662440570522982</v>
      </c>
      <c r="Q47" s="2">
        <f t="shared" si="3"/>
        <v>0.29675000000000029</v>
      </c>
      <c r="R47" s="2">
        <f t="shared" si="4"/>
        <v>0.27332844690966818</v>
      </c>
      <c r="S47" s="2">
        <f t="shared" si="5"/>
        <v>2.3421553090332115E-2</v>
      </c>
    </row>
    <row r="48" spans="2:31" x14ac:dyDescent="0.25">
      <c r="B48" s="1">
        <f t="shared" si="6"/>
        <v>42</v>
      </c>
      <c r="C48" s="1">
        <v>159</v>
      </c>
      <c r="D48" s="13">
        <v>59.5</v>
      </c>
      <c r="E48" s="1" t="s">
        <v>11</v>
      </c>
      <c r="F48" s="2">
        <v>0.35499999999999998</v>
      </c>
      <c r="G48" s="1" t="s">
        <v>12</v>
      </c>
      <c r="H48" s="1" t="s">
        <v>13</v>
      </c>
      <c r="I48" s="1" t="s">
        <v>14</v>
      </c>
      <c r="J48" s="14">
        <v>0.37084490740740739</v>
      </c>
      <c r="K48" s="15">
        <v>45537</v>
      </c>
      <c r="L48" s="15"/>
      <c r="M48" s="2">
        <v>0.20499999999999999</v>
      </c>
      <c r="O48" s="2">
        <f t="shared" si="1"/>
        <v>0.13</v>
      </c>
      <c r="P48" s="2">
        <f t="shared" si="2"/>
        <v>54.668938193343898</v>
      </c>
      <c r="Q48" s="2">
        <f t="shared" si="3"/>
        <v>0.29800000000000026</v>
      </c>
      <c r="R48" s="2">
        <f t="shared" si="4"/>
        <v>0.27336093502377207</v>
      </c>
      <c r="S48" s="2">
        <f t="shared" si="5"/>
        <v>2.4639064976228198E-2</v>
      </c>
    </row>
    <row r="49" spans="2:19" x14ac:dyDescent="0.25">
      <c r="B49" s="1">
        <f t="shared" si="6"/>
        <v>43</v>
      </c>
      <c r="C49" s="1">
        <v>161</v>
      </c>
      <c r="D49" s="13">
        <v>59.7</v>
      </c>
      <c r="E49" s="1" t="s">
        <v>11</v>
      </c>
      <c r="F49" s="2">
        <v>0.36</v>
      </c>
      <c r="G49" s="1" t="s">
        <v>12</v>
      </c>
      <c r="H49" s="1" t="s">
        <v>13</v>
      </c>
      <c r="I49" s="1" t="s">
        <v>14</v>
      </c>
      <c r="J49" s="14">
        <v>0.37084490740740739</v>
      </c>
      <c r="K49" s="15">
        <v>45537</v>
      </c>
      <c r="L49" s="15"/>
      <c r="M49" s="2">
        <v>0.21</v>
      </c>
      <c r="O49" s="2">
        <f t="shared" si="1"/>
        <v>0.13500000000000001</v>
      </c>
      <c r="P49" s="2">
        <f t="shared" si="2"/>
        <v>54.675435816164821</v>
      </c>
      <c r="Q49" s="2">
        <f t="shared" si="3"/>
        <v>0.29900000000000027</v>
      </c>
      <c r="R49" s="2">
        <f t="shared" si="4"/>
        <v>0.27339342313787662</v>
      </c>
      <c r="S49" s="2">
        <f t="shared" si="5"/>
        <v>2.5606576862123642E-2</v>
      </c>
    </row>
    <row r="50" spans="2:19" x14ac:dyDescent="0.25">
      <c r="B50" s="1">
        <f t="shared" si="6"/>
        <v>44</v>
      </c>
      <c r="C50" s="1">
        <v>163</v>
      </c>
      <c r="D50" s="13">
        <v>59.9</v>
      </c>
      <c r="E50" s="1" t="s">
        <v>11</v>
      </c>
      <c r="F50" s="2">
        <v>0.36499999999999999</v>
      </c>
      <c r="G50" s="1" t="s">
        <v>12</v>
      </c>
      <c r="H50" s="1" t="s">
        <v>13</v>
      </c>
      <c r="I50" s="1" t="s">
        <v>14</v>
      </c>
      <c r="J50" s="14">
        <v>0.37084490740740739</v>
      </c>
      <c r="K50" s="15">
        <v>45537</v>
      </c>
      <c r="L50" s="15"/>
      <c r="M50" s="2">
        <v>0.215</v>
      </c>
      <c r="O50" s="2">
        <f t="shared" si="1"/>
        <v>0.14000000000000001</v>
      </c>
      <c r="P50" s="2">
        <f t="shared" si="2"/>
        <v>54.681933438985737</v>
      </c>
      <c r="Q50" s="2">
        <f t="shared" si="3"/>
        <v>0.30000000000000027</v>
      </c>
      <c r="R50" s="2">
        <f t="shared" si="4"/>
        <v>0.27342591125198124</v>
      </c>
      <c r="S50" s="2">
        <f t="shared" si="5"/>
        <v>2.6574088748019031E-2</v>
      </c>
    </row>
    <row r="51" spans="2:19" x14ac:dyDescent="0.25">
      <c r="B51" s="1">
        <f t="shared" si="6"/>
        <v>45</v>
      </c>
      <c r="C51" s="1">
        <v>165</v>
      </c>
      <c r="D51" s="13">
        <v>60.1</v>
      </c>
      <c r="E51" s="1" t="s">
        <v>11</v>
      </c>
      <c r="F51" s="2">
        <v>0.37</v>
      </c>
      <c r="G51" s="1" t="s">
        <v>12</v>
      </c>
      <c r="H51" s="1" t="s">
        <v>13</v>
      </c>
      <c r="I51" s="1" t="s">
        <v>14</v>
      </c>
      <c r="J51" s="14">
        <v>0.37085648148148148</v>
      </c>
      <c r="K51" s="15">
        <v>45537</v>
      </c>
      <c r="L51" s="15"/>
      <c r="M51" s="2">
        <v>0.22</v>
      </c>
      <c r="O51" s="2">
        <f t="shared" si="1"/>
        <v>0.14500000000000002</v>
      </c>
      <c r="P51" s="2">
        <f t="shared" si="2"/>
        <v>54.688431061806654</v>
      </c>
      <c r="Q51" s="2">
        <f t="shared" si="3"/>
        <v>0.30050000000000027</v>
      </c>
      <c r="R51" s="2">
        <f t="shared" si="4"/>
        <v>0.27345839936608579</v>
      </c>
      <c r="S51" s="2">
        <f t="shared" si="5"/>
        <v>2.7041600633914475E-2</v>
      </c>
    </row>
    <row r="52" spans="2:19" x14ac:dyDescent="0.25">
      <c r="B52" s="1">
        <f t="shared" si="6"/>
        <v>46</v>
      </c>
      <c r="C52" s="1">
        <v>166</v>
      </c>
      <c r="D52" s="13">
        <v>60.1</v>
      </c>
      <c r="E52" s="1" t="s">
        <v>11</v>
      </c>
      <c r="F52" s="2">
        <v>0.375</v>
      </c>
      <c r="G52" s="1" t="s">
        <v>12</v>
      </c>
      <c r="H52" s="1" t="s">
        <v>13</v>
      </c>
      <c r="I52" s="1" t="s">
        <v>14</v>
      </c>
      <c r="J52" s="14">
        <v>0.37085648148148148</v>
      </c>
      <c r="K52" s="15">
        <v>45537</v>
      </c>
      <c r="L52" s="15"/>
      <c r="M52" s="2">
        <v>0.22500000000000001</v>
      </c>
      <c r="O52" s="2">
        <f t="shared" si="1"/>
        <v>0.15000000000000002</v>
      </c>
      <c r="P52" s="2">
        <f t="shared" si="2"/>
        <v>54.694928684627577</v>
      </c>
      <c r="Q52" s="2">
        <f t="shared" si="3"/>
        <v>0.30100000000000027</v>
      </c>
      <c r="R52" s="2">
        <f t="shared" si="4"/>
        <v>0.2734908874801904</v>
      </c>
      <c r="S52" s="2">
        <f t="shared" si="5"/>
        <v>2.7509112519809864E-2</v>
      </c>
    </row>
    <row r="53" spans="2:19" x14ac:dyDescent="0.25">
      <c r="B53" s="1">
        <f t="shared" si="6"/>
        <v>47</v>
      </c>
      <c r="C53" s="1">
        <v>168</v>
      </c>
      <c r="D53" s="13">
        <v>60.3</v>
      </c>
      <c r="E53" s="1" t="s">
        <v>11</v>
      </c>
      <c r="F53" s="2">
        <v>0.38</v>
      </c>
      <c r="G53" s="1" t="s">
        <v>12</v>
      </c>
      <c r="H53" s="1" t="s">
        <v>13</v>
      </c>
      <c r="I53" s="1" t="s">
        <v>14</v>
      </c>
      <c r="J53" s="14">
        <v>0.37085648148148148</v>
      </c>
      <c r="K53" s="15">
        <v>45537</v>
      </c>
      <c r="L53" s="15"/>
      <c r="M53" s="2">
        <v>0.23</v>
      </c>
      <c r="O53" s="2">
        <f t="shared" si="1"/>
        <v>0.15500000000000003</v>
      </c>
      <c r="P53" s="2">
        <f t="shared" si="2"/>
        <v>54.701426307448493</v>
      </c>
      <c r="Q53" s="2">
        <f t="shared" si="3"/>
        <v>0.3022500000000003</v>
      </c>
      <c r="R53" s="2">
        <f t="shared" si="4"/>
        <v>0.27352337559429502</v>
      </c>
      <c r="S53" s="2">
        <f t="shared" si="5"/>
        <v>2.8726624405705281E-2</v>
      </c>
    </row>
    <row r="54" spans="2:19" x14ac:dyDescent="0.25">
      <c r="B54" s="1">
        <f t="shared" si="6"/>
        <v>48</v>
      </c>
      <c r="C54" s="1">
        <v>171</v>
      </c>
      <c r="D54" s="13">
        <v>60.6</v>
      </c>
      <c r="E54" s="1" t="s">
        <v>11</v>
      </c>
      <c r="F54" s="2">
        <v>0.38500000000000001</v>
      </c>
      <c r="G54" s="1" t="s">
        <v>12</v>
      </c>
      <c r="H54" s="1" t="s">
        <v>13</v>
      </c>
      <c r="I54" s="1" t="s">
        <v>14</v>
      </c>
      <c r="J54" s="14">
        <v>0.37085648148148148</v>
      </c>
      <c r="K54" s="15">
        <v>45537</v>
      </c>
      <c r="L54" s="15"/>
      <c r="M54" s="2">
        <v>0.23500000000000001</v>
      </c>
      <c r="O54" s="2">
        <f t="shared" si="1"/>
        <v>0.16000000000000003</v>
      </c>
      <c r="P54" s="2">
        <f t="shared" si="2"/>
        <v>54.707923930269416</v>
      </c>
      <c r="Q54" s="2">
        <f t="shared" si="3"/>
        <v>0.3032500000000003</v>
      </c>
      <c r="R54" s="2">
        <f t="shared" si="4"/>
        <v>0.27355586370839963</v>
      </c>
      <c r="S54" s="2">
        <f t="shared" si="5"/>
        <v>2.969413629160067E-2</v>
      </c>
    </row>
    <row r="55" spans="2:19" x14ac:dyDescent="0.25">
      <c r="B55" s="1">
        <f t="shared" si="6"/>
        <v>49</v>
      </c>
      <c r="C55" s="1">
        <v>173</v>
      </c>
      <c r="D55" s="13">
        <v>60.7</v>
      </c>
      <c r="E55" s="1" t="s">
        <v>11</v>
      </c>
      <c r="F55" s="2">
        <v>0.39</v>
      </c>
      <c r="G55" s="1" t="s">
        <v>12</v>
      </c>
      <c r="H55" s="1" t="s">
        <v>13</v>
      </c>
      <c r="I55" s="1" t="s">
        <v>14</v>
      </c>
      <c r="J55" s="14">
        <v>0.37085648148148148</v>
      </c>
      <c r="K55" s="15">
        <v>45537</v>
      </c>
      <c r="L55" s="15"/>
      <c r="M55" s="2">
        <v>0.24000000000000002</v>
      </c>
      <c r="O55" s="2">
        <f t="shared" si="1"/>
        <v>0.16500000000000004</v>
      </c>
      <c r="P55" s="2">
        <f t="shared" si="2"/>
        <v>54.714421553090332</v>
      </c>
      <c r="Q55" s="2">
        <f t="shared" si="3"/>
        <v>0.30350000000000027</v>
      </c>
      <c r="R55" s="2">
        <f t="shared" si="4"/>
        <v>0.27358835182250418</v>
      </c>
      <c r="S55" s="2">
        <f t="shared" si="5"/>
        <v>2.9911648177496086E-2</v>
      </c>
    </row>
    <row r="56" spans="2:19" x14ac:dyDescent="0.25">
      <c r="B56" s="1">
        <f t="shared" si="6"/>
        <v>50</v>
      </c>
      <c r="C56" s="1">
        <v>175</v>
      </c>
      <c r="D56" s="13">
        <v>60.7</v>
      </c>
      <c r="E56" s="1" t="s">
        <v>11</v>
      </c>
      <c r="F56" s="2">
        <v>0.39500000000000002</v>
      </c>
      <c r="G56" s="1" t="s">
        <v>12</v>
      </c>
      <c r="H56" s="1" t="s">
        <v>13</v>
      </c>
      <c r="I56" s="1" t="s">
        <v>14</v>
      </c>
      <c r="J56" s="14">
        <v>0.37086805555555558</v>
      </c>
      <c r="K56" s="15">
        <v>45537</v>
      </c>
      <c r="L56" s="15"/>
      <c r="M56" s="2">
        <v>0.24500000000000002</v>
      </c>
      <c r="O56" s="2">
        <f t="shared" si="1"/>
        <v>0.17000000000000004</v>
      </c>
      <c r="P56" s="2">
        <f t="shared" si="2"/>
        <v>54.720919175911256</v>
      </c>
      <c r="Q56" s="2">
        <f t="shared" si="3"/>
        <v>0.30374999999999858</v>
      </c>
      <c r="R56" s="2">
        <f t="shared" si="4"/>
        <v>0.2736208399366058</v>
      </c>
      <c r="S56" s="2">
        <f t="shared" si="5"/>
        <v>3.0129160063392779E-2</v>
      </c>
    </row>
    <row r="57" spans="2:19" x14ac:dyDescent="0.25">
      <c r="B57" s="1">
        <f t="shared" si="6"/>
        <v>51</v>
      </c>
      <c r="C57" s="1">
        <v>177</v>
      </c>
      <c r="D57" s="13">
        <v>60.8</v>
      </c>
      <c r="E57" s="1" t="s">
        <v>11</v>
      </c>
      <c r="F57" s="2">
        <v>0.4</v>
      </c>
      <c r="G57" s="1" t="s">
        <v>12</v>
      </c>
      <c r="H57" s="1" t="s">
        <v>13</v>
      </c>
      <c r="I57" s="1" t="s">
        <v>14</v>
      </c>
      <c r="J57" s="14">
        <v>0.37086805555555558</v>
      </c>
      <c r="K57" s="15">
        <v>45537</v>
      </c>
      <c r="L57" s="15"/>
      <c r="M57" s="2">
        <v>0.25</v>
      </c>
      <c r="O57" s="2">
        <f t="shared" si="1"/>
        <v>0.17499999999999999</v>
      </c>
      <c r="P57" s="2">
        <f t="shared" si="2"/>
        <v>54.727416798732172</v>
      </c>
      <c r="Q57" s="2">
        <f t="shared" si="3"/>
        <v>0.30450000000000027</v>
      </c>
      <c r="R57" s="2">
        <f t="shared" si="4"/>
        <v>0.27365332805071341</v>
      </c>
      <c r="S57" s="2">
        <f t="shared" si="5"/>
        <v>3.0846671949286864E-2</v>
      </c>
    </row>
    <row r="58" spans="2:19" x14ac:dyDescent="0.25">
      <c r="B58" s="1">
        <f t="shared" si="6"/>
        <v>52</v>
      </c>
      <c r="C58" s="1">
        <v>179</v>
      </c>
      <c r="D58" s="13">
        <v>61</v>
      </c>
      <c r="E58" s="1" t="s">
        <v>11</v>
      </c>
      <c r="F58" s="2">
        <v>0.40500000000000003</v>
      </c>
      <c r="G58" s="1" t="s">
        <v>12</v>
      </c>
      <c r="H58" s="1" t="s">
        <v>13</v>
      </c>
      <c r="I58" s="1" t="s">
        <v>14</v>
      </c>
      <c r="J58" s="14">
        <v>0.37086805555555558</v>
      </c>
      <c r="K58" s="15">
        <v>45537</v>
      </c>
      <c r="L58" s="15"/>
      <c r="M58" s="2">
        <v>0.255</v>
      </c>
      <c r="O58" s="2">
        <f t="shared" si="1"/>
        <v>0.18</v>
      </c>
      <c r="P58" s="2">
        <f t="shared" si="2"/>
        <v>54.733914421553088</v>
      </c>
      <c r="Q58" s="2">
        <f t="shared" si="3"/>
        <v>0.30525000000000024</v>
      </c>
      <c r="R58" s="2">
        <f t="shared" si="4"/>
        <v>0.27368581616481802</v>
      </c>
      <c r="S58" s="2">
        <f t="shared" si="5"/>
        <v>3.1564183835182225E-2</v>
      </c>
    </row>
    <row r="59" spans="2:19" x14ac:dyDescent="0.25">
      <c r="B59" s="1">
        <f t="shared" si="6"/>
        <v>53</v>
      </c>
      <c r="C59" s="1">
        <v>181</v>
      </c>
      <c r="D59" s="13">
        <v>61.1</v>
      </c>
      <c r="E59" s="1" t="s">
        <v>11</v>
      </c>
      <c r="F59" s="2">
        <v>0.41</v>
      </c>
      <c r="G59" s="1" t="s">
        <v>12</v>
      </c>
      <c r="H59" s="1" t="s">
        <v>13</v>
      </c>
      <c r="I59" s="1" t="s">
        <v>14</v>
      </c>
      <c r="J59" s="14">
        <v>0.37086805555555558</v>
      </c>
      <c r="K59" s="15">
        <v>45537</v>
      </c>
      <c r="L59" s="15"/>
      <c r="M59" s="2">
        <v>0.26</v>
      </c>
      <c r="O59" s="2">
        <f t="shared" si="1"/>
        <v>0.185</v>
      </c>
      <c r="P59" s="2">
        <f t="shared" si="2"/>
        <v>54.740412044374011</v>
      </c>
      <c r="Q59" s="2">
        <f t="shared" si="3"/>
        <v>0.3057500000000003</v>
      </c>
      <c r="R59" s="2">
        <f t="shared" si="4"/>
        <v>0.27371830427892258</v>
      </c>
      <c r="S59" s="2">
        <f t="shared" si="5"/>
        <v>3.2031695721077724E-2</v>
      </c>
    </row>
    <row r="60" spans="2:19" x14ac:dyDescent="0.25">
      <c r="B60" s="1">
        <f t="shared" si="6"/>
        <v>54</v>
      </c>
      <c r="C60" s="1">
        <v>183</v>
      </c>
      <c r="D60" s="13">
        <v>61.2</v>
      </c>
      <c r="E60" s="1" t="s">
        <v>11</v>
      </c>
      <c r="F60" s="2">
        <v>0.41499999999999998</v>
      </c>
      <c r="G60" s="1" t="s">
        <v>12</v>
      </c>
      <c r="H60" s="1" t="s">
        <v>13</v>
      </c>
      <c r="I60" s="1" t="s">
        <v>14</v>
      </c>
      <c r="J60" s="14">
        <v>0.37086805555555558</v>
      </c>
      <c r="K60" s="15">
        <v>45537</v>
      </c>
      <c r="L60" s="15"/>
      <c r="M60" s="2">
        <v>0.26500000000000001</v>
      </c>
      <c r="O60" s="2">
        <f t="shared" si="1"/>
        <v>0.19</v>
      </c>
      <c r="P60" s="2">
        <f t="shared" si="2"/>
        <v>54.746909667194927</v>
      </c>
      <c r="Q60" s="2">
        <f t="shared" si="3"/>
        <v>0.30600000000000027</v>
      </c>
      <c r="R60" s="2">
        <f t="shared" si="4"/>
        <v>0.27375079239302719</v>
      </c>
      <c r="S60" s="2">
        <f t="shared" si="5"/>
        <v>3.2249207606973085E-2</v>
      </c>
    </row>
    <row r="61" spans="2:19" x14ac:dyDescent="0.25">
      <c r="B61" s="1">
        <f t="shared" si="6"/>
        <v>55</v>
      </c>
      <c r="C61" s="1">
        <v>184</v>
      </c>
      <c r="D61" s="13">
        <v>61.2</v>
      </c>
      <c r="E61" s="1" t="s">
        <v>11</v>
      </c>
      <c r="F61" s="2">
        <v>0.42</v>
      </c>
      <c r="G61" s="1" t="s">
        <v>12</v>
      </c>
      <c r="H61" s="1" t="s">
        <v>13</v>
      </c>
      <c r="I61" s="1" t="s">
        <v>14</v>
      </c>
      <c r="J61" s="14">
        <v>0.37087962962962961</v>
      </c>
      <c r="K61" s="15">
        <v>45537</v>
      </c>
      <c r="L61" s="15"/>
      <c r="M61" s="2">
        <v>0.27</v>
      </c>
      <c r="O61" s="2">
        <f t="shared" si="1"/>
        <v>0.19500000000000001</v>
      </c>
      <c r="P61" s="2">
        <f t="shared" si="2"/>
        <v>54.753407290015851</v>
      </c>
      <c r="Q61" s="2">
        <f t="shared" si="3"/>
        <v>0.30650000000000027</v>
      </c>
      <c r="R61" s="2">
        <f t="shared" si="4"/>
        <v>0.2737832805071318</v>
      </c>
      <c r="S61" s="2">
        <f t="shared" si="5"/>
        <v>3.2716719492868473E-2</v>
      </c>
    </row>
    <row r="62" spans="2:19" x14ac:dyDescent="0.25">
      <c r="B62" s="1">
        <f t="shared" si="6"/>
        <v>56</v>
      </c>
      <c r="C62" s="1">
        <v>186</v>
      </c>
      <c r="D62" s="13">
        <v>61.4</v>
      </c>
      <c r="E62" s="1" t="s">
        <v>11</v>
      </c>
      <c r="F62" s="2">
        <v>0.42499999999999999</v>
      </c>
      <c r="G62" s="1" t="s">
        <v>12</v>
      </c>
      <c r="H62" s="1" t="s">
        <v>13</v>
      </c>
      <c r="I62" s="1" t="s">
        <v>14</v>
      </c>
      <c r="J62" s="14">
        <v>0.37087962962962961</v>
      </c>
      <c r="K62" s="15">
        <v>45537</v>
      </c>
      <c r="L62" s="15"/>
      <c r="M62" s="2">
        <v>0.27500000000000002</v>
      </c>
      <c r="O62" s="2">
        <f t="shared" si="1"/>
        <v>0.2</v>
      </c>
      <c r="P62" s="2">
        <f t="shared" si="2"/>
        <v>54.759904912836767</v>
      </c>
      <c r="Q62" s="2">
        <f t="shared" si="3"/>
        <v>0.30750000000000027</v>
      </c>
      <c r="R62" s="2">
        <f t="shared" si="4"/>
        <v>0.27381576862123636</v>
      </c>
      <c r="S62" s="2">
        <f t="shared" si="5"/>
        <v>3.3684231378763918E-2</v>
      </c>
    </row>
    <row r="63" spans="2:19" x14ac:dyDescent="0.25">
      <c r="B63" s="1">
        <f t="shared" si="6"/>
        <v>57</v>
      </c>
      <c r="C63" s="1">
        <v>187</v>
      </c>
      <c r="D63" s="13">
        <v>61.6</v>
      </c>
      <c r="E63" s="1" t="s">
        <v>11</v>
      </c>
      <c r="F63" s="2">
        <v>0.43</v>
      </c>
      <c r="G63" s="1" t="s">
        <v>12</v>
      </c>
      <c r="H63" s="1" t="s">
        <v>13</v>
      </c>
      <c r="I63" s="1" t="s">
        <v>14</v>
      </c>
      <c r="J63" s="14">
        <v>0.37087962962962961</v>
      </c>
      <c r="K63" s="15">
        <v>45537</v>
      </c>
      <c r="L63" s="15"/>
      <c r="M63" s="2">
        <v>0.28000000000000003</v>
      </c>
      <c r="O63" s="2">
        <f t="shared" si="1"/>
        <v>0.20500000000000002</v>
      </c>
      <c r="P63" s="2">
        <f t="shared" si="2"/>
        <v>54.766402535657683</v>
      </c>
      <c r="Q63" s="2">
        <f t="shared" si="3"/>
        <v>0.6165000000000006</v>
      </c>
      <c r="R63" s="2">
        <f t="shared" si="4"/>
        <v>0.54772900158478655</v>
      </c>
      <c r="S63" s="2">
        <f t="shared" si="5"/>
        <v>6.8770998415214057E-2</v>
      </c>
    </row>
    <row r="64" spans="2:19" x14ac:dyDescent="0.25">
      <c r="B64" s="1">
        <f t="shared" si="6"/>
        <v>58</v>
      </c>
      <c r="C64" s="1">
        <v>189</v>
      </c>
      <c r="D64" s="13">
        <v>61.7</v>
      </c>
      <c r="E64" s="1" t="s">
        <v>11</v>
      </c>
      <c r="F64" s="2">
        <v>0.44</v>
      </c>
      <c r="G64" s="1" t="s">
        <v>12</v>
      </c>
      <c r="H64" s="1" t="s">
        <v>13</v>
      </c>
      <c r="I64" s="1" t="s">
        <v>14</v>
      </c>
      <c r="J64" s="14">
        <v>0.37087962962962961</v>
      </c>
      <c r="K64" s="15">
        <v>45537</v>
      </c>
      <c r="L64" s="15"/>
      <c r="M64" s="2">
        <v>0.29000000000000004</v>
      </c>
      <c r="O64" s="2">
        <f t="shared" si="1"/>
        <v>0.21500000000000002</v>
      </c>
      <c r="P64" s="2">
        <f t="shared" si="2"/>
        <v>54.779397781299522</v>
      </c>
      <c r="Q64" s="2">
        <f t="shared" si="3"/>
        <v>0.3087500000000003</v>
      </c>
      <c r="R64" s="2">
        <f t="shared" si="4"/>
        <v>0.27391323296355014</v>
      </c>
      <c r="S64" s="2">
        <f t="shared" si="5"/>
        <v>3.4836767036450167E-2</v>
      </c>
    </row>
    <row r="65" spans="2:19" x14ac:dyDescent="0.25">
      <c r="B65" s="1">
        <f t="shared" si="6"/>
        <v>59</v>
      </c>
      <c r="C65" s="1">
        <v>190</v>
      </c>
      <c r="D65" s="13">
        <v>61.8</v>
      </c>
      <c r="E65" s="1" t="s">
        <v>11</v>
      </c>
      <c r="F65" s="2">
        <v>0.44500000000000001</v>
      </c>
      <c r="G65" s="1" t="s">
        <v>12</v>
      </c>
      <c r="H65" s="1" t="s">
        <v>13</v>
      </c>
      <c r="I65" s="1" t="s">
        <v>14</v>
      </c>
      <c r="J65" s="14">
        <v>0.37087962962962961</v>
      </c>
      <c r="K65" s="15">
        <v>45537</v>
      </c>
      <c r="L65" s="15"/>
      <c r="M65" s="2">
        <v>0.29500000000000004</v>
      </c>
      <c r="O65" s="2">
        <f t="shared" si="1"/>
        <v>0.22000000000000003</v>
      </c>
      <c r="P65" s="2">
        <f t="shared" si="2"/>
        <v>54.785895404120446</v>
      </c>
      <c r="Q65" s="2">
        <f t="shared" si="3"/>
        <v>0.30900000000000027</v>
      </c>
      <c r="R65" s="2">
        <f t="shared" si="4"/>
        <v>0.27394572107765475</v>
      </c>
      <c r="S65" s="2">
        <f t="shared" si="5"/>
        <v>3.5054278922345528E-2</v>
      </c>
    </row>
    <row r="66" spans="2:19" x14ac:dyDescent="0.25">
      <c r="B66" s="1">
        <f t="shared" si="6"/>
        <v>60</v>
      </c>
      <c r="C66" s="1">
        <v>192</v>
      </c>
      <c r="D66" s="13">
        <v>61.8</v>
      </c>
      <c r="E66" s="1" t="s">
        <v>11</v>
      </c>
      <c r="F66" s="2">
        <v>0.45</v>
      </c>
      <c r="G66" s="1" t="s">
        <v>12</v>
      </c>
      <c r="H66" s="1" t="s">
        <v>13</v>
      </c>
      <c r="I66" s="1" t="s">
        <v>14</v>
      </c>
      <c r="J66" s="14">
        <v>0.37087962962962961</v>
      </c>
      <c r="K66" s="15">
        <v>45537</v>
      </c>
      <c r="L66" s="15"/>
      <c r="M66" s="2">
        <v>0.30000000000000004</v>
      </c>
      <c r="O66" s="2">
        <f t="shared" si="1"/>
        <v>0.22500000000000003</v>
      </c>
      <c r="P66" s="2">
        <f t="shared" si="2"/>
        <v>54.792393026941362</v>
      </c>
      <c r="Q66" s="2">
        <f t="shared" si="3"/>
        <v>0.3097500000000003</v>
      </c>
      <c r="R66" s="2">
        <f t="shared" si="4"/>
        <v>0.27397820919175936</v>
      </c>
      <c r="S66" s="2">
        <f t="shared" si="5"/>
        <v>3.5771790808240944E-2</v>
      </c>
    </row>
    <row r="67" spans="2:19" x14ac:dyDescent="0.25">
      <c r="B67" s="1">
        <f t="shared" si="6"/>
        <v>61</v>
      </c>
      <c r="C67" s="1">
        <v>193</v>
      </c>
      <c r="D67" s="13">
        <v>62.1</v>
      </c>
      <c r="E67" s="1" t="s">
        <v>11</v>
      </c>
      <c r="F67" s="2">
        <v>0.45500000000000002</v>
      </c>
      <c r="G67" s="1" t="s">
        <v>12</v>
      </c>
      <c r="H67" s="1" t="s">
        <v>13</v>
      </c>
      <c r="I67" s="1" t="s">
        <v>14</v>
      </c>
      <c r="J67" s="14">
        <v>0.37087962962962961</v>
      </c>
      <c r="K67" s="15">
        <v>45537</v>
      </c>
      <c r="L67" s="15"/>
      <c r="M67" s="2">
        <v>0.30500000000000005</v>
      </c>
      <c r="O67" s="2">
        <f t="shared" si="1"/>
        <v>0.23000000000000004</v>
      </c>
      <c r="P67" s="2">
        <f t="shared" si="2"/>
        <v>54.798890649762285</v>
      </c>
      <c r="Q67" s="2">
        <f t="shared" si="3"/>
        <v>0.6205000000000005</v>
      </c>
      <c r="R67" s="2">
        <f t="shared" si="4"/>
        <v>0.54805388272583255</v>
      </c>
      <c r="S67" s="2">
        <f t="shared" si="5"/>
        <v>7.2446117274167943E-2</v>
      </c>
    </row>
    <row r="68" spans="2:19" x14ac:dyDescent="0.25">
      <c r="B68" s="1">
        <f t="shared" si="6"/>
        <v>62</v>
      </c>
      <c r="C68" s="1">
        <v>194</v>
      </c>
      <c r="D68" s="13">
        <v>62</v>
      </c>
      <c r="E68" s="1" t="s">
        <v>11</v>
      </c>
      <c r="F68" s="2">
        <v>0.46500000000000002</v>
      </c>
      <c r="G68" s="1" t="s">
        <v>12</v>
      </c>
      <c r="H68" s="1" t="s">
        <v>13</v>
      </c>
      <c r="I68" s="1" t="s">
        <v>14</v>
      </c>
      <c r="J68" s="14">
        <v>0.37089120370370371</v>
      </c>
      <c r="K68" s="15">
        <v>45537</v>
      </c>
      <c r="L68" s="15"/>
      <c r="M68" s="2">
        <v>0.31500000000000006</v>
      </c>
      <c r="O68" s="2">
        <f t="shared" si="1"/>
        <v>0.24000000000000005</v>
      </c>
      <c r="P68" s="2">
        <f t="shared" si="2"/>
        <v>54.811885895404117</v>
      </c>
      <c r="Q68" s="2">
        <f t="shared" si="3"/>
        <v>0.30999999999999339</v>
      </c>
      <c r="R68" s="2">
        <f t="shared" si="4"/>
        <v>0.27407567353406703</v>
      </c>
      <c r="S68" s="2">
        <f t="shared" si="5"/>
        <v>3.5924326465926359E-2</v>
      </c>
    </row>
    <row r="69" spans="2:19" x14ac:dyDescent="0.25">
      <c r="B69" s="1">
        <f t="shared" si="6"/>
        <v>63</v>
      </c>
      <c r="C69" s="1">
        <v>195</v>
      </c>
      <c r="D69" s="13">
        <v>62</v>
      </c>
      <c r="E69" s="1" t="s">
        <v>11</v>
      </c>
      <c r="F69" s="2">
        <v>0.47</v>
      </c>
      <c r="G69" s="1" t="s">
        <v>12</v>
      </c>
      <c r="H69" s="1" t="s">
        <v>13</v>
      </c>
      <c r="I69" s="1" t="s">
        <v>14</v>
      </c>
      <c r="J69" s="14">
        <v>0.37089120370370371</v>
      </c>
      <c r="K69" s="15">
        <v>45537</v>
      </c>
      <c r="L69" s="15"/>
      <c r="M69" s="2">
        <v>0.31999999999999995</v>
      </c>
      <c r="O69" s="2">
        <f t="shared" si="1"/>
        <v>0.24499999999999994</v>
      </c>
      <c r="P69" s="2">
        <f t="shared" si="2"/>
        <v>54.818383518225041</v>
      </c>
      <c r="Q69" s="2">
        <f t="shared" si="3"/>
        <v>0.31100000000000028</v>
      </c>
      <c r="R69" s="2">
        <f t="shared" si="4"/>
        <v>0.27410816164817775</v>
      </c>
      <c r="S69" s="2">
        <f t="shared" si="5"/>
        <v>3.6891838351822526E-2</v>
      </c>
    </row>
    <row r="70" spans="2:19" x14ac:dyDescent="0.25">
      <c r="B70" s="1">
        <f t="shared" si="6"/>
        <v>64</v>
      </c>
      <c r="C70" s="1">
        <v>196</v>
      </c>
      <c r="D70" s="13">
        <v>62.4</v>
      </c>
      <c r="E70" s="1" t="s">
        <v>11</v>
      </c>
      <c r="F70" s="2">
        <v>0.47499999999999998</v>
      </c>
      <c r="G70" s="1" t="s">
        <v>12</v>
      </c>
      <c r="H70" s="1" t="s">
        <v>13</v>
      </c>
      <c r="I70" s="1" t="s">
        <v>14</v>
      </c>
      <c r="J70" s="14">
        <v>0.37089120370370371</v>
      </c>
      <c r="K70" s="15">
        <v>45537</v>
      </c>
      <c r="L70" s="15"/>
      <c r="M70" s="2">
        <v>0.32499999999999996</v>
      </c>
      <c r="O70" s="2">
        <f t="shared" si="1"/>
        <v>0.24999999999999994</v>
      </c>
      <c r="P70" s="2">
        <f t="shared" si="2"/>
        <v>54.824881141045957</v>
      </c>
      <c r="Q70" s="2">
        <f t="shared" si="3"/>
        <v>0.6255000000000005</v>
      </c>
      <c r="R70" s="2">
        <f t="shared" si="4"/>
        <v>0.54831378763866934</v>
      </c>
      <c r="S70" s="2">
        <f t="shared" si="5"/>
        <v>7.7186212361331163E-2</v>
      </c>
    </row>
    <row r="71" spans="2:19" x14ac:dyDescent="0.25">
      <c r="B71" s="1">
        <f t="shared" si="6"/>
        <v>65</v>
      </c>
      <c r="C71" s="1">
        <v>197</v>
      </c>
      <c r="D71" s="13">
        <v>62.7</v>
      </c>
      <c r="E71" s="1" t="s">
        <v>11</v>
      </c>
      <c r="F71" s="2">
        <v>0.48499999999999999</v>
      </c>
      <c r="G71" s="1" t="s">
        <v>12</v>
      </c>
      <c r="H71" s="1" t="s">
        <v>13</v>
      </c>
      <c r="I71" s="1" t="s">
        <v>14</v>
      </c>
      <c r="J71" s="14">
        <v>0.37089120370370371</v>
      </c>
      <c r="K71" s="15">
        <v>45537</v>
      </c>
      <c r="L71" s="15"/>
      <c r="M71" s="2">
        <v>0.33499999999999996</v>
      </c>
      <c r="O71" s="2">
        <f t="shared" si="1"/>
        <v>0.25999999999999995</v>
      </c>
      <c r="P71" s="2">
        <f t="shared" si="2"/>
        <v>54.837876386687796</v>
      </c>
      <c r="Q71" s="2">
        <f t="shared" si="3"/>
        <v>0.31400000000000028</v>
      </c>
      <c r="R71" s="2">
        <f t="shared" si="4"/>
        <v>0.27420562599049153</v>
      </c>
      <c r="S71" s="2">
        <f t="shared" si="5"/>
        <v>3.9794374009508748E-2</v>
      </c>
    </row>
    <row r="72" spans="2:19" x14ac:dyDescent="0.25">
      <c r="B72" s="1">
        <f t="shared" si="6"/>
        <v>66</v>
      </c>
      <c r="C72" s="1">
        <v>198</v>
      </c>
      <c r="D72" s="13">
        <v>62.9</v>
      </c>
      <c r="E72" s="1" t="s">
        <v>11</v>
      </c>
      <c r="F72" s="2">
        <v>0.49</v>
      </c>
      <c r="G72" s="1" t="s">
        <v>12</v>
      </c>
      <c r="H72" s="1" t="s">
        <v>13</v>
      </c>
      <c r="I72" s="1" t="s">
        <v>14</v>
      </c>
      <c r="J72" s="14">
        <v>0.37089120370370371</v>
      </c>
      <c r="K72" s="15">
        <v>45537</v>
      </c>
      <c r="L72" s="15"/>
      <c r="M72" s="2">
        <v>0.33999999999999997</v>
      </c>
      <c r="O72" s="2">
        <f t="shared" ref="O72:O135" si="11">M72-$X$23</f>
        <v>0.26499999999999996</v>
      </c>
      <c r="P72" s="2">
        <f t="shared" ref="P72:P135" si="12">O72*$AC$21+$Y$23</f>
        <v>54.844374009508719</v>
      </c>
      <c r="Q72" s="2">
        <f t="shared" ref="Q72:Q135" si="13">((D72+D73)/2)*(M73-M72)</f>
        <v>0.31475000000000031</v>
      </c>
      <c r="R72" s="2">
        <f t="shared" ref="R72:R135" si="14">((P72+P73)/2)*(O73-O72)</f>
        <v>0.27423811410459614</v>
      </c>
      <c r="S72" s="2">
        <f t="shared" ref="S72:S135" si="15">Q72-R72</f>
        <v>4.0511885895404165E-2</v>
      </c>
    </row>
    <row r="73" spans="2:19" x14ac:dyDescent="0.25">
      <c r="B73" s="1">
        <f t="shared" ref="B73:B136" si="16">B72+1</f>
        <v>67</v>
      </c>
      <c r="C73" s="1">
        <v>199</v>
      </c>
      <c r="D73" s="13">
        <v>63</v>
      </c>
      <c r="E73" s="1" t="s">
        <v>11</v>
      </c>
      <c r="F73" s="2">
        <v>0.495</v>
      </c>
      <c r="G73" s="1" t="s">
        <v>12</v>
      </c>
      <c r="H73" s="1" t="s">
        <v>13</v>
      </c>
      <c r="I73" s="1" t="s">
        <v>14</v>
      </c>
      <c r="J73" s="14">
        <v>0.37089120370370371</v>
      </c>
      <c r="K73" s="15">
        <v>45537</v>
      </c>
      <c r="L73" s="15"/>
      <c r="M73" s="2">
        <v>0.34499999999999997</v>
      </c>
      <c r="O73" s="2">
        <f t="shared" si="11"/>
        <v>0.26999999999999996</v>
      </c>
      <c r="P73" s="2">
        <f t="shared" si="12"/>
        <v>54.850871632329635</v>
      </c>
      <c r="Q73" s="2">
        <f t="shared" si="13"/>
        <v>0.31575000000000025</v>
      </c>
      <c r="R73" s="2">
        <f t="shared" si="14"/>
        <v>0.2742706022187007</v>
      </c>
      <c r="S73" s="2">
        <f t="shared" si="15"/>
        <v>4.1479397781299554E-2</v>
      </c>
    </row>
    <row r="74" spans="2:19" x14ac:dyDescent="0.25">
      <c r="B74" s="1">
        <f t="shared" si="16"/>
        <v>68</v>
      </c>
      <c r="C74" s="1">
        <v>200</v>
      </c>
      <c r="D74" s="13">
        <v>63.3</v>
      </c>
      <c r="E74" s="1" t="s">
        <v>11</v>
      </c>
      <c r="F74" s="2">
        <v>0.5</v>
      </c>
      <c r="G74" s="1" t="s">
        <v>12</v>
      </c>
      <c r="H74" s="1" t="s">
        <v>13</v>
      </c>
      <c r="I74" s="1" t="s">
        <v>14</v>
      </c>
      <c r="J74" s="14">
        <v>0.37089120370370371</v>
      </c>
      <c r="K74" s="15">
        <v>45537</v>
      </c>
      <c r="L74" s="15"/>
      <c r="M74" s="2">
        <v>0.35</v>
      </c>
      <c r="O74" s="2">
        <f t="shared" si="11"/>
        <v>0.27499999999999997</v>
      </c>
      <c r="P74" s="2">
        <f t="shared" si="12"/>
        <v>54.857369255150552</v>
      </c>
      <c r="Q74" s="2">
        <f t="shared" si="13"/>
        <v>0.63300000000000056</v>
      </c>
      <c r="R74" s="2">
        <f t="shared" si="14"/>
        <v>0.54863866877971523</v>
      </c>
      <c r="S74" s="2">
        <f t="shared" si="15"/>
        <v>8.4361331220285329E-2</v>
      </c>
    </row>
    <row r="75" spans="2:19" x14ac:dyDescent="0.25">
      <c r="B75" s="1">
        <f t="shared" si="16"/>
        <v>69</v>
      </c>
      <c r="C75" s="1">
        <v>201</v>
      </c>
      <c r="D75" s="13">
        <v>63.3</v>
      </c>
      <c r="E75" s="1" t="s">
        <v>11</v>
      </c>
      <c r="F75" s="2">
        <v>0.51</v>
      </c>
      <c r="G75" s="1" t="s">
        <v>12</v>
      </c>
      <c r="H75" s="1" t="s">
        <v>13</v>
      </c>
      <c r="I75" s="1" t="s">
        <v>14</v>
      </c>
      <c r="J75" s="14">
        <v>0.37089120370370371</v>
      </c>
      <c r="K75" s="15">
        <v>45537</v>
      </c>
      <c r="L75" s="15"/>
      <c r="M75" s="2">
        <v>0.36</v>
      </c>
      <c r="O75" s="2">
        <f t="shared" si="11"/>
        <v>0.28499999999999998</v>
      </c>
      <c r="P75" s="2">
        <f t="shared" si="12"/>
        <v>54.870364500792391</v>
      </c>
      <c r="Q75" s="2">
        <f t="shared" si="13"/>
        <v>0.31675000000000025</v>
      </c>
      <c r="R75" s="2">
        <f t="shared" si="14"/>
        <v>0.27436806656101448</v>
      </c>
      <c r="S75" s="2">
        <f t="shared" si="15"/>
        <v>4.2381933438985775E-2</v>
      </c>
    </row>
    <row r="76" spans="2:19" x14ac:dyDescent="0.25">
      <c r="B76" s="1">
        <f t="shared" si="16"/>
        <v>70</v>
      </c>
      <c r="C76" s="1">
        <v>202</v>
      </c>
      <c r="D76" s="13">
        <v>63.4</v>
      </c>
      <c r="E76" s="1" t="s">
        <v>11</v>
      </c>
      <c r="F76" s="2">
        <v>0.51500000000000001</v>
      </c>
      <c r="G76" s="1" t="s">
        <v>12</v>
      </c>
      <c r="H76" s="1" t="s">
        <v>13</v>
      </c>
      <c r="I76" s="1" t="s">
        <v>14</v>
      </c>
      <c r="J76" s="14">
        <v>0.37089120370370371</v>
      </c>
      <c r="K76" s="15">
        <v>45537</v>
      </c>
      <c r="L76" s="15"/>
      <c r="M76" s="2">
        <v>0.36499999999999999</v>
      </c>
      <c r="O76" s="2">
        <f t="shared" si="11"/>
        <v>0.28999999999999998</v>
      </c>
      <c r="P76" s="2">
        <f t="shared" si="12"/>
        <v>54.876862123613314</v>
      </c>
      <c r="Q76" s="2">
        <f t="shared" si="13"/>
        <v>0.31725000000000031</v>
      </c>
      <c r="R76" s="2">
        <f t="shared" si="14"/>
        <v>0.27440055467511909</v>
      </c>
      <c r="S76" s="2">
        <f t="shared" si="15"/>
        <v>4.2849445324881219E-2</v>
      </c>
    </row>
    <row r="77" spans="2:19" x14ac:dyDescent="0.25">
      <c r="B77" s="1">
        <f t="shared" si="16"/>
        <v>71</v>
      </c>
      <c r="C77" s="1">
        <v>203</v>
      </c>
      <c r="D77" s="13">
        <v>63.5</v>
      </c>
      <c r="E77" s="1" t="s">
        <v>11</v>
      </c>
      <c r="F77" s="2">
        <v>0.52</v>
      </c>
      <c r="G77" s="1" t="s">
        <v>12</v>
      </c>
      <c r="H77" s="1" t="s">
        <v>13</v>
      </c>
      <c r="I77" s="1" t="s">
        <v>14</v>
      </c>
      <c r="J77" s="14">
        <v>0.37089120370370371</v>
      </c>
      <c r="K77" s="15">
        <v>45537</v>
      </c>
      <c r="L77" s="15"/>
      <c r="M77" s="2">
        <v>0.37</v>
      </c>
      <c r="O77" s="2">
        <f t="shared" si="11"/>
        <v>0.29499999999999998</v>
      </c>
      <c r="P77" s="2">
        <f t="shared" si="12"/>
        <v>54.88335974643423</v>
      </c>
      <c r="Q77" s="2">
        <f t="shared" si="13"/>
        <v>0.31750000000000028</v>
      </c>
      <c r="R77" s="2">
        <f t="shared" si="14"/>
        <v>0.2744330427892237</v>
      </c>
      <c r="S77" s="2">
        <f t="shared" si="15"/>
        <v>4.306695721077658E-2</v>
      </c>
    </row>
    <row r="78" spans="2:19" x14ac:dyDescent="0.25">
      <c r="B78" s="1">
        <f t="shared" si="16"/>
        <v>72</v>
      </c>
      <c r="C78" s="1">
        <v>204</v>
      </c>
      <c r="D78" s="13">
        <v>63.5</v>
      </c>
      <c r="E78" s="1" t="s">
        <v>11</v>
      </c>
      <c r="F78" s="2">
        <v>0.52500000000000002</v>
      </c>
      <c r="G78" s="1" t="s">
        <v>12</v>
      </c>
      <c r="H78" s="1" t="s">
        <v>13</v>
      </c>
      <c r="I78" s="1" t="s">
        <v>14</v>
      </c>
      <c r="J78" s="14">
        <v>0.3709027777777778</v>
      </c>
      <c r="K78" s="15">
        <v>45537</v>
      </c>
      <c r="L78" s="15"/>
      <c r="M78" s="2">
        <v>0.375</v>
      </c>
      <c r="O78" s="2">
        <f t="shared" si="11"/>
        <v>0.3</v>
      </c>
      <c r="P78" s="2">
        <f t="shared" si="12"/>
        <v>54.889857369255154</v>
      </c>
      <c r="Q78" s="2">
        <f t="shared" si="13"/>
        <v>0.31800000000000028</v>
      </c>
      <c r="R78" s="2">
        <f t="shared" si="14"/>
        <v>0.27446553090332831</v>
      </c>
      <c r="S78" s="2">
        <f t="shared" si="15"/>
        <v>4.3534469096671968E-2</v>
      </c>
    </row>
    <row r="79" spans="2:19" x14ac:dyDescent="0.25">
      <c r="B79" s="1">
        <f t="shared" si="16"/>
        <v>73</v>
      </c>
      <c r="C79" s="1">
        <v>205</v>
      </c>
      <c r="D79" s="13">
        <v>63.7</v>
      </c>
      <c r="E79" s="1" t="s">
        <v>11</v>
      </c>
      <c r="F79" s="2">
        <v>0.53</v>
      </c>
      <c r="G79" s="1" t="s">
        <v>12</v>
      </c>
      <c r="H79" s="1" t="s">
        <v>13</v>
      </c>
      <c r="I79" s="1" t="s">
        <v>14</v>
      </c>
      <c r="J79" s="14">
        <v>0.3709027777777778</v>
      </c>
      <c r="K79" s="15">
        <v>45537</v>
      </c>
      <c r="L79" s="15"/>
      <c r="M79" s="2">
        <v>0.38</v>
      </c>
      <c r="O79" s="2">
        <f t="shared" si="11"/>
        <v>0.30499999999999999</v>
      </c>
      <c r="P79" s="2">
        <f t="shared" si="12"/>
        <v>54.89635499207607</v>
      </c>
      <c r="Q79" s="2">
        <f t="shared" si="13"/>
        <v>0.31900000000000028</v>
      </c>
      <c r="R79" s="2">
        <f t="shared" si="14"/>
        <v>0.27449801901743287</v>
      </c>
      <c r="S79" s="2">
        <f t="shared" si="15"/>
        <v>4.4501980982567413E-2</v>
      </c>
    </row>
    <row r="80" spans="2:19" x14ac:dyDescent="0.25">
      <c r="B80" s="1">
        <f t="shared" si="16"/>
        <v>74</v>
      </c>
      <c r="C80" s="1">
        <v>206</v>
      </c>
      <c r="D80" s="13">
        <v>63.9</v>
      </c>
      <c r="E80" s="1" t="s">
        <v>11</v>
      </c>
      <c r="F80" s="2">
        <v>0.53500000000000003</v>
      </c>
      <c r="G80" s="1" t="s">
        <v>12</v>
      </c>
      <c r="H80" s="1" t="s">
        <v>13</v>
      </c>
      <c r="I80" s="1" t="s">
        <v>14</v>
      </c>
      <c r="J80" s="14">
        <v>0.3709027777777778</v>
      </c>
      <c r="K80" s="15">
        <v>45537</v>
      </c>
      <c r="L80" s="15"/>
      <c r="M80" s="2">
        <v>0.38500000000000001</v>
      </c>
      <c r="O80" s="2">
        <f t="shared" si="11"/>
        <v>0.31</v>
      </c>
      <c r="P80" s="2">
        <f t="shared" si="12"/>
        <v>54.902852614896986</v>
      </c>
      <c r="Q80" s="2">
        <f t="shared" si="13"/>
        <v>0.31975000000000031</v>
      </c>
      <c r="R80" s="2">
        <f t="shared" si="14"/>
        <v>0.27453050713153748</v>
      </c>
      <c r="S80" s="2">
        <f t="shared" si="15"/>
        <v>4.5219492868462829E-2</v>
      </c>
    </row>
    <row r="81" spans="2:19" x14ac:dyDescent="0.25">
      <c r="B81" s="1">
        <f t="shared" si="16"/>
        <v>75</v>
      </c>
      <c r="C81" s="1">
        <v>207</v>
      </c>
      <c r="D81" s="13">
        <v>64</v>
      </c>
      <c r="E81" s="1" t="s">
        <v>11</v>
      </c>
      <c r="F81" s="2">
        <v>0.54</v>
      </c>
      <c r="G81" s="1" t="s">
        <v>12</v>
      </c>
      <c r="H81" s="1" t="s">
        <v>13</v>
      </c>
      <c r="I81" s="1" t="s">
        <v>14</v>
      </c>
      <c r="J81" s="14">
        <v>0.3709027777777778</v>
      </c>
      <c r="K81" s="15">
        <v>45537</v>
      </c>
      <c r="L81" s="15"/>
      <c r="M81" s="2">
        <v>0.39</v>
      </c>
      <c r="O81" s="2">
        <f t="shared" si="11"/>
        <v>0.315</v>
      </c>
      <c r="P81" s="2">
        <f t="shared" si="12"/>
        <v>54.909350237717909</v>
      </c>
      <c r="Q81" s="2">
        <f t="shared" si="13"/>
        <v>0.32000000000000028</v>
      </c>
      <c r="R81" s="2">
        <f t="shared" si="14"/>
        <v>0.27456299524564209</v>
      </c>
      <c r="S81" s="2">
        <f t="shared" si="15"/>
        <v>4.543700475435819E-2</v>
      </c>
    </row>
    <row r="82" spans="2:19" x14ac:dyDescent="0.25">
      <c r="B82" s="1">
        <f t="shared" si="16"/>
        <v>76</v>
      </c>
      <c r="C82" s="1">
        <v>208</v>
      </c>
      <c r="D82" s="13">
        <v>64</v>
      </c>
      <c r="E82" s="1" t="s">
        <v>11</v>
      </c>
      <c r="F82" s="2">
        <v>0.54500000000000004</v>
      </c>
      <c r="G82" s="1" t="s">
        <v>12</v>
      </c>
      <c r="H82" s="1" t="s">
        <v>13</v>
      </c>
      <c r="I82" s="1" t="s">
        <v>14</v>
      </c>
      <c r="J82" s="14">
        <v>0.3709027777777778</v>
      </c>
      <c r="K82" s="15">
        <v>45537</v>
      </c>
      <c r="L82" s="15"/>
      <c r="M82" s="2">
        <v>0.39500000000000002</v>
      </c>
      <c r="O82" s="2">
        <f t="shared" si="11"/>
        <v>0.32</v>
      </c>
      <c r="P82" s="2">
        <f t="shared" si="12"/>
        <v>54.915847860538825</v>
      </c>
      <c r="Q82" s="2">
        <f t="shared" si="13"/>
        <v>0.32025000000000026</v>
      </c>
      <c r="R82" s="2">
        <f t="shared" si="14"/>
        <v>0.27459548335974671</v>
      </c>
      <c r="S82" s="2">
        <f t="shared" si="15"/>
        <v>4.5654516640253551E-2</v>
      </c>
    </row>
    <row r="83" spans="2:19" x14ac:dyDescent="0.25">
      <c r="B83" s="1">
        <f t="shared" si="16"/>
        <v>77</v>
      </c>
      <c r="C83" s="1">
        <v>209</v>
      </c>
      <c r="D83" s="13">
        <v>64.099999999999994</v>
      </c>
      <c r="E83" s="1" t="s">
        <v>11</v>
      </c>
      <c r="F83" s="2">
        <v>0.55000000000000004</v>
      </c>
      <c r="G83" s="1" t="s">
        <v>12</v>
      </c>
      <c r="H83" s="1" t="s">
        <v>13</v>
      </c>
      <c r="I83" s="1" t="s">
        <v>14</v>
      </c>
      <c r="J83" s="14">
        <v>0.3709027777777778</v>
      </c>
      <c r="K83" s="15">
        <v>45537</v>
      </c>
      <c r="L83" s="15"/>
      <c r="M83" s="2">
        <v>0.4</v>
      </c>
      <c r="O83" s="2">
        <f t="shared" si="11"/>
        <v>0.32500000000000001</v>
      </c>
      <c r="P83" s="2">
        <f t="shared" si="12"/>
        <v>54.922345483359749</v>
      </c>
      <c r="Q83" s="2">
        <f t="shared" si="13"/>
        <v>0.32075000000000031</v>
      </c>
      <c r="R83" s="2">
        <f t="shared" si="14"/>
        <v>0.27462797147385126</v>
      </c>
      <c r="S83" s="2">
        <f t="shared" si="15"/>
        <v>4.612202852614905E-2</v>
      </c>
    </row>
    <row r="84" spans="2:19" x14ac:dyDescent="0.25">
      <c r="B84" s="1">
        <f t="shared" si="16"/>
        <v>78</v>
      </c>
      <c r="C84" s="1">
        <v>210</v>
      </c>
      <c r="D84" s="13">
        <v>64.2</v>
      </c>
      <c r="E84" s="1" t="s">
        <v>11</v>
      </c>
      <c r="F84" s="2">
        <v>0.55500000000000005</v>
      </c>
      <c r="G84" s="1" t="s">
        <v>12</v>
      </c>
      <c r="H84" s="1" t="s">
        <v>13</v>
      </c>
      <c r="I84" s="1" t="s">
        <v>14</v>
      </c>
      <c r="J84" s="14">
        <v>0.3709027777777778</v>
      </c>
      <c r="K84" s="15">
        <v>45537</v>
      </c>
      <c r="L84" s="15"/>
      <c r="M84" s="2">
        <v>0.40500000000000003</v>
      </c>
      <c r="O84" s="2">
        <f t="shared" si="11"/>
        <v>0.33</v>
      </c>
      <c r="P84" s="2">
        <f t="shared" si="12"/>
        <v>54.928843106180665</v>
      </c>
      <c r="Q84" s="2">
        <f t="shared" si="13"/>
        <v>0.32075000000000031</v>
      </c>
      <c r="R84" s="2">
        <f t="shared" si="14"/>
        <v>0.27466045958795587</v>
      </c>
      <c r="S84" s="2">
        <f t="shared" si="15"/>
        <v>4.6089540412044439E-2</v>
      </c>
    </row>
    <row r="85" spans="2:19" x14ac:dyDescent="0.25">
      <c r="B85" s="1">
        <f t="shared" si="16"/>
        <v>79</v>
      </c>
      <c r="C85" s="1">
        <v>211</v>
      </c>
      <c r="D85" s="13">
        <v>64.099999999999994</v>
      </c>
      <c r="E85" s="1" t="s">
        <v>11</v>
      </c>
      <c r="F85" s="2">
        <v>0.56000000000000005</v>
      </c>
      <c r="G85" s="1" t="s">
        <v>12</v>
      </c>
      <c r="H85" s="1" t="s">
        <v>13</v>
      </c>
      <c r="I85" s="1" t="s">
        <v>14</v>
      </c>
      <c r="J85" s="14">
        <v>0.3709027777777778</v>
      </c>
      <c r="K85" s="15">
        <v>45537</v>
      </c>
      <c r="L85" s="15"/>
      <c r="M85" s="2">
        <v>0.41000000000000003</v>
      </c>
      <c r="O85" s="2">
        <f t="shared" si="11"/>
        <v>0.33500000000000002</v>
      </c>
      <c r="P85" s="2">
        <f t="shared" si="12"/>
        <v>54.935340729001588</v>
      </c>
      <c r="Q85" s="2">
        <f t="shared" si="13"/>
        <v>0.32024999999999315</v>
      </c>
      <c r="R85" s="2">
        <f t="shared" si="14"/>
        <v>0.27469294770205438</v>
      </c>
      <c r="S85" s="2">
        <f t="shared" si="15"/>
        <v>4.5557052297938772E-2</v>
      </c>
    </row>
    <row r="86" spans="2:19" x14ac:dyDescent="0.25">
      <c r="B86" s="1">
        <f t="shared" si="16"/>
        <v>80</v>
      </c>
      <c r="C86" s="1">
        <v>212</v>
      </c>
      <c r="D86" s="13">
        <v>64</v>
      </c>
      <c r="E86" s="1" t="s">
        <v>11</v>
      </c>
      <c r="F86" s="2">
        <v>0.56499999999999995</v>
      </c>
      <c r="G86" s="1" t="s">
        <v>12</v>
      </c>
      <c r="H86" s="1" t="s">
        <v>13</v>
      </c>
      <c r="I86" s="1" t="s">
        <v>14</v>
      </c>
      <c r="J86" s="14">
        <v>0.3709027777777778</v>
      </c>
      <c r="K86" s="15">
        <v>45537</v>
      </c>
      <c r="L86" s="15"/>
      <c r="M86" s="2">
        <v>0.41499999999999992</v>
      </c>
      <c r="O86" s="2">
        <f t="shared" si="11"/>
        <v>0.33999999999999991</v>
      </c>
      <c r="P86" s="2">
        <f t="shared" si="12"/>
        <v>54.941838351822504</v>
      </c>
      <c r="Q86" s="2">
        <f t="shared" si="13"/>
        <v>0.63900000000000057</v>
      </c>
      <c r="R86" s="2">
        <f t="shared" si="14"/>
        <v>0.54948335974643481</v>
      </c>
      <c r="S86" s="2">
        <f t="shared" si="15"/>
        <v>8.951664025356576E-2</v>
      </c>
    </row>
    <row r="87" spans="2:19" x14ac:dyDescent="0.25">
      <c r="B87" s="1">
        <f t="shared" si="16"/>
        <v>81</v>
      </c>
      <c r="C87" s="1">
        <v>213</v>
      </c>
      <c r="D87" s="13">
        <v>63.8</v>
      </c>
      <c r="E87" s="1" t="s">
        <v>11</v>
      </c>
      <c r="F87" s="2">
        <v>0.57499999999999996</v>
      </c>
      <c r="G87" s="1" t="s">
        <v>12</v>
      </c>
      <c r="H87" s="1" t="s">
        <v>13</v>
      </c>
      <c r="I87" s="1" t="s">
        <v>14</v>
      </c>
      <c r="J87" s="14">
        <v>0.3709027777777778</v>
      </c>
      <c r="K87" s="15">
        <v>45537</v>
      </c>
      <c r="L87" s="15"/>
      <c r="M87" s="2">
        <v>0.42499999999999993</v>
      </c>
      <c r="O87" s="2">
        <f t="shared" si="11"/>
        <v>0.34999999999999992</v>
      </c>
      <c r="P87" s="2">
        <f t="shared" si="12"/>
        <v>54.954833597464344</v>
      </c>
      <c r="Q87" s="2">
        <f t="shared" si="13"/>
        <v>0.31975000000000026</v>
      </c>
      <c r="R87" s="2">
        <f t="shared" si="14"/>
        <v>0.27479041204437427</v>
      </c>
      <c r="S87" s="2">
        <f t="shared" si="15"/>
        <v>4.495958795562599E-2</v>
      </c>
    </row>
    <row r="88" spans="2:19" x14ac:dyDescent="0.25">
      <c r="B88" s="1">
        <f t="shared" si="16"/>
        <v>82</v>
      </c>
      <c r="C88" s="1">
        <v>214</v>
      </c>
      <c r="D88" s="13">
        <v>64.099999999999994</v>
      </c>
      <c r="E88" s="1" t="s">
        <v>11</v>
      </c>
      <c r="F88" s="2">
        <v>0.57999999999999996</v>
      </c>
      <c r="G88" s="1" t="s">
        <v>12</v>
      </c>
      <c r="H88" s="1" t="s">
        <v>13</v>
      </c>
      <c r="I88" s="1" t="s">
        <v>14</v>
      </c>
      <c r="J88" s="14">
        <v>0.37091435185185184</v>
      </c>
      <c r="K88" s="15">
        <v>45537</v>
      </c>
      <c r="L88" s="15"/>
      <c r="M88" s="2">
        <v>0.42999999999999994</v>
      </c>
      <c r="O88" s="2">
        <f t="shared" si="11"/>
        <v>0.35499999999999993</v>
      </c>
      <c r="P88" s="2">
        <f t="shared" si="12"/>
        <v>54.96133122028526</v>
      </c>
      <c r="Q88" s="2">
        <f t="shared" si="13"/>
        <v>0.32025000000000026</v>
      </c>
      <c r="R88" s="2">
        <f t="shared" si="14"/>
        <v>0.27482290015847882</v>
      </c>
      <c r="S88" s="2">
        <f t="shared" si="15"/>
        <v>4.5427099841521434E-2</v>
      </c>
    </row>
    <row r="89" spans="2:19" x14ac:dyDescent="0.25">
      <c r="B89" s="1">
        <f t="shared" si="16"/>
        <v>83</v>
      </c>
      <c r="C89" s="1">
        <v>215</v>
      </c>
      <c r="D89" s="13">
        <v>64</v>
      </c>
      <c r="E89" s="1" t="s">
        <v>11</v>
      </c>
      <c r="F89" s="2">
        <v>0.58499999999999996</v>
      </c>
      <c r="G89" s="1" t="s">
        <v>12</v>
      </c>
      <c r="H89" s="1" t="s">
        <v>13</v>
      </c>
      <c r="I89" s="1" t="s">
        <v>14</v>
      </c>
      <c r="J89" s="14">
        <v>0.37091435185185184</v>
      </c>
      <c r="K89" s="15">
        <v>45537</v>
      </c>
      <c r="L89" s="15"/>
      <c r="M89" s="2">
        <v>0.43499999999999994</v>
      </c>
      <c r="O89" s="2">
        <f t="shared" si="11"/>
        <v>0.35999999999999993</v>
      </c>
      <c r="P89" s="2">
        <f t="shared" si="12"/>
        <v>54.967828843106183</v>
      </c>
      <c r="Q89" s="2">
        <f t="shared" si="13"/>
        <v>0.32025000000000026</v>
      </c>
      <c r="R89" s="2">
        <f t="shared" si="14"/>
        <v>0.27485538827258343</v>
      </c>
      <c r="S89" s="2">
        <f t="shared" si="15"/>
        <v>4.5394611727416823E-2</v>
      </c>
    </row>
    <row r="90" spans="2:19" x14ac:dyDescent="0.25">
      <c r="B90" s="1">
        <f t="shared" si="16"/>
        <v>84</v>
      </c>
      <c r="C90" s="1">
        <v>216</v>
      </c>
      <c r="D90" s="13">
        <v>64.099999999999994</v>
      </c>
      <c r="E90" s="1" t="s">
        <v>11</v>
      </c>
      <c r="F90" s="2">
        <v>0.59</v>
      </c>
      <c r="G90" s="1" t="s">
        <v>12</v>
      </c>
      <c r="H90" s="1" t="s">
        <v>13</v>
      </c>
      <c r="I90" s="1" t="s">
        <v>14</v>
      </c>
      <c r="J90" s="14">
        <v>0.37091435185185184</v>
      </c>
      <c r="K90" s="15">
        <v>45537</v>
      </c>
      <c r="L90" s="15"/>
      <c r="M90" s="2">
        <v>0.43999999999999995</v>
      </c>
      <c r="O90" s="2">
        <f t="shared" si="11"/>
        <v>0.36499999999999994</v>
      </c>
      <c r="P90" s="2">
        <f t="shared" si="12"/>
        <v>54.974326465927099</v>
      </c>
      <c r="Q90" s="2">
        <f t="shared" si="13"/>
        <v>0.32100000000000023</v>
      </c>
      <c r="R90" s="2">
        <f t="shared" si="14"/>
        <v>0.27488787638668805</v>
      </c>
      <c r="S90" s="2">
        <f t="shared" si="15"/>
        <v>4.6112123613312184E-2</v>
      </c>
    </row>
    <row r="91" spans="2:19" x14ac:dyDescent="0.25">
      <c r="B91" s="1">
        <f t="shared" si="16"/>
        <v>85</v>
      </c>
      <c r="C91" s="1">
        <v>217</v>
      </c>
      <c r="D91" s="13">
        <v>64.3</v>
      </c>
      <c r="E91" s="1" t="s">
        <v>11</v>
      </c>
      <c r="F91" s="2">
        <v>0.59499999999999997</v>
      </c>
      <c r="G91" s="1" t="s">
        <v>12</v>
      </c>
      <c r="H91" s="1" t="s">
        <v>13</v>
      </c>
      <c r="I91" s="1" t="s">
        <v>14</v>
      </c>
      <c r="J91" s="14">
        <v>0.37091435185185184</v>
      </c>
      <c r="K91" s="15">
        <v>45537</v>
      </c>
      <c r="L91" s="15"/>
      <c r="M91" s="2">
        <v>0.44499999999999995</v>
      </c>
      <c r="O91" s="2">
        <f t="shared" si="11"/>
        <v>0.36999999999999994</v>
      </c>
      <c r="P91" s="2">
        <f t="shared" si="12"/>
        <v>54.980824088748022</v>
      </c>
      <c r="Q91" s="2">
        <f t="shared" si="13"/>
        <v>0.32150000000000029</v>
      </c>
      <c r="R91" s="2">
        <f t="shared" si="14"/>
        <v>0.27492036450079266</v>
      </c>
      <c r="S91" s="2">
        <f t="shared" si="15"/>
        <v>4.6579635499207628E-2</v>
      </c>
    </row>
    <row r="92" spans="2:19" x14ac:dyDescent="0.25">
      <c r="B92" s="1">
        <f t="shared" si="16"/>
        <v>86</v>
      </c>
      <c r="C92" s="1">
        <v>218</v>
      </c>
      <c r="D92" s="13">
        <v>64.3</v>
      </c>
      <c r="E92" s="1" t="s">
        <v>11</v>
      </c>
      <c r="F92" s="2">
        <v>0.6</v>
      </c>
      <c r="G92" s="1" t="s">
        <v>12</v>
      </c>
      <c r="H92" s="1" t="s">
        <v>13</v>
      </c>
      <c r="I92" s="1" t="s">
        <v>14</v>
      </c>
      <c r="J92" s="14">
        <v>0.37091435185185184</v>
      </c>
      <c r="K92" s="15">
        <v>45537</v>
      </c>
      <c r="L92" s="15"/>
      <c r="M92" s="2">
        <v>0.44999999999999996</v>
      </c>
      <c r="O92" s="2">
        <f t="shared" si="11"/>
        <v>0.37499999999999994</v>
      </c>
      <c r="P92" s="2">
        <f t="shared" si="12"/>
        <v>54.987321711568939</v>
      </c>
      <c r="Q92" s="2">
        <f t="shared" si="13"/>
        <v>0.32150000000000029</v>
      </c>
      <c r="R92" s="2">
        <f t="shared" si="14"/>
        <v>0.27495285261489721</v>
      </c>
      <c r="S92" s="2">
        <f t="shared" si="15"/>
        <v>4.6547147385103071E-2</v>
      </c>
    </row>
    <row r="93" spans="2:19" x14ac:dyDescent="0.25">
      <c r="B93" s="1">
        <f t="shared" si="16"/>
        <v>87</v>
      </c>
      <c r="C93" s="1">
        <v>219</v>
      </c>
      <c r="D93" s="13">
        <v>64.3</v>
      </c>
      <c r="E93" s="1" t="s">
        <v>11</v>
      </c>
      <c r="F93" s="2">
        <v>0.60499999999999998</v>
      </c>
      <c r="G93" s="1" t="s">
        <v>12</v>
      </c>
      <c r="H93" s="1" t="s">
        <v>13</v>
      </c>
      <c r="I93" s="1" t="s">
        <v>14</v>
      </c>
      <c r="J93" s="14">
        <v>0.37091435185185184</v>
      </c>
      <c r="K93" s="15">
        <v>45537</v>
      </c>
      <c r="L93" s="15"/>
      <c r="M93" s="2">
        <v>0.45499999999999996</v>
      </c>
      <c r="O93" s="2">
        <f t="shared" si="11"/>
        <v>0.37999999999999995</v>
      </c>
      <c r="P93" s="2">
        <f t="shared" si="12"/>
        <v>54.993819334389855</v>
      </c>
      <c r="Q93" s="2">
        <f t="shared" si="13"/>
        <v>0.32125000000000026</v>
      </c>
      <c r="R93" s="2">
        <f t="shared" si="14"/>
        <v>0.27498534072900183</v>
      </c>
      <c r="S93" s="2">
        <f t="shared" si="15"/>
        <v>4.6264659270998432E-2</v>
      </c>
    </row>
    <row r="94" spans="2:19" x14ac:dyDescent="0.25">
      <c r="B94" s="1">
        <f t="shared" si="16"/>
        <v>88</v>
      </c>
      <c r="C94" s="1">
        <v>220</v>
      </c>
      <c r="D94" s="13">
        <v>64.2</v>
      </c>
      <c r="E94" s="1" t="s">
        <v>11</v>
      </c>
      <c r="F94" s="2">
        <v>0.61</v>
      </c>
      <c r="G94" s="1" t="s">
        <v>12</v>
      </c>
      <c r="H94" s="1" t="s">
        <v>13</v>
      </c>
      <c r="I94" s="1" t="s">
        <v>14</v>
      </c>
      <c r="J94" s="14">
        <v>0.37091435185185184</v>
      </c>
      <c r="K94" s="15">
        <v>45537</v>
      </c>
      <c r="L94" s="15"/>
      <c r="M94" s="2">
        <v>0.45999999999999996</v>
      </c>
      <c r="O94" s="2">
        <f t="shared" si="11"/>
        <v>0.38499999999999995</v>
      </c>
      <c r="P94" s="2">
        <f t="shared" si="12"/>
        <v>55.000316957210778</v>
      </c>
      <c r="Q94" s="2">
        <f t="shared" si="13"/>
        <v>0.64150000000000063</v>
      </c>
      <c r="R94" s="2">
        <f t="shared" si="14"/>
        <v>0.55006814580031749</v>
      </c>
      <c r="S94" s="2">
        <f t="shared" si="15"/>
        <v>9.1431854199683138E-2</v>
      </c>
    </row>
    <row r="95" spans="2:19" x14ac:dyDescent="0.25">
      <c r="B95" s="1">
        <f t="shared" si="16"/>
        <v>89</v>
      </c>
      <c r="C95" s="1">
        <v>221</v>
      </c>
      <c r="D95" s="13">
        <v>64.099999999999994</v>
      </c>
      <c r="E95" s="1" t="s">
        <v>11</v>
      </c>
      <c r="F95" s="2">
        <v>0.62</v>
      </c>
      <c r="G95" s="1" t="s">
        <v>12</v>
      </c>
      <c r="H95" s="1" t="s">
        <v>13</v>
      </c>
      <c r="I95" s="1" t="s">
        <v>14</v>
      </c>
      <c r="J95" s="14">
        <v>0.37091435185185184</v>
      </c>
      <c r="K95" s="15">
        <v>45537</v>
      </c>
      <c r="L95" s="15"/>
      <c r="M95" s="2">
        <v>0.47</v>
      </c>
      <c r="O95" s="2">
        <f t="shared" si="11"/>
        <v>0.39499999999999996</v>
      </c>
      <c r="P95" s="2">
        <f t="shared" si="12"/>
        <v>55.013312202852617</v>
      </c>
      <c r="Q95" s="2">
        <f t="shared" si="13"/>
        <v>0.32075000000000031</v>
      </c>
      <c r="R95" s="2">
        <f t="shared" si="14"/>
        <v>0.27508280507131561</v>
      </c>
      <c r="S95" s="2">
        <f t="shared" si="15"/>
        <v>4.5667194928684707E-2</v>
      </c>
    </row>
    <row r="96" spans="2:19" x14ac:dyDescent="0.25">
      <c r="B96" s="1">
        <f t="shared" si="16"/>
        <v>90</v>
      </c>
      <c r="C96" s="1">
        <v>222</v>
      </c>
      <c r="D96" s="13">
        <v>64.2</v>
      </c>
      <c r="E96" s="1" t="s">
        <v>11</v>
      </c>
      <c r="F96" s="2">
        <v>0.625</v>
      </c>
      <c r="G96" s="1" t="s">
        <v>12</v>
      </c>
      <c r="H96" s="1" t="s">
        <v>13</v>
      </c>
      <c r="I96" s="1" t="s">
        <v>14</v>
      </c>
      <c r="J96" s="14">
        <v>0.37091435185185184</v>
      </c>
      <c r="K96" s="15">
        <v>45537</v>
      </c>
      <c r="L96" s="15"/>
      <c r="M96" s="2">
        <v>0.47499999999999998</v>
      </c>
      <c r="O96" s="2">
        <f t="shared" si="11"/>
        <v>0.39999999999999997</v>
      </c>
      <c r="P96" s="2">
        <f t="shared" si="12"/>
        <v>55.019809825673534</v>
      </c>
      <c r="Q96" s="2">
        <f t="shared" si="13"/>
        <v>0.32100000000000029</v>
      </c>
      <c r="R96" s="2">
        <f t="shared" si="14"/>
        <v>0.27511529318542022</v>
      </c>
      <c r="S96" s="2">
        <f t="shared" si="15"/>
        <v>4.5884706814580067E-2</v>
      </c>
    </row>
    <row r="97" spans="2:19" x14ac:dyDescent="0.25">
      <c r="B97" s="1">
        <f t="shared" si="16"/>
        <v>91</v>
      </c>
      <c r="C97" s="1">
        <v>224</v>
      </c>
      <c r="D97" s="13">
        <v>64.2</v>
      </c>
      <c r="E97" s="1" t="s">
        <v>11</v>
      </c>
      <c r="F97" s="2">
        <v>0.63</v>
      </c>
      <c r="G97" s="1" t="s">
        <v>12</v>
      </c>
      <c r="H97" s="1" t="s">
        <v>13</v>
      </c>
      <c r="I97" s="1" t="s">
        <v>14</v>
      </c>
      <c r="J97" s="14">
        <v>0.37092592592592594</v>
      </c>
      <c r="K97" s="15">
        <v>45537</v>
      </c>
      <c r="L97" s="15"/>
      <c r="M97" s="2">
        <v>0.48</v>
      </c>
      <c r="O97" s="2">
        <f t="shared" si="11"/>
        <v>0.40499999999999997</v>
      </c>
      <c r="P97" s="2">
        <f t="shared" si="12"/>
        <v>55.026307448494457</v>
      </c>
      <c r="Q97" s="2">
        <f t="shared" si="13"/>
        <v>0.32075000000000031</v>
      </c>
      <c r="R97" s="2">
        <f t="shared" si="14"/>
        <v>0.27514778129952483</v>
      </c>
      <c r="S97" s="2">
        <f t="shared" si="15"/>
        <v>4.5602218700475483E-2</v>
      </c>
    </row>
    <row r="98" spans="2:19" x14ac:dyDescent="0.25">
      <c r="B98" s="1">
        <f t="shared" si="16"/>
        <v>92</v>
      </c>
      <c r="C98" s="1">
        <v>226</v>
      </c>
      <c r="D98" s="13">
        <v>64.099999999999994</v>
      </c>
      <c r="E98" s="1" t="s">
        <v>11</v>
      </c>
      <c r="F98" s="2">
        <v>0.63500000000000001</v>
      </c>
      <c r="G98" s="1" t="s">
        <v>12</v>
      </c>
      <c r="H98" s="1" t="s">
        <v>13</v>
      </c>
      <c r="I98" s="1" t="s">
        <v>14</v>
      </c>
      <c r="J98" s="14">
        <v>0.37092592592592594</v>
      </c>
      <c r="K98" s="15">
        <v>45537</v>
      </c>
      <c r="L98" s="15"/>
      <c r="M98" s="2">
        <v>0.48499999999999999</v>
      </c>
      <c r="O98" s="2">
        <f t="shared" si="11"/>
        <v>0.41</v>
      </c>
      <c r="P98" s="2">
        <f t="shared" si="12"/>
        <v>55.032805071315373</v>
      </c>
      <c r="Q98" s="2">
        <f t="shared" si="13"/>
        <v>0.32025000000000026</v>
      </c>
      <c r="R98" s="2">
        <f t="shared" si="14"/>
        <v>0.27518026941362939</v>
      </c>
      <c r="S98" s="2">
        <f t="shared" si="15"/>
        <v>4.5069730586370871E-2</v>
      </c>
    </row>
    <row r="99" spans="2:19" x14ac:dyDescent="0.25">
      <c r="B99" s="1">
        <f t="shared" si="16"/>
        <v>93</v>
      </c>
      <c r="C99" s="1">
        <v>228</v>
      </c>
      <c r="D99" s="13">
        <v>64</v>
      </c>
      <c r="E99" s="1" t="s">
        <v>11</v>
      </c>
      <c r="F99" s="2">
        <v>0.64</v>
      </c>
      <c r="G99" s="1" t="s">
        <v>12</v>
      </c>
      <c r="H99" s="1" t="s">
        <v>13</v>
      </c>
      <c r="I99" s="1" t="s">
        <v>14</v>
      </c>
      <c r="J99" s="14">
        <v>0.37092592592592594</v>
      </c>
      <c r="K99" s="15">
        <v>45537</v>
      </c>
      <c r="L99" s="15"/>
      <c r="M99" s="2">
        <v>0.49</v>
      </c>
      <c r="O99" s="2">
        <f t="shared" si="11"/>
        <v>0.41499999999999998</v>
      </c>
      <c r="P99" s="2">
        <f t="shared" si="12"/>
        <v>55.039302694136289</v>
      </c>
      <c r="Q99" s="2">
        <f t="shared" si="13"/>
        <v>0.31975000000000031</v>
      </c>
      <c r="R99" s="2">
        <f t="shared" si="14"/>
        <v>0.275212757527734</v>
      </c>
      <c r="S99" s="2">
        <f t="shared" si="15"/>
        <v>4.4537242472266314E-2</v>
      </c>
    </row>
    <row r="100" spans="2:19" x14ac:dyDescent="0.25">
      <c r="B100" s="1">
        <f t="shared" si="16"/>
        <v>94</v>
      </c>
      <c r="C100" s="1">
        <v>230</v>
      </c>
      <c r="D100" s="13">
        <v>63.9</v>
      </c>
      <c r="E100" s="1" t="s">
        <v>11</v>
      </c>
      <c r="F100" s="2">
        <v>0.64500000000000002</v>
      </c>
      <c r="G100" s="1" t="s">
        <v>12</v>
      </c>
      <c r="H100" s="1" t="s">
        <v>13</v>
      </c>
      <c r="I100" s="1" t="s">
        <v>14</v>
      </c>
      <c r="J100" s="14">
        <v>0.37092592592592594</v>
      </c>
      <c r="K100" s="15">
        <v>45537</v>
      </c>
      <c r="L100" s="15"/>
      <c r="M100" s="2">
        <v>0.495</v>
      </c>
      <c r="O100" s="2">
        <f t="shared" si="11"/>
        <v>0.42</v>
      </c>
      <c r="P100" s="2">
        <f t="shared" si="12"/>
        <v>55.045800316957212</v>
      </c>
      <c r="Q100" s="2">
        <f t="shared" si="13"/>
        <v>0.31950000000000028</v>
      </c>
      <c r="R100" s="2">
        <f t="shared" si="14"/>
        <v>0.27524524564183861</v>
      </c>
      <c r="S100" s="2">
        <f t="shared" si="15"/>
        <v>4.4254754358161674E-2</v>
      </c>
    </row>
    <row r="101" spans="2:19" x14ac:dyDescent="0.25">
      <c r="B101" s="1">
        <f t="shared" si="16"/>
        <v>95</v>
      </c>
      <c r="C101" s="1">
        <v>232</v>
      </c>
      <c r="D101" s="13">
        <v>63.9</v>
      </c>
      <c r="E101" s="1" t="s">
        <v>11</v>
      </c>
      <c r="F101" s="2">
        <v>0.65</v>
      </c>
      <c r="G101" s="1" t="s">
        <v>12</v>
      </c>
      <c r="H101" s="1" t="s">
        <v>13</v>
      </c>
      <c r="I101" s="1" t="s">
        <v>14</v>
      </c>
      <c r="J101" s="14">
        <v>0.37092592592592594</v>
      </c>
      <c r="K101" s="15">
        <v>45537</v>
      </c>
      <c r="L101" s="15"/>
      <c r="M101" s="2">
        <v>0.5</v>
      </c>
      <c r="O101" s="2">
        <f t="shared" si="11"/>
        <v>0.42499999999999999</v>
      </c>
      <c r="P101" s="2">
        <f t="shared" si="12"/>
        <v>55.052297939778128</v>
      </c>
      <c r="Q101" s="2">
        <f t="shared" si="13"/>
        <v>0.31975000000000031</v>
      </c>
      <c r="R101" s="2">
        <f t="shared" si="14"/>
        <v>0.27527773375594317</v>
      </c>
      <c r="S101" s="2">
        <f t="shared" si="15"/>
        <v>4.4472266244057146E-2</v>
      </c>
    </row>
    <row r="102" spans="2:19" x14ac:dyDescent="0.25">
      <c r="B102" s="1">
        <f t="shared" si="16"/>
        <v>96</v>
      </c>
      <c r="C102" s="1">
        <v>234</v>
      </c>
      <c r="D102" s="13">
        <v>64</v>
      </c>
      <c r="E102" s="1" t="s">
        <v>11</v>
      </c>
      <c r="F102" s="2">
        <v>0.65500000000000003</v>
      </c>
      <c r="G102" s="1" t="s">
        <v>12</v>
      </c>
      <c r="H102" s="1" t="s">
        <v>13</v>
      </c>
      <c r="I102" s="1" t="s">
        <v>14</v>
      </c>
      <c r="J102" s="14">
        <v>0.37093749999999998</v>
      </c>
      <c r="K102" s="15">
        <v>45537</v>
      </c>
      <c r="L102" s="15"/>
      <c r="M102" s="2">
        <v>0.505</v>
      </c>
      <c r="O102" s="2">
        <f t="shared" si="11"/>
        <v>0.43</v>
      </c>
      <c r="P102" s="2">
        <f t="shared" si="12"/>
        <v>55.058795562599052</v>
      </c>
      <c r="Q102" s="2">
        <f t="shared" si="13"/>
        <v>0.32000000000000028</v>
      </c>
      <c r="R102" s="2">
        <f t="shared" si="14"/>
        <v>0.27531022187004778</v>
      </c>
      <c r="S102" s="2">
        <f t="shared" si="15"/>
        <v>4.4689778129952507E-2</v>
      </c>
    </row>
    <row r="103" spans="2:19" x14ac:dyDescent="0.25">
      <c r="B103" s="1">
        <f t="shared" si="16"/>
        <v>97</v>
      </c>
      <c r="C103" s="1">
        <v>235</v>
      </c>
      <c r="D103" s="13">
        <v>64</v>
      </c>
      <c r="E103" s="1" t="s">
        <v>11</v>
      </c>
      <c r="F103" s="2">
        <v>0.66</v>
      </c>
      <c r="G103" s="1" t="s">
        <v>12</v>
      </c>
      <c r="H103" s="1" t="s">
        <v>13</v>
      </c>
      <c r="I103" s="1" t="s">
        <v>14</v>
      </c>
      <c r="J103" s="14">
        <v>0.37093749999999998</v>
      </c>
      <c r="K103" s="15">
        <v>45537</v>
      </c>
      <c r="L103" s="15"/>
      <c r="M103" s="2">
        <v>0.51</v>
      </c>
      <c r="O103" s="2">
        <f t="shared" si="11"/>
        <v>0.435</v>
      </c>
      <c r="P103" s="2">
        <f t="shared" si="12"/>
        <v>55.065293185419968</v>
      </c>
      <c r="Q103" s="2">
        <f t="shared" si="13"/>
        <v>0.31900000000000028</v>
      </c>
      <c r="R103" s="2">
        <f t="shared" si="14"/>
        <v>0.27534270998415239</v>
      </c>
      <c r="S103" s="2">
        <f t="shared" si="15"/>
        <v>4.3657290015847894E-2</v>
      </c>
    </row>
    <row r="104" spans="2:19" x14ac:dyDescent="0.25">
      <c r="B104" s="1">
        <f t="shared" si="16"/>
        <v>98</v>
      </c>
      <c r="C104" s="1">
        <v>236</v>
      </c>
      <c r="D104" s="13">
        <v>63.6</v>
      </c>
      <c r="E104" s="1" t="s">
        <v>11</v>
      </c>
      <c r="F104" s="2">
        <v>0.66500000000000004</v>
      </c>
      <c r="G104" s="1" t="s">
        <v>12</v>
      </c>
      <c r="H104" s="1" t="s">
        <v>13</v>
      </c>
      <c r="I104" s="1" t="s">
        <v>14</v>
      </c>
      <c r="J104" s="14">
        <v>0.37093749999999998</v>
      </c>
      <c r="K104" s="15">
        <v>45537</v>
      </c>
      <c r="L104" s="15"/>
      <c r="M104" s="2">
        <v>0.51500000000000001</v>
      </c>
      <c r="O104" s="2">
        <f t="shared" si="11"/>
        <v>0.44</v>
      </c>
      <c r="P104" s="2">
        <f t="shared" si="12"/>
        <v>55.071790808240891</v>
      </c>
      <c r="Q104" s="2">
        <f t="shared" si="13"/>
        <v>0.31725000000000031</v>
      </c>
      <c r="R104" s="2">
        <f t="shared" si="14"/>
        <v>0.275375198098257</v>
      </c>
      <c r="S104" s="2">
        <f t="shared" si="15"/>
        <v>4.1874801901743308E-2</v>
      </c>
    </row>
    <row r="105" spans="2:19" x14ac:dyDescent="0.25">
      <c r="B105" s="1">
        <f t="shared" si="16"/>
        <v>99</v>
      </c>
      <c r="C105" s="1">
        <v>237</v>
      </c>
      <c r="D105" s="13">
        <v>63.3</v>
      </c>
      <c r="E105" s="1" t="s">
        <v>11</v>
      </c>
      <c r="F105" s="2">
        <v>0.67</v>
      </c>
      <c r="G105" s="1" t="s">
        <v>12</v>
      </c>
      <c r="H105" s="1" t="s">
        <v>13</v>
      </c>
      <c r="I105" s="1" t="s">
        <v>14</v>
      </c>
      <c r="J105" s="14">
        <v>0.37093749999999998</v>
      </c>
      <c r="K105" s="15">
        <v>45537</v>
      </c>
      <c r="L105" s="15"/>
      <c r="M105" s="2">
        <v>0.52</v>
      </c>
      <c r="O105" s="2">
        <f t="shared" si="11"/>
        <v>0.44500000000000001</v>
      </c>
      <c r="P105" s="2">
        <f t="shared" si="12"/>
        <v>55.078288431061807</v>
      </c>
      <c r="Q105" s="2">
        <f t="shared" si="13"/>
        <v>0.31650000000000028</v>
      </c>
      <c r="R105" s="2">
        <f t="shared" si="14"/>
        <v>0.27540768621236156</v>
      </c>
      <c r="S105" s="2">
        <f t="shared" si="15"/>
        <v>4.1092313787638723E-2</v>
      </c>
    </row>
    <row r="106" spans="2:19" x14ac:dyDescent="0.25">
      <c r="B106" s="1">
        <f t="shared" si="16"/>
        <v>100</v>
      </c>
      <c r="C106" s="1">
        <v>238</v>
      </c>
      <c r="D106" s="13">
        <v>63.3</v>
      </c>
      <c r="E106" s="1" t="s">
        <v>11</v>
      </c>
      <c r="F106" s="2">
        <v>0.67500000000000004</v>
      </c>
      <c r="G106" s="1" t="s">
        <v>12</v>
      </c>
      <c r="H106" s="1" t="s">
        <v>13</v>
      </c>
      <c r="I106" s="1" t="s">
        <v>14</v>
      </c>
      <c r="J106" s="14">
        <v>0.37093749999999998</v>
      </c>
      <c r="K106" s="15">
        <v>45537</v>
      </c>
      <c r="L106" s="15"/>
      <c r="M106" s="2">
        <v>0.52500000000000002</v>
      </c>
      <c r="O106" s="2">
        <f t="shared" si="11"/>
        <v>0.45</v>
      </c>
      <c r="P106" s="2">
        <f t="shared" si="12"/>
        <v>55.084786053882723</v>
      </c>
      <c r="Q106" s="2">
        <f t="shared" si="13"/>
        <v>0.63150000000000051</v>
      </c>
      <c r="R106" s="2">
        <f t="shared" si="14"/>
        <v>0.55091283676703684</v>
      </c>
      <c r="S106" s="2">
        <f t="shared" si="15"/>
        <v>8.0587163232963666E-2</v>
      </c>
    </row>
    <row r="107" spans="2:19" x14ac:dyDescent="0.25">
      <c r="B107" s="1">
        <f t="shared" si="16"/>
        <v>101</v>
      </c>
      <c r="C107" s="1">
        <v>239</v>
      </c>
      <c r="D107" s="13">
        <v>63</v>
      </c>
      <c r="E107" s="1" t="s">
        <v>11</v>
      </c>
      <c r="F107" s="2">
        <v>0.68500000000000005</v>
      </c>
      <c r="G107" s="1" t="s">
        <v>12</v>
      </c>
      <c r="H107" s="1" t="s">
        <v>13</v>
      </c>
      <c r="I107" s="1" t="s">
        <v>14</v>
      </c>
      <c r="J107" s="14">
        <v>0.37093749999999998</v>
      </c>
      <c r="K107" s="15">
        <v>45537</v>
      </c>
      <c r="L107" s="15"/>
      <c r="M107" s="2">
        <v>0.53500000000000003</v>
      </c>
      <c r="O107" s="2">
        <f t="shared" si="11"/>
        <v>0.46</v>
      </c>
      <c r="P107" s="2">
        <f t="shared" si="12"/>
        <v>55.097781299524563</v>
      </c>
      <c r="Q107" s="2">
        <f t="shared" si="13"/>
        <v>0.31399999999999328</v>
      </c>
      <c r="R107" s="2">
        <f t="shared" si="14"/>
        <v>0.27550515055466929</v>
      </c>
      <c r="S107" s="2">
        <f t="shared" si="15"/>
        <v>3.8494849445323998E-2</v>
      </c>
    </row>
    <row r="108" spans="2:19" x14ac:dyDescent="0.25">
      <c r="B108" s="1">
        <f t="shared" si="16"/>
        <v>102</v>
      </c>
      <c r="C108" s="1">
        <v>241</v>
      </c>
      <c r="D108" s="13">
        <v>62.6</v>
      </c>
      <c r="E108" s="1" t="s">
        <v>11</v>
      </c>
      <c r="F108" s="2">
        <v>0.69</v>
      </c>
      <c r="G108" s="1" t="s">
        <v>12</v>
      </c>
      <c r="H108" s="1" t="s">
        <v>13</v>
      </c>
      <c r="I108" s="1" t="s">
        <v>14</v>
      </c>
      <c r="J108" s="14">
        <v>0.37093749999999998</v>
      </c>
      <c r="K108" s="15">
        <v>45537</v>
      </c>
      <c r="L108" s="15"/>
      <c r="M108" s="2">
        <v>0.53999999999999992</v>
      </c>
      <c r="O108" s="2">
        <f t="shared" si="11"/>
        <v>0.46499999999999991</v>
      </c>
      <c r="P108" s="2">
        <f t="shared" si="12"/>
        <v>55.104278922345486</v>
      </c>
      <c r="Q108" s="2">
        <f t="shared" si="13"/>
        <v>0.31300000000000028</v>
      </c>
      <c r="R108" s="2">
        <f t="shared" si="14"/>
        <v>0.27553763866877995</v>
      </c>
      <c r="S108" s="2">
        <f t="shared" si="15"/>
        <v>3.7462361331220329E-2</v>
      </c>
    </row>
    <row r="109" spans="2:19" x14ac:dyDescent="0.25">
      <c r="B109" s="1">
        <f t="shared" si="16"/>
        <v>103</v>
      </c>
      <c r="C109" s="1">
        <v>242</v>
      </c>
      <c r="D109" s="13">
        <v>62.6</v>
      </c>
      <c r="E109" s="1" t="s">
        <v>11</v>
      </c>
      <c r="F109" s="2">
        <v>0.69499999999999995</v>
      </c>
      <c r="G109" s="1" t="s">
        <v>12</v>
      </c>
      <c r="H109" s="1" t="s">
        <v>13</v>
      </c>
      <c r="I109" s="1" t="s">
        <v>14</v>
      </c>
      <c r="J109" s="14">
        <v>0.37093749999999998</v>
      </c>
      <c r="K109" s="15">
        <v>45537</v>
      </c>
      <c r="L109" s="15"/>
      <c r="M109" s="2">
        <v>0.54499999999999993</v>
      </c>
      <c r="O109" s="2">
        <f t="shared" si="11"/>
        <v>0.46999999999999992</v>
      </c>
      <c r="P109" s="2">
        <f t="shared" si="12"/>
        <v>55.110776545166402</v>
      </c>
      <c r="Q109" s="2">
        <f t="shared" si="13"/>
        <v>0.31275000000000025</v>
      </c>
      <c r="R109" s="2">
        <f t="shared" si="14"/>
        <v>0.27557012678288456</v>
      </c>
      <c r="S109" s="2">
        <f t="shared" si="15"/>
        <v>3.7179873217115689E-2</v>
      </c>
    </row>
    <row r="110" spans="2:19" x14ac:dyDescent="0.25">
      <c r="B110" s="1">
        <f t="shared" si="16"/>
        <v>104</v>
      </c>
      <c r="C110" s="1">
        <v>244</v>
      </c>
      <c r="D110" s="13">
        <v>62.5</v>
      </c>
      <c r="E110" s="1" t="s">
        <v>11</v>
      </c>
      <c r="F110" s="2">
        <v>0.7</v>
      </c>
      <c r="G110" s="1" t="s">
        <v>12</v>
      </c>
      <c r="H110" s="1" t="s">
        <v>13</v>
      </c>
      <c r="I110" s="1" t="s">
        <v>14</v>
      </c>
      <c r="J110" s="14">
        <v>0.37094907407407407</v>
      </c>
      <c r="K110" s="15">
        <v>45537</v>
      </c>
      <c r="L110" s="15"/>
      <c r="M110" s="2">
        <v>0.54999999999999993</v>
      </c>
      <c r="O110" s="2">
        <f t="shared" si="11"/>
        <v>0.47499999999999992</v>
      </c>
      <c r="P110" s="2">
        <f t="shared" si="12"/>
        <v>55.117274167987318</v>
      </c>
      <c r="Q110" s="2">
        <f t="shared" si="13"/>
        <v>0.31225000000000031</v>
      </c>
      <c r="R110" s="2">
        <f t="shared" si="14"/>
        <v>0.27560261489698912</v>
      </c>
      <c r="S110" s="2">
        <f t="shared" si="15"/>
        <v>3.6647385103011187E-2</v>
      </c>
    </row>
    <row r="111" spans="2:19" x14ac:dyDescent="0.25">
      <c r="B111" s="1">
        <f t="shared" si="16"/>
        <v>105</v>
      </c>
      <c r="C111" s="1">
        <v>246</v>
      </c>
      <c r="D111" s="13">
        <v>62.4</v>
      </c>
      <c r="E111" s="1" t="s">
        <v>11</v>
      </c>
      <c r="F111" s="2">
        <v>0.70499999999999996</v>
      </c>
      <c r="G111" s="1" t="s">
        <v>12</v>
      </c>
      <c r="H111" s="1" t="s">
        <v>13</v>
      </c>
      <c r="I111" s="1" t="s">
        <v>14</v>
      </c>
      <c r="J111" s="14">
        <v>0.37094907407407407</v>
      </c>
      <c r="K111" s="15">
        <v>45537</v>
      </c>
      <c r="L111" s="15"/>
      <c r="M111" s="2">
        <v>0.55499999999999994</v>
      </c>
      <c r="O111" s="2">
        <f t="shared" si="11"/>
        <v>0.47999999999999993</v>
      </c>
      <c r="P111" s="2">
        <f t="shared" si="12"/>
        <v>55.123771790808242</v>
      </c>
      <c r="Q111" s="2">
        <f t="shared" si="13"/>
        <v>0.31175000000000025</v>
      </c>
      <c r="R111" s="2">
        <f t="shared" si="14"/>
        <v>0.27563510301109373</v>
      </c>
      <c r="S111" s="2">
        <f t="shared" si="15"/>
        <v>3.611489698890652E-2</v>
      </c>
    </row>
    <row r="112" spans="2:19" x14ac:dyDescent="0.25">
      <c r="B112" s="1">
        <f t="shared" si="16"/>
        <v>106</v>
      </c>
      <c r="C112" s="1">
        <v>248</v>
      </c>
      <c r="D112" s="13">
        <v>62.3</v>
      </c>
      <c r="E112" s="1" t="s">
        <v>11</v>
      </c>
      <c r="F112" s="2">
        <v>0.71</v>
      </c>
      <c r="G112" s="1" t="s">
        <v>12</v>
      </c>
      <c r="H112" s="1" t="s">
        <v>13</v>
      </c>
      <c r="I112" s="1" t="s">
        <v>14</v>
      </c>
      <c r="J112" s="14">
        <v>0.37094907407407407</v>
      </c>
      <c r="K112" s="15">
        <v>45537</v>
      </c>
      <c r="L112" s="15"/>
      <c r="M112" s="2">
        <v>0.55999999999999994</v>
      </c>
      <c r="O112" s="2">
        <f t="shared" si="11"/>
        <v>0.48499999999999993</v>
      </c>
      <c r="P112" s="2">
        <f t="shared" si="12"/>
        <v>55.130269413629158</v>
      </c>
      <c r="Q112" s="2">
        <f t="shared" si="13"/>
        <v>0.31125000000000025</v>
      </c>
      <c r="R112" s="2">
        <f t="shared" si="14"/>
        <v>0.27566759112519834</v>
      </c>
      <c r="S112" s="2">
        <f t="shared" si="15"/>
        <v>3.5582408874801907E-2</v>
      </c>
    </row>
    <row r="113" spans="2:19" x14ac:dyDescent="0.25">
      <c r="B113" s="1">
        <f t="shared" si="16"/>
        <v>107</v>
      </c>
      <c r="C113" s="1">
        <v>250</v>
      </c>
      <c r="D113" s="13">
        <v>62.2</v>
      </c>
      <c r="E113" s="1" t="s">
        <v>11</v>
      </c>
      <c r="F113" s="2">
        <v>0.71499999999999997</v>
      </c>
      <c r="G113" s="1" t="s">
        <v>12</v>
      </c>
      <c r="H113" s="1" t="s">
        <v>13</v>
      </c>
      <c r="I113" s="1" t="s">
        <v>14</v>
      </c>
      <c r="J113" s="14">
        <v>0.37094907407407407</v>
      </c>
      <c r="K113" s="15">
        <v>45537</v>
      </c>
      <c r="L113" s="15"/>
      <c r="M113" s="2">
        <v>0.56499999999999995</v>
      </c>
      <c r="O113" s="2">
        <f t="shared" si="11"/>
        <v>0.48999999999999994</v>
      </c>
      <c r="P113" s="2">
        <f t="shared" si="12"/>
        <v>55.136767036450081</v>
      </c>
      <c r="Q113" s="2">
        <f t="shared" si="13"/>
        <v>0.31050000000000028</v>
      </c>
      <c r="R113" s="2">
        <f t="shared" si="14"/>
        <v>0.27570007923930295</v>
      </c>
      <c r="S113" s="2">
        <f t="shared" si="15"/>
        <v>3.4799920760697323E-2</v>
      </c>
    </row>
    <row r="114" spans="2:19" x14ac:dyDescent="0.25">
      <c r="B114" s="1">
        <f t="shared" si="16"/>
        <v>108</v>
      </c>
      <c r="C114" s="1">
        <v>252</v>
      </c>
      <c r="D114" s="13">
        <v>62</v>
      </c>
      <c r="E114" s="1" t="s">
        <v>11</v>
      </c>
      <c r="F114" s="2">
        <v>0.72</v>
      </c>
      <c r="G114" s="1" t="s">
        <v>12</v>
      </c>
      <c r="H114" s="1" t="s">
        <v>13</v>
      </c>
      <c r="I114" s="1" t="s">
        <v>14</v>
      </c>
      <c r="J114" s="14">
        <v>0.37094907407407407</v>
      </c>
      <c r="K114" s="15">
        <v>45537</v>
      </c>
      <c r="L114" s="15"/>
      <c r="M114" s="2">
        <v>0.56999999999999995</v>
      </c>
      <c r="O114" s="2">
        <f t="shared" si="11"/>
        <v>0.49499999999999994</v>
      </c>
      <c r="P114" s="2">
        <f t="shared" si="12"/>
        <v>55.143264659270997</v>
      </c>
      <c r="Q114" s="2">
        <f t="shared" si="13"/>
        <v>0.31000000000000028</v>
      </c>
      <c r="R114" s="2">
        <f t="shared" si="14"/>
        <v>0.27573256735340751</v>
      </c>
      <c r="S114" s="2">
        <f t="shared" si="15"/>
        <v>3.4267432646592766E-2</v>
      </c>
    </row>
    <row r="115" spans="2:19" x14ac:dyDescent="0.25">
      <c r="B115" s="1">
        <f t="shared" si="16"/>
        <v>109</v>
      </c>
      <c r="C115" s="1">
        <v>253</v>
      </c>
      <c r="D115" s="13">
        <v>62</v>
      </c>
      <c r="E115" s="1" t="s">
        <v>11</v>
      </c>
      <c r="F115" s="2">
        <v>0.72499999999999998</v>
      </c>
      <c r="G115" s="1" t="s">
        <v>12</v>
      </c>
      <c r="H115" s="1" t="s">
        <v>13</v>
      </c>
      <c r="I115" s="1" t="s">
        <v>14</v>
      </c>
      <c r="J115" s="14">
        <v>0.37094907407407407</v>
      </c>
      <c r="K115" s="15">
        <v>45537</v>
      </c>
      <c r="L115" s="15"/>
      <c r="M115" s="2">
        <v>0.57499999999999996</v>
      </c>
      <c r="O115" s="2">
        <f t="shared" si="11"/>
        <v>0.49999999999999994</v>
      </c>
      <c r="P115" s="2">
        <f t="shared" si="12"/>
        <v>55.14976228209192</v>
      </c>
      <c r="Q115" s="2">
        <f t="shared" si="13"/>
        <v>0.3092500000000003</v>
      </c>
      <c r="R115" s="2">
        <f t="shared" si="14"/>
        <v>0.27576505546751517</v>
      </c>
      <c r="S115" s="2">
        <f t="shared" si="15"/>
        <v>3.3484944532485128E-2</v>
      </c>
    </row>
    <row r="116" spans="2:19" x14ac:dyDescent="0.25">
      <c r="B116" s="1">
        <f t="shared" si="16"/>
        <v>110</v>
      </c>
      <c r="C116" s="1">
        <v>255</v>
      </c>
      <c r="D116" s="13">
        <v>61.7</v>
      </c>
      <c r="E116" s="1" t="s">
        <v>11</v>
      </c>
      <c r="F116" s="2">
        <v>0.73</v>
      </c>
      <c r="G116" s="1" t="s">
        <v>12</v>
      </c>
      <c r="H116" s="1" t="s">
        <v>13</v>
      </c>
      <c r="I116" s="1" t="s">
        <v>14</v>
      </c>
      <c r="J116" s="14">
        <v>0.37096064814814816</v>
      </c>
      <c r="K116" s="15">
        <v>45537</v>
      </c>
      <c r="L116" s="15"/>
      <c r="M116" s="2">
        <v>0.57999999999999996</v>
      </c>
      <c r="O116" s="2">
        <f t="shared" si="11"/>
        <v>0.505</v>
      </c>
      <c r="P116" s="2">
        <f t="shared" si="12"/>
        <v>55.156259904912837</v>
      </c>
      <c r="Q116" s="2">
        <f t="shared" si="13"/>
        <v>0.3082500000000003</v>
      </c>
      <c r="R116" s="2">
        <f t="shared" si="14"/>
        <v>0.27579754358161673</v>
      </c>
      <c r="S116" s="2">
        <f t="shared" si="15"/>
        <v>3.2452456418383568E-2</v>
      </c>
    </row>
    <row r="117" spans="2:19" x14ac:dyDescent="0.25">
      <c r="B117" s="1">
        <f t="shared" si="16"/>
        <v>111</v>
      </c>
      <c r="C117" s="1">
        <v>257</v>
      </c>
      <c r="D117" s="13">
        <v>61.6</v>
      </c>
      <c r="E117" s="1" t="s">
        <v>11</v>
      </c>
      <c r="F117" s="2">
        <v>0.73499999999999999</v>
      </c>
      <c r="G117" s="1" t="s">
        <v>12</v>
      </c>
      <c r="H117" s="1" t="s">
        <v>13</v>
      </c>
      <c r="I117" s="1" t="s">
        <v>14</v>
      </c>
      <c r="J117" s="14">
        <v>0.37096064814814816</v>
      </c>
      <c r="K117" s="15">
        <v>45537</v>
      </c>
      <c r="L117" s="15"/>
      <c r="M117" s="2">
        <v>0.58499999999999996</v>
      </c>
      <c r="O117" s="2">
        <f t="shared" si="11"/>
        <v>0.51</v>
      </c>
      <c r="P117" s="2">
        <f t="shared" si="12"/>
        <v>55.16275752773376</v>
      </c>
      <c r="Q117" s="2">
        <f t="shared" si="13"/>
        <v>0.30800000000000027</v>
      </c>
      <c r="R117" s="2">
        <f t="shared" si="14"/>
        <v>0.27583003169572134</v>
      </c>
      <c r="S117" s="2">
        <f t="shared" si="15"/>
        <v>3.2169968304278929E-2</v>
      </c>
    </row>
    <row r="118" spans="2:19" x14ac:dyDescent="0.25">
      <c r="B118" s="1">
        <f t="shared" si="16"/>
        <v>112</v>
      </c>
      <c r="C118" s="1">
        <v>259</v>
      </c>
      <c r="D118" s="13">
        <v>61.6</v>
      </c>
      <c r="E118" s="1" t="s">
        <v>11</v>
      </c>
      <c r="F118" s="2">
        <v>0.74</v>
      </c>
      <c r="G118" s="1" t="s">
        <v>12</v>
      </c>
      <c r="H118" s="1" t="s">
        <v>13</v>
      </c>
      <c r="I118" s="1" t="s">
        <v>14</v>
      </c>
      <c r="J118" s="14">
        <v>0.37096064814814816</v>
      </c>
      <c r="K118" s="15">
        <v>45537</v>
      </c>
      <c r="L118" s="15"/>
      <c r="M118" s="2">
        <v>0.59</v>
      </c>
      <c r="O118" s="2">
        <f t="shared" si="11"/>
        <v>0.51500000000000001</v>
      </c>
      <c r="P118" s="2">
        <f t="shared" si="12"/>
        <v>55.169255150554676</v>
      </c>
      <c r="Q118" s="2">
        <f t="shared" si="13"/>
        <v>0.30750000000000027</v>
      </c>
      <c r="R118" s="2">
        <f t="shared" si="14"/>
        <v>0.2758625198098259</v>
      </c>
      <c r="S118" s="2">
        <f t="shared" si="15"/>
        <v>3.1637480190174372E-2</v>
      </c>
    </row>
    <row r="119" spans="2:19" x14ac:dyDescent="0.25">
      <c r="B119" s="1">
        <f t="shared" si="16"/>
        <v>113</v>
      </c>
      <c r="C119" s="1">
        <v>261</v>
      </c>
      <c r="D119" s="13">
        <v>61.4</v>
      </c>
      <c r="E119" s="1" t="s">
        <v>11</v>
      </c>
      <c r="F119" s="2">
        <v>0.745</v>
      </c>
      <c r="G119" s="1" t="s">
        <v>12</v>
      </c>
      <c r="H119" s="1" t="s">
        <v>13</v>
      </c>
      <c r="I119" s="1" t="s">
        <v>14</v>
      </c>
      <c r="J119" s="14">
        <v>0.37096064814814816</v>
      </c>
      <c r="K119" s="15">
        <v>45537</v>
      </c>
      <c r="L119" s="15"/>
      <c r="M119" s="2">
        <v>0.59499999999999997</v>
      </c>
      <c r="O119" s="2">
        <f t="shared" si="11"/>
        <v>0.52</v>
      </c>
      <c r="P119" s="2">
        <f t="shared" si="12"/>
        <v>55.175752773375592</v>
      </c>
      <c r="Q119" s="2">
        <f t="shared" si="13"/>
        <v>0.30675000000000024</v>
      </c>
      <c r="R119" s="2">
        <f t="shared" si="14"/>
        <v>0.27589500792393051</v>
      </c>
      <c r="S119" s="2">
        <f t="shared" si="15"/>
        <v>3.0854992076069732E-2</v>
      </c>
    </row>
    <row r="120" spans="2:19" x14ac:dyDescent="0.25">
      <c r="B120" s="1">
        <f t="shared" si="16"/>
        <v>114</v>
      </c>
      <c r="C120" s="1">
        <v>263</v>
      </c>
      <c r="D120" s="13">
        <v>61.3</v>
      </c>
      <c r="E120" s="1" t="s">
        <v>11</v>
      </c>
      <c r="F120" s="2">
        <v>0.75</v>
      </c>
      <c r="G120" s="1" t="s">
        <v>12</v>
      </c>
      <c r="H120" s="1" t="s">
        <v>13</v>
      </c>
      <c r="I120" s="1" t="s">
        <v>14</v>
      </c>
      <c r="J120" s="14">
        <v>0.37096064814814816</v>
      </c>
      <c r="K120" s="15">
        <v>45537</v>
      </c>
      <c r="L120" s="15"/>
      <c r="M120" s="2">
        <v>0.6</v>
      </c>
      <c r="O120" s="2">
        <f t="shared" si="11"/>
        <v>0.52500000000000002</v>
      </c>
      <c r="P120" s="2">
        <f t="shared" si="12"/>
        <v>55.182250396196515</v>
      </c>
      <c r="Q120" s="2">
        <f t="shared" si="13"/>
        <v>0.30625000000000024</v>
      </c>
      <c r="R120" s="2">
        <f t="shared" si="14"/>
        <v>0.27592749603803512</v>
      </c>
      <c r="S120" s="2">
        <f t="shared" si="15"/>
        <v>3.0322503961965119E-2</v>
      </c>
    </row>
    <row r="121" spans="2:19" x14ac:dyDescent="0.25">
      <c r="B121" s="1">
        <f t="shared" si="16"/>
        <v>115</v>
      </c>
      <c r="C121" s="1">
        <v>265</v>
      </c>
      <c r="D121" s="13">
        <v>61.2</v>
      </c>
      <c r="E121" s="1" t="s">
        <v>11</v>
      </c>
      <c r="F121" s="2">
        <v>0.755</v>
      </c>
      <c r="G121" s="1" t="s">
        <v>12</v>
      </c>
      <c r="H121" s="1" t="s">
        <v>13</v>
      </c>
      <c r="I121" s="1" t="s">
        <v>14</v>
      </c>
      <c r="J121" s="14">
        <v>0.3709722222222222</v>
      </c>
      <c r="K121" s="15">
        <v>45537</v>
      </c>
      <c r="L121" s="15"/>
      <c r="M121" s="2">
        <v>0.60499999999999998</v>
      </c>
      <c r="O121" s="2">
        <f t="shared" si="11"/>
        <v>0.53</v>
      </c>
      <c r="P121" s="2">
        <f t="shared" si="12"/>
        <v>55.188748019017432</v>
      </c>
      <c r="Q121" s="2">
        <f t="shared" si="13"/>
        <v>0.30550000000000027</v>
      </c>
      <c r="R121" s="2">
        <f t="shared" si="14"/>
        <v>0.27595998415213974</v>
      </c>
      <c r="S121" s="2">
        <f t="shared" si="15"/>
        <v>2.9540015847860535E-2</v>
      </c>
    </row>
    <row r="122" spans="2:19" x14ac:dyDescent="0.25">
      <c r="B122" s="1">
        <f t="shared" si="16"/>
        <v>116</v>
      </c>
      <c r="C122" s="1">
        <v>268</v>
      </c>
      <c r="D122" s="13">
        <v>61</v>
      </c>
      <c r="E122" s="1" t="s">
        <v>11</v>
      </c>
      <c r="F122" s="2">
        <v>0.76</v>
      </c>
      <c r="G122" s="1" t="s">
        <v>12</v>
      </c>
      <c r="H122" s="1" t="s">
        <v>13</v>
      </c>
      <c r="I122" s="1" t="s">
        <v>14</v>
      </c>
      <c r="J122" s="14">
        <v>0.3709722222222222</v>
      </c>
      <c r="K122" s="15">
        <v>45537</v>
      </c>
      <c r="L122" s="15"/>
      <c r="M122" s="2">
        <v>0.61</v>
      </c>
      <c r="O122" s="2">
        <f t="shared" si="11"/>
        <v>0.53500000000000003</v>
      </c>
      <c r="P122" s="2">
        <f t="shared" si="12"/>
        <v>55.195245641838355</v>
      </c>
      <c r="Q122" s="2">
        <f t="shared" si="13"/>
        <v>0.3047500000000003</v>
      </c>
      <c r="R122" s="2">
        <f t="shared" si="14"/>
        <v>0.27599247226624429</v>
      </c>
      <c r="S122" s="2">
        <f t="shared" si="15"/>
        <v>2.8757527733756005E-2</v>
      </c>
    </row>
    <row r="123" spans="2:19" x14ac:dyDescent="0.25">
      <c r="B123" s="1">
        <f t="shared" si="16"/>
        <v>117</v>
      </c>
      <c r="C123" s="1">
        <v>269</v>
      </c>
      <c r="D123" s="13">
        <v>60.9</v>
      </c>
      <c r="E123" s="1" t="s">
        <v>11</v>
      </c>
      <c r="F123" s="2">
        <v>0.76500000000000001</v>
      </c>
      <c r="G123" s="1" t="s">
        <v>12</v>
      </c>
      <c r="H123" s="1" t="s">
        <v>13</v>
      </c>
      <c r="I123" s="1" t="s">
        <v>14</v>
      </c>
      <c r="J123" s="14">
        <v>0.3709722222222222</v>
      </c>
      <c r="K123" s="15">
        <v>45537</v>
      </c>
      <c r="L123" s="15"/>
      <c r="M123" s="2">
        <v>0.61499999999999999</v>
      </c>
      <c r="O123" s="2">
        <f t="shared" si="11"/>
        <v>0.54</v>
      </c>
      <c r="P123" s="2">
        <f t="shared" si="12"/>
        <v>55.201743264659271</v>
      </c>
      <c r="Q123" s="2">
        <f t="shared" si="13"/>
        <v>0.30400000000000027</v>
      </c>
      <c r="R123" s="2">
        <f t="shared" si="14"/>
        <v>0.2760249603803489</v>
      </c>
      <c r="S123" s="2">
        <f t="shared" si="15"/>
        <v>2.7975039619651365E-2</v>
      </c>
    </row>
    <row r="124" spans="2:19" x14ac:dyDescent="0.25">
      <c r="B124" s="1">
        <f t="shared" si="16"/>
        <v>118</v>
      </c>
      <c r="C124" s="1">
        <v>271</v>
      </c>
      <c r="D124" s="13">
        <v>60.7</v>
      </c>
      <c r="E124" s="1" t="s">
        <v>11</v>
      </c>
      <c r="F124" s="2">
        <v>0.77</v>
      </c>
      <c r="G124" s="1" t="s">
        <v>12</v>
      </c>
      <c r="H124" s="1" t="s">
        <v>13</v>
      </c>
      <c r="I124" s="1" t="s">
        <v>14</v>
      </c>
      <c r="J124" s="14">
        <v>0.3709722222222222</v>
      </c>
      <c r="K124" s="15">
        <v>45537</v>
      </c>
      <c r="L124" s="15"/>
      <c r="M124" s="2">
        <v>0.62</v>
      </c>
      <c r="O124" s="2">
        <f t="shared" si="11"/>
        <v>0.54500000000000004</v>
      </c>
      <c r="P124" s="2">
        <f t="shared" si="12"/>
        <v>55.208240887480187</v>
      </c>
      <c r="Q124" s="2">
        <f t="shared" si="13"/>
        <v>0.30300000000000027</v>
      </c>
      <c r="R124" s="2">
        <f t="shared" si="14"/>
        <v>0.27605744849445346</v>
      </c>
      <c r="S124" s="2">
        <f t="shared" si="15"/>
        <v>2.6942551505546808E-2</v>
      </c>
    </row>
    <row r="125" spans="2:19" x14ac:dyDescent="0.25">
      <c r="B125" s="1">
        <f t="shared" si="16"/>
        <v>119</v>
      </c>
      <c r="C125" s="1">
        <v>273</v>
      </c>
      <c r="D125" s="13">
        <v>60.5</v>
      </c>
      <c r="E125" s="1" t="s">
        <v>11</v>
      </c>
      <c r="F125" s="2">
        <v>0.77500000000000002</v>
      </c>
      <c r="G125" s="1" t="s">
        <v>12</v>
      </c>
      <c r="H125" s="1" t="s">
        <v>13</v>
      </c>
      <c r="I125" s="1" t="s">
        <v>14</v>
      </c>
      <c r="J125" s="14">
        <v>0.3709722222222222</v>
      </c>
      <c r="K125" s="15">
        <v>45537</v>
      </c>
      <c r="L125" s="15"/>
      <c r="M125" s="2">
        <v>0.625</v>
      </c>
      <c r="O125" s="2">
        <f t="shared" si="11"/>
        <v>0.55000000000000004</v>
      </c>
      <c r="P125" s="2">
        <f t="shared" si="12"/>
        <v>55.21473851030111</v>
      </c>
      <c r="Q125" s="2">
        <f t="shared" si="13"/>
        <v>0.3022500000000003</v>
      </c>
      <c r="R125" s="2">
        <f t="shared" si="14"/>
        <v>0.27608993660855807</v>
      </c>
      <c r="S125" s="2">
        <f t="shared" si="15"/>
        <v>2.6160063391442223E-2</v>
      </c>
    </row>
    <row r="126" spans="2:19" x14ac:dyDescent="0.25">
      <c r="B126" s="1">
        <f t="shared" si="16"/>
        <v>120</v>
      </c>
      <c r="C126" s="1">
        <v>274</v>
      </c>
      <c r="D126" s="13">
        <v>60.4</v>
      </c>
      <c r="E126" s="1" t="s">
        <v>11</v>
      </c>
      <c r="F126" s="2">
        <v>0.78</v>
      </c>
      <c r="G126" s="1" t="s">
        <v>12</v>
      </c>
      <c r="H126" s="1" t="s">
        <v>13</v>
      </c>
      <c r="I126" s="1" t="s">
        <v>14</v>
      </c>
      <c r="J126" s="14">
        <v>0.3709837962962963</v>
      </c>
      <c r="K126" s="15">
        <v>45537</v>
      </c>
      <c r="L126" s="15"/>
      <c r="M126" s="2">
        <v>0.63</v>
      </c>
      <c r="O126" s="2">
        <f t="shared" si="11"/>
        <v>0.55500000000000005</v>
      </c>
      <c r="P126" s="2">
        <f t="shared" si="12"/>
        <v>55.221236133122027</v>
      </c>
      <c r="Q126" s="2">
        <f t="shared" si="13"/>
        <v>0.30175000000000024</v>
      </c>
      <c r="R126" s="2">
        <f t="shared" si="14"/>
        <v>0.27612242472266268</v>
      </c>
      <c r="S126" s="2">
        <f t="shared" si="15"/>
        <v>2.5627575277337555E-2</v>
      </c>
    </row>
    <row r="127" spans="2:19" x14ac:dyDescent="0.25">
      <c r="B127" s="1">
        <f t="shared" si="16"/>
        <v>121</v>
      </c>
      <c r="C127" s="1">
        <v>276</v>
      </c>
      <c r="D127" s="13">
        <v>60.3</v>
      </c>
      <c r="E127" s="1" t="s">
        <v>11</v>
      </c>
      <c r="F127" s="2">
        <v>0.78500000000000003</v>
      </c>
      <c r="G127" s="1" t="s">
        <v>12</v>
      </c>
      <c r="H127" s="1" t="s">
        <v>13</v>
      </c>
      <c r="I127" s="1" t="s">
        <v>14</v>
      </c>
      <c r="J127" s="14">
        <v>0.3709837962962963</v>
      </c>
      <c r="K127" s="15">
        <v>45537</v>
      </c>
      <c r="L127" s="15"/>
      <c r="M127" s="2">
        <v>0.63500000000000001</v>
      </c>
      <c r="O127" s="2">
        <f t="shared" si="11"/>
        <v>0.56000000000000005</v>
      </c>
      <c r="P127" s="2">
        <f t="shared" si="12"/>
        <v>55.22773375594295</v>
      </c>
      <c r="Q127" s="2">
        <f t="shared" si="13"/>
        <v>0.30150000000000027</v>
      </c>
      <c r="R127" s="2">
        <f t="shared" si="14"/>
        <v>0.2761549128367673</v>
      </c>
      <c r="S127" s="2">
        <f t="shared" si="15"/>
        <v>2.5345087163232971E-2</v>
      </c>
    </row>
    <row r="128" spans="2:19" x14ac:dyDescent="0.25">
      <c r="B128" s="1">
        <f t="shared" si="16"/>
        <v>122</v>
      </c>
      <c r="C128" s="1">
        <v>277</v>
      </c>
      <c r="D128" s="13">
        <v>60.3</v>
      </c>
      <c r="E128" s="1" t="s">
        <v>11</v>
      </c>
      <c r="F128" s="2">
        <v>0.79</v>
      </c>
      <c r="G128" s="1" t="s">
        <v>12</v>
      </c>
      <c r="H128" s="1" t="s">
        <v>13</v>
      </c>
      <c r="I128" s="1" t="s">
        <v>14</v>
      </c>
      <c r="J128" s="14">
        <v>0.3709837962962963</v>
      </c>
      <c r="K128" s="15">
        <v>45537</v>
      </c>
      <c r="L128" s="15"/>
      <c r="M128" s="2">
        <v>0.64</v>
      </c>
      <c r="O128" s="2">
        <f t="shared" si="11"/>
        <v>0.56500000000000006</v>
      </c>
      <c r="P128" s="2">
        <f t="shared" si="12"/>
        <v>55.234231378763866</v>
      </c>
      <c r="Q128" s="2">
        <f t="shared" si="13"/>
        <v>0.30150000000000027</v>
      </c>
      <c r="R128" s="2">
        <f t="shared" si="14"/>
        <v>0.27618740095087185</v>
      </c>
      <c r="S128" s="2">
        <f t="shared" si="15"/>
        <v>2.5312599049128415E-2</v>
      </c>
    </row>
    <row r="129" spans="2:19" x14ac:dyDescent="0.25">
      <c r="B129" s="1">
        <f t="shared" si="16"/>
        <v>123</v>
      </c>
      <c r="C129" s="1">
        <v>279</v>
      </c>
      <c r="D129" s="13">
        <v>60.3</v>
      </c>
      <c r="E129" s="1" t="s">
        <v>11</v>
      </c>
      <c r="F129" s="2">
        <v>0.79500000000000004</v>
      </c>
      <c r="G129" s="1" t="s">
        <v>12</v>
      </c>
      <c r="H129" s="1" t="s">
        <v>13</v>
      </c>
      <c r="I129" s="1" t="s">
        <v>14</v>
      </c>
      <c r="J129" s="14">
        <v>0.3709837962962963</v>
      </c>
      <c r="K129" s="15">
        <v>45537</v>
      </c>
      <c r="L129" s="15"/>
      <c r="M129" s="2">
        <v>0.64500000000000002</v>
      </c>
      <c r="O129" s="2">
        <f t="shared" si="11"/>
        <v>0.57000000000000006</v>
      </c>
      <c r="P129" s="2">
        <f t="shared" si="12"/>
        <v>55.240729001584789</v>
      </c>
      <c r="Q129" s="2">
        <f t="shared" si="13"/>
        <v>0.30150000000000027</v>
      </c>
      <c r="R129" s="2">
        <f t="shared" si="14"/>
        <v>0.27621988906497646</v>
      </c>
      <c r="S129" s="2">
        <f t="shared" si="15"/>
        <v>2.5280110935023803E-2</v>
      </c>
    </row>
    <row r="130" spans="2:19" x14ac:dyDescent="0.25">
      <c r="B130" s="1">
        <f t="shared" si="16"/>
        <v>124</v>
      </c>
      <c r="C130" s="1">
        <v>282</v>
      </c>
      <c r="D130" s="13">
        <v>60.3</v>
      </c>
      <c r="E130" s="1" t="s">
        <v>11</v>
      </c>
      <c r="F130" s="2">
        <v>0.8</v>
      </c>
      <c r="G130" s="1" t="s">
        <v>12</v>
      </c>
      <c r="H130" s="1" t="s">
        <v>13</v>
      </c>
      <c r="I130" s="1" t="s">
        <v>14</v>
      </c>
      <c r="J130" s="14">
        <v>0.3709837962962963</v>
      </c>
      <c r="K130" s="15">
        <v>45537</v>
      </c>
      <c r="L130" s="15"/>
      <c r="M130" s="2">
        <v>0.65</v>
      </c>
      <c r="O130" s="2">
        <f t="shared" si="11"/>
        <v>0.57500000000000007</v>
      </c>
      <c r="P130" s="2">
        <f t="shared" si="12"/>
        <v>55.247226624405705</v>
      </c>
      <c r="Q130" s="2">
        <f t="shared" si="13"/>
        <v>0.30100000000000027</v>
      </c>
      <c r="R130" s="2">
        <f t="shared" si="14"/>
        <v>0.27625237717908108</v>
      </c>
      <c r="S130" s="2">
        <f t="shared" si="15"/>
        <v>2.4747622820919191E-2</v>
      </c>
    </row>
    <row r="131" spans="2:19" x14ac:dyDescent="0.25">
      <c r="B131" s="1">
        <f t="shared" si="16"/>
        <v>125</v>
      </c>
      <c r="C131" s="1">
        <v>284</v>
      </c>
      <c r="D131" s="13">
        <v>60.1</v>
      </c>
      <c r="E131" s="1" t="s">
        <v>11</v>
      </c>
      <c r="F131" s="2">
        <v>0.80500000000000005</v>
      </c>
      <c r="G131" s="1" t="s">
        <v>12</v>
      </c>
      <c r="H131" s="1" t="s">
        <v>13</v>
      </c>
      <c r="I131" s="1" t="s">
        <v>14</v>
      </c>
      <c r="J131" s="14">
        <v>0.37099537037037039</v>
      </c>
      <c r="K131" s="15">
        <v>45537</v>
      </c>
      <c r="L131" s="15"/>
      <c r="M131" s="2">
        <v>0.65500000000000003</v>
      </c>
      <c r="O131" s="2">
        <f t="shared" si="11"/>
        <v>0.58000000000000007</v>
      </c>
      <c r="P131" s="2">
        <f t="shared" si="12"/>
        <v>55.253724247226621</v>
      </c>
      <c r="Q131" s="2">
        <f t="shared" si="13"/>
        <v>0.30000000000000027</v>
      </c>
      <c r="R131" s="2">
        <f t="shared" si="14"/>
        <v>0.27628486529318569</v>
      </c>
      <c r="S131" s="2">
        <f t="shared" si="15"/>
        <v>2.3715134706814578E-2</v>
      </c>
    </row>
    <row r="132" spans="2:19" x14ac:dyDescent="0.25">
      <c r="B132" s="1">
        <f t="shared" si="16"/>
        <v>126</v>
      </c>
      <c r="C132" s="1">
        <v>285</v>
      </c>
      <c r="D132" s="13">
        <v>59.9</v>
      </c>
      <c r="E132" s="1" t="s">
        <v>11</v>
      </c>
      <c r="F132" s="2">
        <v>0.81</v>
      </c>
      <c r="G132" s="1" t="s">
        <v>12</v>
      </c>
      <c r="H132" s="1" t="s">
        <v>13</v>
      </c>
      <c r="I132" s="1" t="s">
        <v>14</v>
      </c>
      <c r="J132" s="14">
        <v>0.37099537037037039</v>
      </c>
      <c r="K132" s="15">
        <v>45537</v>
      </c>
      <c r="L132" s="15"/>
      <c r="M132" s="2">
        <v>0.66</v>
      </c>
      <c r="O132" s="2">
        <f t="shared" si="11"/>
        <v>0.58500000000000008</v>
      </c>
      <c r="P132" s="2">
        <f t="shared" si="12"/>
        <v>55.260221870047545</v>
      </c>
      <c r="Q132" s="2">
        <f t="shared" si="13"/>
        <v>0.29849999999999366</v>
      </c>
      <c r="R132" s="2">
        <f t="shared" si="14"/>
        <v>0.27631735340728414</v>
      </c>
      <c r="S132" s="2">
        <f t="shared" si="15"/>
        <v>2.2182646592709521E-2</v>
      </c>
    </row>
    <row r="133" spans="2:19" x14ac:dyDescent="0.25">
      <c r="B133" s="1">
        <f t="shared" si="16"/>
        <v>127</v>
      </c>
      <c r="C133" s="1">
        <v>287</v>
      </c>
      <c r="D133" s="13">
        <v>59.5</v>
      </c>
      <c r="E133" s="1" t="s">
        <v>11</v>
      </c>
      <c r="F133" s="2">
        <v>0.81499999999999995</v>
      </c>
      <c r="G133" s="1" t="s">
        <v>12</v>
      </c>
      <c r="H133" s="1" t="s">
        <v>13</v>
      </c>
      <c r="I133" s="1" t="s">
        <v>14</v>
      </c>
      <c r="J133" s="14">
        <v>0.37099537037037039</v>
      </c>
      <c r="K133" s="15">
        <v>45537</v>
      </c>
      <c r="L133" s="15"/>
      <c r="M133" s="2">
        <v>0.66499999999999992</v>
      </c>
      <c r="O133" s="2">
        <f t="shared" si="11"/>
        <v>0.59</v>
      </c>
      <c r="P133" s="2">
        <f t="shared" si="12"/>
        <v>55.266719492868461</v>
      </c>
      <c r="Q133" s="2">
        <f t="shared" si="13"/>
        <v>0.29725000000000029</v>
      </c>
      <c r="R133" s="2">
        <f t="shared" si="14"/>
        <v>0.27634984152139486</v>
      </c>
      <c r="S133" s="2">
        <f t="shared" si="15"/>
        <v>2.0900158478605435E-2</v>
      </c>
    </row>
    <row r="134" spans="2:19" x14ac:dyDescent="0.25">
      <c r="B134" s="1">
        <f t="shared" si="16"/>
        <v>128</v>
      </c>
      <c r="C134" s="1">
        <v>288</v>
      </c>
      <c r="D134" s="13">
        <v>59.4</v>
      </c>
      <c r="E134" s="1" t="s">
        <v>11</v>
      </c>
      <c r="F134" s="2">
        <v>0.82</v>
      </c>
      <c r="G134" s="1" t="s">
        <v>12</v>
      </c>
      <c r="H134" s="1" t="s">
        <v>13</v>
      </c>
      <c r="I134" s="1" t="s">
        <v>14</v>
      </c>
      <c r="J134" s="14">
        <v>0.37099537037037039</v>
      </c>
      <c r="K134" s="15">
        <v>45537</v>
      </c>
      <c r="L134" s="15"/>
      <c r="M134" s="2">
        <v>0.66999999999999993</v>
      </c>
      <c r="O134" s="2">
        <f t="shared" si="11"/>
        <v>0.59499999999999997</v>
      </c>
      <c r="P134" s="2">
        <f t="shared" si="12"/>
        <v>55.273217115689384</v>
      </c>
      <c r="Q134" s="2">
        <f t="shared" si="13"/>
        <v>0.29650000000000026</v>
      </c>
      <c r="R134" s="2">
        <f t="shared" si="14"/>
        <v>0.27638232963549947</v>
      </c>
      <c r="S134" s="2">
        <f t="shared" si="15"/>
        <v>2.0117670364500795E-2</v>
      </c>
    </row>
    <row r="135" spans="2:19" x14ac:dyDescent="0.25">
      <c r="B135" s="1">
        <f t="shared" si="16"/>
        <v>129</v>
      </c>
      <c r="C135" s="1">
        <v>290</v>
      </c>
      <c r="D135" s="13">
        <v>59.2</v>
      </c>
      <c r="E135" s="1" t="s">
        <v>11</v>
      </c>
      <c r="F135" s="2">
        <v>0.82499999999999996</v>
      </c>
      <c r="G135" s="1" t="s">
        <v>12</v>
      </c>
      <c r="H135" s="1" t="s">
        <v>13</v>
      </c>
      <c r="I135" s="1" t="s">
        <v>14</v>
      </c>
      <c r="J135" s="14">
        <v>0.37099537037037039</v>
      </c>
      <c r="K135" s="15">
        <v>45537</v>
      </c>
      <c r="L135" s="15"/>
      <c r="M135" s="2">
        <v>0.67499999999999993</v>
      </c>
      <c r="O135" s="2">
        <f t="shared" si="11"/>
        <v>0.6</v>
      </c>
      <c r="P135" s="2">
        <f t="shared" si="12"/>
        <v>55.2797147385103</v>
      </c>
      <c r="Q135" s="2">
        <f t="shared" si="13"/>
        <v>0.29575000000000029</v>
      </c>
      <c r="R135" s="2">
        <f t="shared" si="14"/>
        <v>0.27641481774960408</v>
      </c>
      <c r="S135" s="2">
        <f t="shared" si="15"/>
        <v>1.933518225039621E-2</v>
      </c>
    </row>
    <row r="136" spans="2:19" x14ac:dyDescent="0.25">
      <c r="B136" s="1">
        <f t="shared" si="16"/>
        <v>130</v>
      </c>
      <c r="C136" s="1">
        <v>292</v>
      </c>
      <c r="D136" s="13">
        <v>59.1</v>
      </c>
      <c r="E136" s="1" t="s">
        <v>11</v>
      </c>
      <c r="F136" s="2">
        <v>0.83</v>
      </c>
      <c r="G136" s="1" t="s">
        <v>12</v>
      </c>
      <c r="H136" s="1" t="s">
        <v>13</v>
      </c>
      <c r="I136" s="1" t="s">
        <v>14</v>
      </c>
      <c r="J136" s="14">
        <v>0.37099537037037039</v>
      </c>
      <c r="K136" s="15">
        <v>45537</v>
      </c>
      <c r="L136" s="15"/>
      <c r="M136" s="2">
        <v>0.67999999999999994</v>
      </c>
      <c r="O136" s="2">
        <f t="shared" ref="O136:O199" si="17">M136-$X$23</f>
        <v>0.60499999999999998</v>
      </c>
      <c r="P136" s="2">
        <f t="shared" ref="P136:P199" si="18">O136*$AC$21+$Y$23</f>
        <v>55.286212361331224</v>
      </c>
      <c r="Q136" s="2">
        <f t="shared" ref="Q136:Q199" si="19">((D136+D137)/2)*(M137-M136)</f>
        <v>0.29500000000000026</v>
      </c>
      <c r="R136" s="2">
        <f t="shared" ref="R136:R199" si="20">((P136+P137)/2)*(O137-O136)</f>
        <v>0.27644730586370864</v>
      </c>
      <c r="S136" s="2">
        <f t="shared" ref="S136:S199" si="21">Q136-R136</f>
        <v>1.8552694136291625E-2</v>
      </c>
    </row>
    <row r="137" spans="2:19" x14ac:dyDescent="0.25">
      <c r="B137" s="1">
        <f t="shared" ref="B137:B200" si="22">B136+1</f>
        <v>131</v>
      </c>
      <c r="C137" s="1">
        <v>293</v>
      </c>
      <c r="D137" s="13">
        <v>58.9</v>
      </c>
      <c r="E137" s="1" t="s">
        <v>11</v>
      </c>
      <c r="F137" s="2">
        <v>0.83499999999999996</v>
      </c>
      <c r="G137" s="1" t="s">
        <v>12</v>
      </c>
      <c r="H137" s="1" t="s">
        <v>13</v>
      </c>
      <c r="I137" s="1" t="s">
        <v>14</v>
      </c>
      <c r="J137" s="14">
        <v>0.37099537037037039</v>
      </c>
      <c r="K137" s="15">
        <v>45537</v>
      </c>
      <c r="L137" s="15"/>
      <c r="M137" s="2">
        <v>0.68499999999999994</v>
      </c>
      <c r="O137" s="2">
        <f t="shared" si="17"/>
        <v>0.61</v>
      </c>
      <c r="P137" s="2">
        <f t="shared" si="18"/>
        <v>55.29270998415214</v>
      </c>
      <c r="Q137" s="2">
        <f t="shared" si="19"/>
        <v>0.29425000000000023</v>
      </c>
      <c r="R137" s="2">
        <f t="shared" si="20"/>
        <v>0.27647979397781325</v>
      </c>
      <c r="S137" s="2">
        <f t="shared" si="21"/>
        <v>1.7770206022186985E-2</v>
      </c>
    </row>
    <row r="138" spans="2:19" x14ac:dyDescent="0.25">
      <c r="B138" s="1">
        <f t="shared" si="22"/>
        <v>132</v>
      </c>
      <c r="C138" s="1">
        <v>294</v>
      </c>
      <c r="D138" s="13">
        <v>58.8</v>
      </c>
      <c r="E138" s="1" t="s">
        <v>11</v>
      </c>
      <c r="F138" s="2">
        <v>0.84</v>
      </c>
      <c r="G138" s="1" t="s">
        <v>12</v>
      </c>
      <c r="H138" s="1" t="s">
        <v>13</v>
      </c>
      <c r="I138" s="1" t="s">
        <v>14</v>
      </c>
      <c r="J138" s="14">
        <v>0.37100694444444443</v>
      </c>
      <c r="K138" s="15">
        <v>45537</v>
      </c>
      <c r="L138" s="15"/>
      <c r="M138" s="2">
        <v>0.69</v>
      </c>
      <c r="O138" s="2">
        <f t="shared" si="17"/>
        <v>0.61499999999999999</v>
      </c>
      <c r="P138" s="2">
        <f t="shared" si="18"/>
        <v>55.299207606973056</v>
      </c>
      <c r="Q138" s="2">
        <f t="shared" si="19"/>
        <v>0.29350000000000026</v>
      </c>
      <c r="R138" s="2">
        <f t="shared" si="20"/>
        <v>0.2765122820919178</v>
      </c>
      <c r="S138" s="2">
        <f t="shared" si="21"/>
        <v>1.6987717908082456E-2</v>
      </c>
    </row>
    <row r="139" spans="2:19" x14ac:dyDescent="0.25">
      <c r="B139" s="1">
        <f t="shared" si="22"/>
        <v>133</v>
      </c>
      <c r="C139" s="1">
        <v>295</v>
      </c>
      <c r="D139" s="13">
        <v>58.6</v>
      </c>
      <c r="E139" s="1" t="s">
        <v>11</v>
      </c>
      <c r="F139" s="2">
        <v>0.84499999999999997</v>
      </c>
      <c r="G139" s="1" t="s">
        <v>12</v>
      </c>
      <c r="H139" s="1" t="s">
        <v>13</v>
      </c>
      <c r="I139" s="1" t="s">
        <v>14</v>
      </c>
      <c r="J139" s="14">
        <v>0.37100694444444443</v>
      </c>
      <c r="K139" s="15">
        <v>45537</v>
      </c>
      <c r="L139" s="15"/>
      <c r="M139" s="2">
        <v>0.69499999999999995</v>
      </c>
      <c r="O139" s="2">
        <f t="shared" si="17"/>
        <v>0.62</v>
      </c>
      <c r="P139" s="2">
        <f t="shared" si="18"/>
        <v>55.305705229793979</v>
      </c>
      <c r="Q139" s="2">
        <f t="shared" si="19"/>
        <v>0.29250000000000026</v>
      </c>
      <c r="R139" s="2">
        <f t="shared" si="20"/>
        <v>0.27654477020602242</v>
      </c>
      <c r="S139" s="2">
        <f t="shared" si="21"/>
        <v>1.5955229793977843E-2</v>
      </c>
    </row>
    <row r="140" spans="2:19" x14ac:dyDescent="0.25">
      <c r="B140" s="1">
        <f t="shared" si="22"/>
        <v>134</v>
      </c>
      <c r="C140" s="1">
        <v>297</v>
      </c>
      <c r="D140" s="13">
        <v>58.4</v>
      </c>
      <c r="E140" s="1" t="s">
        <v>11</v>
      </c>
      <c r="F140" s="2">
        <v>0.85</v>
      </c>
      <c r="G140" s="1" t="s">
        <v>12</v>
      </c>
      <c r="H140" s="1" t="s">
        <v>13</v>
      </c>
      <c r="I140" s="1" t="s">
        <v>14</v>
      </c>
      <c r="J140" s="14">
        <v>0.37100694444444443</v>
      </c>
      <c r="K140" s="15">
        <v>45537</v>
      </c>
      <c r="L140" s="15"/>
      <c r="M140" s="2">
        <v>0.7</v>
      </c>
      <c r="O140" s="2">
        <f t="shared" si="17"/>
        <v>0.625</v>
      </c>
      <c r="P140" s="2">
        <f t="shared" si="18"/>
        <v>55.312202852614895</v>
      </c>
      <c r="Q140" s="2">
        <f t="shared" si="19"/>
        <v>0.29200000000000026</v>
      </c>
      <c r="R140" s="2">
        <f t="shared" si="20"/>
        <v>0.27657725832012703</v>
      </c>
      <c r="S140" s="2">
        <f t="shared" si="21"/>
        <v>1.5422741679873231E-2</v>
      </c>
    </row>
    <row r="141" spans="2:19" x14ac:dyDescent="0.25">
      <c r="B141" s="1">
        <f t="shared" si="22"/>
        <v>135</v>
      </c>
      <c r="C141" s="1">
        <v>298</v>
      </c>
      <c r="D141" s="13">
        <v>58.4</v>
      </c>
      <c r="E141" s="1" t="s">
        <v>11</v>
      </c>
      <c r="F141" s="2">
        <v>0.85499999999999998</v>
      </c>
      <c r="G141" s="1" t="s">
        <v>12</v>
      </c>
      <c r="H141" s="1" t="s">
        <v>13</v>
      </c>
      <c r="I141" s="1" t="s">
        <v>14</v>
      </c>
      <c r="J141" s="14">
        <v>0.37100694444444443</v>
      </c>
      <c r="K141" s="15">
        <v>45537</v>
      </c>
      <c r="L141" s="15"/>
      <c r="M141" s="2">
        <v>0.70499999999999996</v>
      </c>
      <c r="O141" s="2">
        <f t="shared" si="17"/>
        <v>0.63</v>
      </c>
      <c r="P141" s="2">
        <f t="shared" si="18"/>
        <v>55.318700475435818</v>
      </c>
      <c r="Q141" s="2">
        <f t="shared" si="19"/>
        <v>0.29175000000000023</v>
      </c>
      <c r="R141" s="2">
        <f t="shared" si="20"/>
        <v>0.27660974643423164</v>
      </c>
      <c r="S141" s="2">
        <f t="shared" si="21"/>
        <v>1.5140253565768591E-2</v>
      </c>
    </row>
    <row r="142" spans="2:19" x14ac:dyDescent="0.25">
      <c r="B142" s="1">
        <f t="shared" si="22"/>
        <v>136</v>
      </c>
      <c r="C142" s="1">
        <v>299</v>
      </c>
      <c r="D142" s="13">
        <v>58.3</v>
      </c>
      <c r="E142" s="1" t="s">
        <v>11</v>
      </c>
      <c r="F142" s="2">
        <v>0.86</v>
      </c>
      <c r="G142" s="1" t="s">
        <v>12</v>
      </c>
      <c r="H142" s="1" t="s">
        <v>13</v>
      </c>
      <c r="I142" s="1" t="s">
        <v>14</v>
      </c>
      <c r="J142" s="14">
        <v>0.37100694444444443</v>
      </c>
      <c r="K142" s="15">
        <v>45537</v>
      </c>
      <c r="L142" s="15"/>
      <c r="M142" s="2">
        <v>0.71</v>
      </c>
      <c r="O142" s="2">
        <f t="shared" si="17"/>
        <v>0.63500000000000001</v>
      </c>
      <c r="P142" s="2">
        <f t="shared" si="18"/>
        <v>55.325198098256735</v>
      </c>
      <c r="Q142" s="2">
        <f t="shared" si="19"/>
        <v>0.29150000000000026</v>
      </c>
      <c r="R142" s="2">
        <f t="shared" si="20"/>
        <v>0.2766422345483362</v>
      </c>
      <c r="S142" s="2">
        <f t="shared" si="21"/>
        <v>1.4857765451664062E-2</v>
      </c>
    </row>
    <row r="143" spans="2:19" x14ac:dyDescent="0.25">
      <c r="B143" s="1">
        <f t="shared" si="22"/>
        <v>137</v>
      </c>
      <c r="C143" s="1">
        <v>301</v>
      </c>
      <c r="D143" s="13">
        <v>58.3</v>
      </c>
      <c r="E143" s="1" t="s">
        <v>11</v>
      </c>
      <c r="F143" s="2">
        <v>0.86499999999999999</v>
      </c>
      <c r="G143" s="1" t="s">
        <v>12</v>
      </c>
      <c r="H143" s="1" t="s">
        <v>13</v>
      </c>
      <c r="I143" s="1" t="s">
        <v>14</v>
      </c>
      <c r="J143" s="14">
        <v>0.37100694444444443</v>
      </c>
      <c r="K143" s="15">
        <v>45537</v>
      </c>
      <c r="L143" s="15"/>
      <c r="M143" s="2">
        <v>0.71499999999999997</v>
      </c>
      <c r="O143" s="2">
        <f t="shared" si="17"/>
        <v>0.64</v>
      </c>
      <c r="P143" s="2">
        <f t="shared" si="18"/>
        <v>55.331695721077658</v>
      </c>
      <c r="Q143" s="2">
        <f t="shared" si="19"/>
        <v>0.29125000000000023</v>
      </c>
      <c r="R143" s="2">
        <f t="shared" si="20"/>
        <v>0.27667472266244081</v>
      </c>
      <c r="S143" s="2">
        <f t="shared" si="21"/>
        <v>1.4575277337559422E-2</v>
      </c>
    </row>
    <row r="144" spans="2:19" x14ac:dyDescent="0.25">
      <c r="B144" s="1">
        <f t="shared" si="22"/>
        <v>138</v>
      </c>
      <c r="C144" s="1">
        <v>302</v>
      </c>
      <c r="D144" s="13">
        <v>58.2</v>
      </c>
      <c r="E144" s="1" t="s">
        <v>11</v>
      </c>
      <c r="F144" s="2">
        <v>0.87</v>
      </c>
      <c r="G144" s="1" t="s">
        <v>12</v>
      </c>
      <c r="H144" s="1" t="s">
        <v>13</v>
      </c>
      <c r="I144" s="1" t="s">
        <v>14</v>
      </c>
      <c r="J144" s="14">
        <v>0.37100694444444443</v>
      </c>
      <c r="K144" s="15">
        <v>45537</v>
      </c>
      <c r="L144" s="15"/>
      <c r="M144" s="2">
        <v>0.72</v>
      </c>
      <c r="O144" s="2">
        <f t="shared" si="17"/>
        <v>0.64500000000000002</v>
      </c>
      <c r="P144" s="2">
        <f t="shared" si="18"/>
        <v>55.338193343898574</v>
      </c>
      <c r="Q144" s="2">
        <f t="shared" si="19"/>
        <v>0.29050000000000026</v>
      </c>
      <c r="R144" s="2">
        <f t="shared" si="20"/>
        <v>0.27670721077654542</v>
      </c>
      <c r="S144" s="2">
        <f t="shared" si="21"/>
        <v>1.3792789223454838E-2</v>
      </c>
    </row>
    <row r="145" spans="2:19" x14ac:dyDescent="0.25">
      <c r="B145" s="1">
        <f t="shared" si="22"/>
        <v>139</v>
      </c>
      <c r="C145" s="1">
        <v>303</v>
      </c>
      <c r="D145" s="13">
        <v>58</v>
      </c>
      <c r="E145" s="1" t="s">
        <v>11</v>
      </c>
      <c r="F145" s="2">
        <v>0.875</v>
      </c>
      <c r="G145" s="1" t="s">
        <v>12</v>
      </c>
      <c r="H145" s="1" t="s">
        <v>13</v>
      </c>
      <c r="I145" s="1" t="s">
        <v>14</v>
      </c>
      <c r="J145" s="14">
        <v>0.37100694444444443</v>
      </c>
      <c r="K145" s="15">
        <v>45537</v>
      </c>
      <c r="L145" s="15"/>
      <c r="M145" s="2">
        <v>0.72499999999999998</v>
      </c>
      <c r="O145" s="2">
        <f t="shared" si="17"/>
        <v>0.65</v>
      </c>
      <c r="P145" s="2">
        <f t="shared" si="18"/>
        <v>55.34469096671949</v>
      </c>
      <c r="Q145" s="2">
        <f t="shared" si="19"/>
        <v>0.28975000000000029</v>
      </c>
      <c r="R145" s="2">
        <f t="shared" si="20"/>
        <v>0.27673969889065003</v>
      </c>
      <c r="S145" s="2">
        <f t="shared" si="21"/>
        <v>1.3010301109350253E-2</v>
      </c>
    </row>
    <row r="146" spans="2:19" x14ac:dyDescent="0.25">
      <c r="B146" s="1">
        <f t="shared" si="22"/>
        <v>140</v>
      </c>
      <c r="C146" s="1">
        <v>304</v>
      </c>
      <c r="D146" s="13">
        <v>57.9</v>
      </c>
      <c r="E146" s="1" t="s">
        <v>11</v>
      </c>
      <c r="F146" s="2">
        <v>0.88</v>
      </c>
      <c r="G146" s="1" t="s">
        <v>12</v>
      </c>
      <c r="H146" s="1" t="s">
        <v>13</v>
      </c>
      <c r="I146" s="1" t="s">
        <v>14</v>
      </c>
      <c r="J146" s="14">
        <v>0.37101851851851853</v>
      </c>
      <c r="K146" s="15">
        <v>45537</v>
      </c>
      <c r="L146" s="15"/>
      <c r="M146" s="2">
        <v>0.73</v>
      </c>
      <c r="O146" s="2">
        <f t="shared" si="17"/>
        <v>0.65500000000000003</v>
      </c>
      <c r="P146" s="2">
        <f t="shared" si="18"/>
        <v>55.351188589540413</v>
      </c>
      <c r="Q146" s="2">
        <f t="shared" si="19"/>
        <v>0.28875000000000028</v>
      </c>
      <c r="R146" s="2">
        <f t="shared" si="20"/>
        <v>0.27677218700475459</v>
      </c>
      <c r="S146" s="2">
        <f t="shared" si="21"/>
        <v>1.1977812995245696E-2</v>
      </c>
    </row>
    <row r="147" spans="2:19" x14ac:dyDescent="0.25">
      <c r="B147" s="1">
        <f t="shared" si="22"/>
        <v>141</v>
      </c>
      <c r="C147" s="1">
        <v>305</v>
      </c>
      <c r="D147" s="13">
        <v>57.6</v>
      </c>
      <c r="E147" s="1" t="s">
        <v>11</v>
      </c>
      <c r="F147" s="2">
        <v>0.88500000000000001</v>
      </c>
      <c r="G147" s="1" t="s">
        <v>12</v>
      </c>
      <c r="H147" s="1" t="s">
        <v>13</v>
      </c>
      <c r="I147" s="1" t="s">
        <v>14</v>
      </c>
      <c r="J147" s="14">
        <v>0.37101851851851853</v>
      </c>
      <c r="K147" s="15">
        <v>45537</v>
      </c>
      <c r="L147" s="15"/>
      <c r="M147" s="2">
        <v>0.73499999999999999</v>
      </c>
      <c r="O147" s="2">
        <f t="shared" si="17"/>
        <v>0.66</v>
      </c>
      <c r="P147" s="2">
        <f t="shared" si="18"/>
        <v>55.35768621236133</v>
      </c>
      <c r="Q147" s="2">
        <f t="shared" si="19"/>
        <v>0.57500000000000051</v>
      </c>
      <c r="R147" s="2">
        <f t="shared" si="20"/>
        <v>0.5536418383518229</v>
      </c>
      <c r="S147" s="2">
        <f t="shared" si="21"/>
        <v>2.1358161648177609E-2</v>
      </c>
    </row>
    <row r="148" spans="2:19" x14ac:dyDescent="0.25">
      <c r="B148" s="1">
        <f t="shared" si="22"/>
        <v>142</v>
      </c>
      <c r="C148" s="1">
        <v>306</v>
      </c>
      <c r="D148" s="13">
        <v>57.4</v>
      </c>
      <c r="E148" s="1" t="s">
        <v>11</v>
      </c>
      <c r="F148" s="2">
        <v>0.89500000000000002</v>
      </c>
      <c r="G148" s="1" t="s">
        <v>12</v>
      </c>
      <c r="H148" s="1" t="s">
        <v>13</v>
      </c>
      <c r="I148" s="1" t="s">
        <v>14</v>
      </c>
      <c r="J148" s="14">
        <v>0.37101851851851853</v>
      </c>
      <c r="K148" s="15">
        <v>45537</v>
      </c>
      <c r="L148" s="15"/>
      <c r="M148" s="2">
        <v>0.745</v>
      </c>
      <c r="O148" s="2">
        <f t="shared" si="17"/>
        <v>0.67</v>
      </c>
      <c r="P148" s="2">
        <f t="shared" si="18"/>
        <v>55.370681458003169</v>
      </c>
      <c r="Q148" s="2">
        <f t="shared" si="19"/>
        <v>0.28625000000000023</v>
      </c>
      <c r="R148" s="2">
        <f t="shared" si="20"/>
        <v>0.27686965134706842</v>
      </c>
      <c r="S148" s="2">
        <f t="shared" si="21"/>
        <v>9.3803486529318025E-3</v>
      </c>
    </row>
    <row r="149" spans="2:19" x14ac:dyDescent="0.25">
      <c r="B149" s="1">
        <f t="shared" si="22"/>
        <v>143</v>
      </c>
      <c r="C149" s="1">
        <v>307</v>
      </c>
      <c r="D149" s="13">
        <v>57.1</v>
      </c>
      <c r="E149" s="1" t="s">
        <v>11</v>
      </c>
      <c r="F149" s="2">
        <v>0.9</v>
      </c>
      <c r="G149" s="1" t="s">
        <v>12</v>
      </c>
      <c r="H149" s="1" t="s">
        <v>13</v>
      </c>
      <c r="I149" s="1" t="s">
        <v>14</v>
      </c>
      <c r="J149" s="14">
        <v>0.37101851851851853</v>
      </c>
      <c r="K149" s="15">
        <v>45537</v>
      </c>
      <c r="L149" s="15"/>
      <c r="M149" s="2">
        <v>0.75</v>
      </c>
      <c r="O149" s="2">
        <f t="shared" si="17"/>
        <v>0.67500000000000004</v>
      </c>
      <c r="P149" s="2">
        <f t="shared" si="18"/>
        <v>55.377179080824092</v>
      </c>
      <c r="Q149" s="2">
        <f t="shared" si="19"/>
        <v>0.28500000000000025</v>
      </c>
      <c r="R149" s="2">
        <f t="shared" si="20"/>
        <v>0.27690213946117298</v>
      </c>
      <c r="S149" s="2">
        <f t="shared" si="21"/>
        <v>8.0978605388272729E-3</v>
      </c>
    </row>
    <row r="150" spans="2:19" x14ac:dyDescent="0.25">
      <c r="B150" s="1">
        <f t="shared" si="22"/>
        <v>144</v>
      </c>
      <c r="C150" s="1">
        <v>308</v>
      </c>
      <c r="D150" s="13">
        <v>56.9</v>
      </c>
      <c r="E150" s="1" t="s">
        <v>11</v>
      </c>
      <c r="F150" s="2">
        <v>0.90500000000000003</v>
      </c>
      <c r="G150" s="1" t="s">
        <v>12</v>
      </c>
      <c r="H150" s="1" t="s">
        <v>13</v>
      </c>
      <c r="I150" s="1" t="s">
        <v>14</v>
      </c>
      <c r="J150" s="14">
        <v>0.37101851851851853</v>
      </c>
      <c r="K150" s="15">
        <v>45537</v>
      </c>
      <c r="L150" s="15"/>
      <c r="M150" s="2">
        <v>0.755</v>
      </c>
      <c r="O150" s="2">
        <f t="shared" si="17"/>
        <v>0.68</v>
      </c>
      <c r="P150" s="2">
        <f t="shared" si="18"/>
        <v>55.383676703645008</v>
      </c>
      <c r="Q150" s="2">
        <f t="shared" si="19"/>
        <v>0.28425000000000022</v>
      </c>
      <c r="R150" s="2">
        <f t="shared" si="20"/>
        <v>0.27693462757527759</v>
      </c>
      <c r="S150" s="2">
        <f t="shared" si="21"/>
        <v>7.3153724247226326E-3</v>
      </c>
    </row>
    <row r="151" spans="2:19" x14ac:dyDescent="0.25">
      <c r="B151" s="1">
        <f t="shared" si="22"/>
        <v>145</v>
      </c>
      <c r="C151" s="1">
        <v>309</v>
      </c>
      <c r="D151" s="13">
        <v>56.8</v>
      </c>
      <c r="E151" s="1" t="s">
        <v>11</v>
      </c>
      <c r="F151" s="2">
        <v>0.91</v>
      </c>
      <c r="G151" s="1" t="s">
        <v>12</v>
      </c>
      <c r="H151" s="1" t="s">
        <v>13</v>
      </c>
      <c r="I151" s="1" t="s">
        <v>14</v>
      </c>
      <c r="J151" s="14">
        <v>0.37101851851851853</v>
      </c>
      <c r="K151" s="15">
        <v>45537</v>
      </c>
      <c r="L151" s="15"/>
      <c r="M151" s="2">
        <v>0.76</v>
      </c>
      <c r="O151" s="2">
        <f t="shared" si="17"/>
        <v>0.68500000000000005</v>
      </c>
      <c r="P151" s="2">
        <f t="shared" si="18"/>
        <v>55.390174326465925</v>
      </c>
      <c r="Q151" s="2">
        <f t="shared" si="19"/>
        <v>0.28350000000000025</v>
      </c>
      <c r="R151" s="2">
        <f t="shared" si="20"/>
        <v>0.27696711568938215</v>
      </c>
      <c r="S151" s="2">
        <f t="shared" si="21"/>
        <v>6.5328843106181034E-3</v>
      </c>
    </row>
    <row r="152" spans="2:19" x14ac:dyDescent="0.25">
      <c r="B152" s="1">
        <f t="shared" si="22"/>
        <v>146</v>
      </c>
      <c r="C152" s="1">
        <v>310</v>
      </c>
      <c r="D152" s="13">
        <v>56.6</v>
      </c>
      <c r="E152" s="1" t="s">
        <v>11</v>
      </c>
      <c r="F152" s="2">
        <v>0.91500000000000004</v>
      </c>
      <c r="G152" s="1" t="s">
        <v>12</v>
      </c>
      <c r="H152" s="1" t="s">
        <v>13</v>
      </c>
      <c r="I152" s="1" t="s">
        <v>14</v>
      </c>
      <c r="J152" s="14">
        <v>0.37101851851851853</v>
      </c>
      <c r="K152" s="15">
        <v>45537</v>
      </c>
      <c r="L152" s="15"/>
      <c r="M152" s="2">
        <v>0.76500000000000001</v>
      </c>
      <c r="O152" s="2">
        <f t="shared" si="17"/>
        <v>0.69000000000000006</v>
      </c>
      <c r="P152" s="2">
        <f t="shared" si="18"/>
        <v>55.396671949286848</v>
      </c>
      <c r="Q152" s="2">
        <f t="shared" si="19"/>
        <v>0.28275000000000022</v>
      </c>
      <c r="R152" s="2">
        <f t="shared" si="20"/>
        <v>0.27699960380348676</v>
      </c>
      <c r="S152" s="2">
        <f t="shared" si="21"/>
        <v>5.7503961965134631E-3</v>
      </c>
    </row>
    <row r="153" spans="2:19" x14ac:dyDescent="0.25">
      <c r="B153" s="1">
        <f t="shared" si="22"/>
        <v>147</v>
      </c>
      <c r="C153" s="1">
        <v>311</v>
      </c>
      <c r="D153" s="13">
        <v>56.5</v>
      </c>
      <c r="E153" s="1" t="s">
        <v>11</v>
      </c>
      <c r="F153" s="2">
        <v>0.92</v>
      </c>
      <c r="G153" s="1" t="s">
        <v>12</v>
      </c>
      <c r="H153" s="1" t="s">
        <v>13</v>
      </c>
      <c r="I153" s="1" t="s">
        <v>14</v>
      </c>
      <c r="J153" s="14">
        <v>0.37101851851851853</v>
      </c>
      <c r="K153" s="15">
        <v>45537</v>
      </c>
      <c r="L153" s="15"/>
      <c r="M153" s="2">
        <v>0.77</v>
      </c>
      <c r="O153" s="2">
        <f t="shared" si="17"/>
        <v>0.69500000000000006</v>
      </c>
      <c r="P153" s="2">
        <f t="shared" si="18"/>
        <v>55.403169572107764</v>
      </c>
      <c r="Q153" s="2">
        <f t="shared" si="19"/>
        <v>0.28200000000000025</v>
      </c>
      <c r="R153" s="2">
        <f t="shared" si="20"/>
        <v>0.27703209191759137</v>
      </c>
      <c r="S153" s="2">
        <f t="shared" si="21"/>
        <v>4.9679080824088784E-3</v>
      </c>
    </row>
    <row r="154" spans="2:19" x14ac:dyDescent="0.25">
      <c r="B154" s="1">
        <f t="shared" si="22"/>
        <v>148</v>
      </c>
      <c r="C154" s="1">
        <v>313</v>
      </c>
      <c r="D154" s="13">
        <v>56.3</v>
      </c>
      <c r="E154" s="1" t="s">
        <v>11</v>
      </c>
      <c r="F154" s="2">
        <v>0.92500000000000004</v>
      </c>
      <c r="G154" s="1" t="s">
        <v>12</v>
      </c>
      <c r="H154" s="1" t="s">
        <v>13</v>
      </c>
      <c r="I154" s="1" t="s">
        <v>14</v>
      </c>
      <c r="J154" s="14">
        <v>0.37101851851851853</v>
      </c>
      <c r="K154" s="15">
        <v>45537</v>
      </c>
      <c r="L154" s="15"/>
      <c r="M154" s="2">
        <v>0.77500000000000002</v>
      </c>
      <c r="O154" s="2">
        <f t="shared" si="17"/>
        <v>0.70000000000000007</v>
      </c>
      <c r="P154" s="2">
        <f t="shared" si="18"/>
        <v>55.409667194928687</v>
      </c>
      <c r="Q154" s="2">
        <f t="shared" si="19"/>
        <v>0.28100000000000025</v>
      </c>
      <c r="R154" s="2">
        <f t="shared" si="20"/>
        <v>0.27706458003169598</v>
      </c>
      <c r="S154" s="2">
        <f t="shared" si="21"/>
        <v>3.9354199683042657E-3</v>
      </c>
    </row>
    <row r="155" spans="2:19" x14ac:dyDescent="0.25">
      <c r="B155" s="1">
        <f t="shared" si="22"/>
        <v>149</v>
      </c>
      <c r="C155" s="1">
        <v>314</v>
      </c>
      <c r="D155" s="13">
        <v>56.1</v>
      </c>
      <c r="E155" s="1" t="s">
        <v>11</v>
      </c>
      <c r="F155" s="2">
        <v>0.93</v>
      </c>
      <c r="G155" s="1" t="s">
        <v>12</v>
      </c>
      <c r="H155" s="1" t="s">
        <v>13</v>
      </c>
      <c r="I155" s="1" t="s">
        <v>14</v>
      </c>
      <c r="J155" s="14">
        <v>0.37103009259259262</v>
      </c>
      <c r="K155" s="15">
        <v>45537</v>
      </c>
      <c r="L155" s="15"/>
      <c r="M155" s="2">
        <v>0.78</v>
      </c>
      <c r="O155" s="2">
        <f t="shared" si="17"/>
        <v>0.70500000000000007</v>
      </c>
      <c r="P155" s="2">
        <f t="shared" si="18"/>
        <v>55.416164817749603</v>
      </c>
      <c r="Q155" s="2">
        <f t="shared" si="19"/>
        <v>0.28050000000000025</v>
      </c>
      <c r="R155" s="2">
        <f t="shared" si="20"/>
        <v>0.27709706814580054</v>
      </c>
      <c r="S155" s="2">
        <f t="shared" si="21"/>
        <v>3.4029318541997089E-3</v>
      </c>
    </row>
    <row r="156" spans="2:19" x14ac:dyDescent="0.25">
      <c r="B156" s="1">
        <f t="shared" si="22"/>
        <v>150</v>
      </c>
      <c r="C156" s="1">
        <v>315</v>
      </c>
      <c r="D156" s="13">
        <v>56.1</v>
      </c>
      <c r="E156" s="1" t="s">
        <v>11</v>
      </c>
      <c r="F156" s="2">
        <v>0.93500000000000005</v>
      </c>
      <c r="G156" s="1" t="s">
        <v>12</v>
      </c>
      <c r="H156" s="1" t="s">
        <v>13</v>
      </c>
      <c r="I156" s="1" t="s">
        <v>14</v>
      </c>
      <c r="J156" s="14">
        <v>0.37103009259259262</v>
      </c>
      <c r="K156" s="15">
        <v>45537</v>
      </c>
      <c r="L156" s="15"/>
      <c r="M156" s="2">
        <v>0.78500000000000003</v>
      </c>
      <c r="O156" s="2">
        <f t="shared" si="17"/>
        <v>0.71000000000000008</v>
      </c>
      <c r="P156" s="2">
        <f t="shared" si="18"/>
        <v>55.422662440570527</v>
      </c>
      <c r="Q156" s="2">
        <f t="shared" si="19"/>
        <v>0.280249999999994</v>
      </c>
      <c r="R156" s="2">
        <f t="shared" si="20"/>
        <v>0.27712955625989899</v>
      </c>
      <c r="S156" s="2">
        <f t="shared" si="21"/>
        <v>3.1204437400950136E-3</v>
      </c>
    </row>
    <row r="157" spans="2:19" x14ac:dyDescent="0.25">
      <c r="B157" s="1">
        <f t="shared" si="22"/>
        <v>151</v>
      </c>
      <c r="C157" s="1">
        <v>317</v>
      </c>
      <c r="D157" s="13">
        <v>56</v>
      </c>
      <c r="E157" s="1" t="s">
        <v>11</v>
      </c>
      <c r="F157" s="2">
        <v>0.94</v>
      </c>
      <c r="G157" s="1" t="s">
        <v>12</v>
      </c>
      <c r="H157" s="1" t="s">
        <v>13</v>
      </c>
      <c r="I157" s="1" t="s">
        <v>14</v>
      </c>
      <c r="J157" s="14">
        <v>0.37103009259259262</v>
      </c>
      <c r="K157" s="15">
        <v>45537</v>
      </c>
      <c r="L157" s="15"/>
      <c r="M157" s="2">
        <v>0.78999999999999992</v>
      </c>
      <c r="O157" s="2">
        <f t="shared" si="17"/>
        <v>0.71499999999999997</v>
      </c>
      <c r="P157" s="2">
        <f t="shared" si="18"/>
        <v>55.429160063391443</v>
      </c>
      <c r="Q157" s="2">
        <f t="shared" si="19"/>
        <v>0.28000000000000025</v>
      </c>
      <c r="R157" s="2">
        <f t="shared" si="20"/>
        <v>0.27716204437400976</v>
      </c>
      <c r="S157" s="2">
        <f t="shared" si="21"/>
        <v>2.8379556259904848E-3</v>
      </c>
    </row>
    <row r="158" spans="2:19" x14ac:dyDescent="0.25">
      <c r="B158" s="1">
        <f t="shared" si="22"/>
        <v>152</v>
      </c>
      <c r="C158" s="1">
        <v>318</v>
      </c>
      <c r="D158" s="13">
        <v>56</v>
      </c>
      <c r="E158" s="1" t="s">
        <v>11</v>
      </c>
      <c r="F158" s="2">
        <v>0.94499999999999995</v>
      </c>
      <c r="G158" s="1" t="s">
        <v>12</v>
      </c>
      <c r="H158" s="1" t="s">
        <v>13</v>
      </c>
      <c r="I158" s="1" t="s">
        <v>14</v>
      </c>
      <c r="J158" s="14">
        <v>0.37103009259259262</v>
      </c>
      <c r="K158" s="15">
        <v>45537</v>
      </c>
      <c r="L158" s="15"/>
      <c r="M158" s="2">
        <v>0.79499999999999993</v>
      </c>
      <c r="O158" s="2">
        <f t="shared" si="17"/>
        <v>0.72</v>
      </c>
      <c r="P158" s="2">
        <f t="shared" si="18"/>
        <v>55.435657686212359</v>
      </c>
      <c r="Q158" s="2">
        <f t="shared" si="19"/>
        <v>0.27950000000000025</v>
      </c>
      <c r="R158" s="2">
        <f t="shared" si="20"/>
        <v>0.27719453248811438</v>
      </c>
      <c r="S158" s="2">
        <f t="shared" si="21"/>
        <v>2.3054675118858725E-3</v>
      </c>
    </row>
    <row r="159" spans="2:19" x14ac:dyDescent="0.25">
      <c r="B159" s="1">
        <f t="shared" si="22"/>
        <v>153</v>
      </c>
      <c r="C159" s="1">
        <v>319</v>
      </c>
      <c r="D159" s="13">
        <v>55.8</v>
      </c>
      <c r="E159" s="1" t="s">
        <v>11</v>
      </c>
      <c r="F159" s="2">
        <v>0.95</v>
      </c>
      <c r="G159" s="1" t="s">
        <v>12</v>
      </c>
      <c r="H159" s="1" t="s">
        <v>13</v>
      </c>
      <c r="I159" s="1" t="s">
        <v>14</v>
      </c>
      <c r="J159" s="14">
        <v>0.37103009259259262</v>
      </c>
      <c r="K159" s="15">
        <v>45537</v>
      </c>
      <c r="L159" s="15"/>
      <c r="M159" s="2">
        <v>0.79999999999999993</v>
      </c>
      <c r="O159" s="2">
        <f t="shared" si="17"/>
        <v>0.72499999999999998</v>
      </c>
      <c r="P159" s="2">
        <f t="shared" si="18"/>
        <v>55.442155309033282</v>
      </c>
      <c r="Q159" s="2">
        <f t="shared" si="19"/>
        <v>0.27850000000000025</v>
      </c>
      <c r="R159" s="2">
        <f t="shared" si="20"/>
        <v>0.27722702060221893</v>
      </c>
      <c r="S159" s="2">
        <f t="shared" si="21"/>
        <v>1.2729793977813153E-3</v>
      </c>
    </row>
    <row r="160" spans="2:19" x14ac:dyDescent="0.25">
      <c r="B160" s="1">
        <f t="shared" si="22"/>
        <v>154</v>
      </c>
      <c r="C160" s="1">
        <v>320</v>
      </c>
      <c r="D160" s="13">
        <v>55.6</v>
      </c>
      <c r="E160" s="1" t="s">
        <v>11</v>
      </c>
      <c r="F160" s="2">
        <v>0.95499999999999996</v>
      </c>
      <c r="G160" s="1" t="s">
        <v>12</v>
      </c>
      <c r="H160" s="1" t="s">
        <v>13</v>
      </c>
      <c r="I160" s="1" t="s">
        <v>14</v>
      </c>
      <c r="J160" s="14">
        <v>0.37103009259259262</v>
      </c>
      <c r="K160" s="15">
        <v>45537</v>
      </c>
      <c r="L160" s="15"/>
      <c r="M160" s="2">
        <v>0.80499999999999994</v>
      </c>
      <c r="O160" s="2">
        <f t="shared" si="17"/>
        <v>0.73</v>
      </c>
      <c r="P160" s="2">
        <f t="shared" si="18"/>
        <v>55.448652931854198</v>
      </c>
      <c r="Q160" s="2">
        <f t="shared" si="19"/>
        <v>0.27725000000000027</v>
      </c>
      <c r="R160" s="2">
        <f t="shared" si="20"/>
        <v>0.27725950871632354</v>
      </c>
      <c r="S160" s="2">
        <f t="shared" si="21"/>
        <v>-9.5087163232698835E-6</v>
      </c>
    </row>
    <row r="161" spans="2:19" x14ac:dyDescent="0.25">
      <c r="B161" s="1">
        <f t="shared" si="22"/>
        <v>155</v>
      </c>
      <c r="C161" s="1">
        <v>322</v>
      </c>
      <c r="D161" s="13">
        <v>55.3</v>
      </c>
      <c r="E161" s="1" t="s">
        <v>11</v>
      </c>
      <c r="F161" s="2">
        <v>0.96</v>
      </c>
      <c r="G161" s="1" t="s">
        <v>12</v>
      </c>
      <c r="H161" s="1" t="s">
        <v>13</v>
      </c>
      <c r="I161" s="1" t="s">
        <v>14</v>
      </c>
      <c r="J161" s="14">
        <v>0.37103009259259262</v>
      </c>
      <c r="K161" s="15">
        <v>45537</v>
      </c>
      <c r="L161" s="15"/>
      <c r="M161" s="2">
        <v>0.80999999999999994</v>
      </c>
      <c r="O161" s="2">
        <f t="shared" si="17"/>
        <v>0.73499999999999999</v>
      </c>
      <c r="P161" s="2">
        <f t="shared" si="18"/>
        <v>55.455150554675122</v>
      </c>
      <c r="Q161" s="2">
        <f t="shared" si="19"/>
        <v>0.27625000000000022</v>
      </c>
      <c r="R161" s="2">
        <f t="shared" si="20"/>
        <v>0.27729199683042816</v>
      </c>
      <c r="S161" s="2">
        <f t="shared" si="21"/>
        <v>-1.0419968304279381E-3</v>
      </c>
    </row>
    <row r="162" spans="2:19" x14ac:dyDescent="0.25">
      <c r="B162" s="1">
        <f t="shared" si="22"/>
        <v>156</v>
      </c>
      <c r="C162" s="1">
        <v>323</v>
      </c>
      <c r="D162" s="13">
        <v>55.2</v>
      </c>
      <c r="E162" s="1" t="s">
        <v>11</v>
      </c>
      <c r="F162" s="2">
        <v>0.96499999999999997</v>
      </c>
      <c r="G162" s="1" t="s">
        <v>12</v>
      </c>
      <c r="H162" s="1" t="s">
        <v>13</v>
      </c>
      <c r="I162" s="1" t="s">
        <v>14</v>
      </c>
      <c r="J162" s="14">
        <v>0.37103009259259262</v>
      </c>
      <c r="K162" s="15">
        <v>45537</v>
      </c>
      <c r="L162" s="15"/>
      <c r="M162" s="2">
        <v>0.81499999999999995</v>
      </c>
      <c r="O162" s="2">
        <f t="shared" si="17"/>
        <v>0.74</v>
      </c>
      <c r="P162" s="2">
        <f t="shared" si="18"/>
        <v>55.461648177496038</v>
      </c>
      <c r="Q162" s="2">
        <f t="shared" si="19"/>
        <v>0.27550000000000024</v>
      </c>
      <c r="R162" s="2">
        <f t="shared" si="20"/>
        <v>0.27732448494453277</v>
      </c>
      <c r="S162" s="2">
        <f t="shared" si="21"/>
        <v>-1.8244849445325229E-3</v>
      </c>
    </row>
    <row r="163" spans="2:19" x14ac:dyDescent="0.25">
      <c r="B163" s="1">
        <f t="shared" si="22"/>
        <v>157</v>
      </c>
      <c r="C163" s="1">
        <v>324</v>
      </c>
      <c r="D163" s="13">
        <v>55</v>
      </c>
      <c r="E163" s="1" t="s">
        <v>11</v>
      </c>
      <c r="F163" s="2">
        <v>0.97</v>
      </c>
      <c r="G163" s="1" t="s">
        <v>12</v>
      </c>
      <c r="H163" s="1" t="s">
        <v>13</v>
      </c>
      <c r="I163" s="1" t="s">
        <v>14</v>
      </c>
      <c r="J163" s="14">
        <v>0.37104166666666666</v>
      </c>
      <c r="K163" s="15">
        <v>45537</v>
      </c>
      <c r="L163" s="15"/>
      <c r="M163" s="2">
        <v>0.82</v>
      </c>
      <c r="O163" s="2">
        <f t="shared" si="17"/>
        <v>0.745</v>
      </c>
      <c r="P163" s="2">
        <f t="shared" si="18"/>
        <v>55.468145800316961</v>
      </c>
      <c r="Q163" s="2">
        <f t="shared" si="19"/>
        <v>0.27450000000000024</v>
      </c>
      <c r="R163" s="2">
        <f t="shared" si="20"/>
        <v>0.27735697305863732</v>
      </c>
      <c r="S163" s="2">
        <f t="shared" si="21"/>
        <v>-2.8569730586370801E-3</v>
      </c>
    </row>
    <row r="164" spans="2:19" x14ac:dyDescent="0.25">
      <c r="B164" s="1">
        <f t="shared" si="22"/>
        <v>158</v>
      </c>
      <c r="C164" s="1">
        <v>325</v>
      </c>
      <c r="D164" s="13">
        <v>54.8</v>
      </c>
      <c r="E164" s="1" t="s">
        <v>11</v>
      </c>
      <c r="F164" s="2">
        <v>0.97499999999999998</v>
      </c>
      <c r="G164" s="1" t="s">
        <v>12</v>
      </c>
      <c r="H164" s="1" t="s">
        <v>13</v>
      </c>
      <c r="I164" s="1" t="s">
        <v>14</v>
      </c>
      <c r="J164" s="14">
        <v>0.37104166666666666</v>
      </c>
      <c r="K164" s="15">
        <v>45537</v>
      </c>
      <c r="L164" s="15"/>
      <c r="M164" s="2">
        <v>0.82499999999999996</v>
      </c>
      <c r="O164" s="2">
        <f t="shared" si="17"/>
        <v>0.75</v>
      </c>
      <c r="P164" s="2">
        <f t="shared" si="18"/>
        <v>55.474643423137877</v>
      </c>
      <c r="Q164" s="2">
        <f t="shared" si="19"/>
        <v>0.27400000000000024</v>
      </c>
      <c r="R164" s="2">
        <f t="shared" si="20"/>
        <v>0.27738946117274194</v>
      </c>
      <c r="S164" s="2">
        <f t="shared" si="21"/>
        <v>-3.3894611727416923E-3</v>
      </c>
    </row>
    <row r="165" spans="2:19" x14ac:dyDescent="0.25">
      <c r="B165" s="1">
        <f t="shared" si="22"/>
        <v>159</v>
      </c>
      <c r="C165" s="1">
        <v>327</v>
      </c>
      <c r="D165" s="13">
        <v>54.8</v>
      </c>
      <c r="E165" s="1" t="s">
        <v>11</v>
      </c>
      <c r="F165" s="2">
        <v>0.98</v>
      </c>
      <c r="G165" s="1" t="s">
        <v>12</v>
      </c>
      <c r="H165" s="1" t="s">
        <v>13</v>
      </c>
      <c r="I165" s="1" t="s">
        <v>14</v>
      </c>
      <c r="J165" s="14">
        <v>0.37104166666666666</v>
      </c>
      <c r="K165" s="15">
        <v>45537</v>
      </c>
      <c r="L165" s="15"/>
      <c r="M165" s="2">
        <v>0.83</v>
      </c>
      <c r="O165" s="2">
        <f t="shared" si="17"/>
        <v>0.755</v>
      </c>
      <c r="P165" s="2">
        <f t="shared" si="18"/>
        <v>55.481141045958793</v>
      </c>
      <c r="Q165" s="2">
        <f t="shared" si="19"/>
        <v>0.27375000000000027</v>
      </c>
      <c r="R165" s="2">
        <f t="shared" si="20"/>
        <v>0.27742194928684649</v>
      </c>
      <c r="S165" s="2">
        <f t="shared" si="21"/>
        <v>-3.6719492868462211E-3</v>
      </c>
    </row>
    <row r="166" spans="2:19" x14ac:dyDescent="0.25">
      <c r="B166" s="1">
        <f t="shared" si="22"/>
        <v>160</v>
      </c>
      <c r="C166" s="1">
        <v>328</v>
      </c>
      <c r="D166" s="13">
        <v>54.7</v>
      </c>
      <c r="E166" s="1" t="s">
        <v>11</v>
      </c>
      <c r="F166" s="2">
        <v>0.98499999999999999</v>
      </c>
      <c r="G166" s="1" t="s">
        <v>12</v>
      </c>
      <c r="H166" s="1" t="s">
        <v>13</v>
      </c>
      <c r="I166" s="1" t="s">
        <v>14</v>
      </c>
      <c r="J166" s="14">
        <v>0.37104166666666666</v>
      </c>
      <c r="K166" s="15">
        <v>45537</v>
      </c>
      <c r="L166" s="15"/>
      <c r="M166" s="2">
        <v>0.83499999999999996</v>
      </c>
      <c r="O166" s="2">
        <f t="shared" si="17"/>
        <v>0.76</v>
      </c>
      <c r="P166" s="2">
        <f t="shared" si="18"/>
        <v>55.487638668779717</v>
      </c>
      <c r="Q166" s="2">
        <f t="shared" si="19"/>
        <v>0.27300000000000024</v>
      </c>
      <c r="R166" s="2">
        <f t="shared" si="20"/>
        <v>0.2774544374009511</v>
      </c>
      <c r="S166" s="2">
        <f t="shared" si="21"/>
        <v>-4.4544374009508614E-3</v>
      </c>
    </row>
    <row r="167" spans="2:19" x14ac:dyDescent="0.25">
      <c r="B167" s="1">
        <f t="shared" si="22"/>
        <v>161</v>
      </c>
      <c r="C167" s="1">
        <v>329</v>
      </c>
      <c r="D167" s="13">
        <v>54.5</v>
      </c>
      <c r="E167" s="1" t="s">
        <v>11</v>
      </c>
      <c r="F167" s="2">
        <v>0.99</v>
      </c>
      <c r="G167" s="1" t="s">
        <v>12</v>
      </c>
      <c r="H167" s="1" t="s">
        <v>13</v>
      </c>
      <c r="I167" s="1" t="s">
        <v>14</v>
      </c>
      <c r="J167" s="14">
        <v>0.37104166666666666</v>
      </c>
      <c r="K167" s="15">
        <v>45537</v>
      </c>
      <c r="L167" s="15"/>
      <c r="M167" s="2">
        <v>0.84</v>
      </c>
      <c r="O167" s="2">
        <f t="shared" si="17"/>
        <v>0.76500000000000001</v>
      </c>
      <c r="P167" s="2">
        <f t="shared" si="18"/>
        <v>55.494136291600633</v>
      </c>
      <c r="Q167" s="2">
        <f t="shared" si="19"/>
        <v>0.27225000000000027</v>
      </c>
      <c r="R167" s="2">
        <f t="shared" si="20"/>
        <v>0.27748692551505572</v>
      </c>
      <c r="S167" s="2">
        <f t="shared" si="21"/>
        <v>-5.2369255150554461E-3</v>
      </c>
    </row>
    <row r="168" spans="2:19" x14ac:dyDescent="0.25">
      <c r="B168" s="1">
        <f t="shared" si="22"/>
        <v>162</v>
      </c>
      <c r="C168" s="1">
        <v>331</v>
      </c>
      <c r="D168" s="13">
        <v>54.4</v>
      </c>
      <c r="E168" s="1" t="s">
        <v>11</v>
      </c>
      <c r="F168" s="2">
        <v>0.995</v>
      </c>
      <c r="G168" s="1" t="s">
        <v>12</v>
      </c>
      <c r="H168" s="1" t="s">
        <v>13</v>
      </c>
      <c r="I168" s="1" t="s">
        <v>14</v>
      </c>
      <c r="J168" s="14">
        <v>0.37104166666666666</v>
      </c>
      <c r="K168" s="15">
        <v>45537</v>
      </c>
      <c r="L168" s="15"/>
      <c r="M168" s="2">
        <v>0.84499999999999997</v>
      </c>
      <c r="O168" s="2">
        <f t="shared" si="17"/>
        <v>0.77</v>
      </c>
      <c r="P168" s="2">
        <f t="shared" si="18"/>
        <v>55.500633914421556</v>
      </c>
      <c r="Q168" s="2">
        <f t="shared" si="19"/>
        <v>0.27175000000000021</v>
      </c>
      <c r="R168" s="2">
        <f t="shared" si="20"/>
        <v>0.27751941362916033</v>
      </c>
      <c r="S168" s="2">
        <f t="shared" si="21"/>
        <v>-5.7694136291601139E-3</v>
      </c>
    </row>
    <row r="169" spans="2:19" x14ac:dyDescent="0.25">
      <c r="B169" s="1">
        <f t="shared" si="22"/>
        <v>163</v>
      </c>
      <c r="C169" s="1">
        <v>332</v>
      </c>
      <c r="D169" s="13">
        <v>54.3</v>
      </c>
      <c r="E169" s="1" t="s">
        <v>11</v>
      </c>
      <c r="F169" s="2">
        <v>1</v>
      </c>
      <c r="G169" s="1" t="s">
        <v>12</v>
      </c>
      <c r="H169" s="1" t="s">
        <v>13</v>
      </c>
      <c r="I169" s="1" t="s">
        <v>14</v>
      </c>
      <c r="J169" s="14">
        <v>0.37104166666666666</v>
      </c>
      <c r="K169" s="15">
        <v>45537</v>
      </c>
      <c r="L169" s="15"/>
      <c r="M169" s="2">
        <v>0.85</v>
      </c>
      <c r="O169" s="2">
        <f t="shared" si="17"/>
        <v>0.77500000000000002</v>
      </c>
      <c r="P169" s="2">
        <f t="shared" si="18"/>
        <v>55.507131537242472</v>
      </c>
      <c r="Q169" s="2">
        <f t="shared" si="19"/>
        <v>0.27099999999999425</v>
      </c>
      <c r="R169" s="2">
        <f t="shared" si="20"/>
        <v>0.27755190174325872</v>
      </c>
      <c r="S169" s="2">
        <f t="shared" si="21"/>
        <v>-6.5519017432644766E-3</v>
      </c>
    </row>
    <row r="170" spans="2:19" x14ac:dyDescent="0.25">
      <c r="B170" s="1">
        <f t="shared" si="22"/>
        <v>164</v>
      </c>
      <c r="C170" s="1">
        <v>333</v>
      </c>
      <c r="D170" s="13">
        <v>54.1</v>
      </c>
      <c r="E170" s="1" t="s">
        <v>11</v>
      </c>
      <c r="F170" s="2">
        <v>1.0049999999999999</v>
      </c>
      <c r="G170" s="1" t="s">
        <v>12</v>
      </c>
      <c r="H170" s="1" t="s">
        <v>13</v>
      </c>
      <c r="I170" s="1" t="s">
        <v>14</v>
      </c>
      <c r="J170" s="14">
        <v>0.37104166666666666</v>
      </c>
      <c r="K170" s="15">
        <v>45537</v>
      </c>
      <c r="L170" s="15"/>
      <c r="M170" s="2">
        <v>0.85499999999999987</v>
      </c>
      <c r="O170" s="2">
        <f t="shared" si="17"/>
        <v>0.77999999999999992</v>
      </c>
      <c r="P170" s="2">
        <f t="shared" si="18"/>
        <v>55.513629160063388</v>
      </c>
      <c r="Q170" s="2">
        <f t="shared" si="19"/>
        <v>0.27050000000000624</v>
      </c>
      <c r="R170" s="2">
        <f t="shared" si="20"/>
        <v>0.27758438985737566</v>
      </c>
      <c r="S170" s="2">
        <f t="shared" si="21"/>
        <v>-7.084389857369422E-3</v>
      </c>
    </row>
    <row r="171" spans="2:19" x14ac:dyDescent="0.25">
      <c r="B171" s="1">
        <f t="shared" si="22"/>
        <v>165</v>
      </c>
      <c r="C171" s="1">
        <v>334</v>
      </c>
      <c r="D171" s="13">
        <v>54.1</v>
      </c>
      <c r="E171" s="1" t="s">
        <v>11</v>
      </c>
      <c r="F171" s="2">
        <v>1.01</v>
      </c>
      <c r="G171" s="1" t="s">
        <v>12</v>
      </c>
      <c r="H171" s="1" t="s">
        <v>13</v>
      </c>
      <c r="I171" s="1" t="s">
        <v>14</v>
      </c>
      <c r="J171" s="14">
        <v>0.37105324074074075</v>
      </c>
      <c r="K171" s="15">
        <v>45537</v>
      </c>
      <c r="L171" s="15"/>
      <c r="M171" s="2">
        <v>0.86</v>
      </c>
      <c r="O171" s="2">
        <f t="shared" si="17"/>
        <v>0.78500000000000003</v>
      </c>
      <c r="P171" s="2">
        <f t="shared" si="18"/>
        <v>55.520126782884311</v>
      </c>
      <c r="Q171" s="2">
        <f t="shared" si="19"/>
        <v>0.27049999999999425</v>
      </c>
      <c r="R171" s="2">
        <f t="shared" si="20"/>
        <v>0.27761687797146795</v>
      </c>
      <c r="S171" s="2">
        <f t="shared" si="21"/>
        <v>-7.1168779714737007E-3</v>
      </c>
    </row>
    <row r="172" spans="2:19" x14ac:dyDescent="0.25">
      <c r="B172" s="1">
        <f t="shared" si="22"/>
        <v>166</v>
      </c>
      <c r="C172" s="1">
        <v>335</v>
      </c>
      <c r="D172" s="13">
        <v>54.1</v>
      </c>
      <c r="E172" s="1" t="s">
        <v>11</v>
      </c>
      <c r="F172" s="2">
        <v>1.0149999999999999</v>
      </c>
      <c r="G172" s="1" t="s">
        <v>12</v>
      </c>
      <c r="H172" s="1" t="s">
        <v>13</v>
      </c>
      <c r="I172" s="1" t="s">
        <v>14</v>
      </c>
      <c r="J172" s="14">
        <v>0.37105324074074075</v>
      </c>
      <c r="K172" s="15">
        <v>45537</v>
      </c>
      <c r="L172" s="15"/>
      <c r="M172" s="2">
        <v>0.86499999999999988</v>
      </c>
      <c r="O172" s="2">
        <f t="shared" si="17"/>
        <v>0.78999999999999992</v>
      </c>
      <c r="P172" s="2">
        <f t="shared" si="18"/>
        <v>55.526624405705228</v>
      </c>
      <c r="Q172" s="2">
        <f t="shared" si="19"/>
        <v>0.27000000000000624</v>
      </c>
      <c r="R172" s="2">
        <f t="shared" si="20"/>
        <v>0.27764936608558488</v>
      </c>
      <c r="S172" s="2">
        <f t="shared" si="21"/>
        <v>-7.6493660855786461E-3</v>
      </c>
    </row>
    <row r="173" spans="2:19" x14ac:dyDescent="0.25">
      <c r="B173" s="1">
        <f t="shared" si="22"/>
        <v>167</v>
      </c>
      <c r="C173" s="1">
        <v>337</v>
      </c>
      <c r="D173" s="13">
        <v>53.9</v>
      </c>
      <c r="E173" s="1" t="s">
        <v>11</v>
      </c>
      <c r="F173" s="2">
        <v>1.02</v>
      </c>
      <c r="G173" s="1" t="s">
        <v>12</v>
      </c>
      <c r="H173" s="1" t="s">
        <v>13</v>
      </c>
      <c r="I173" s="1" t="s">
        <v>14</v>
      </c>
      <c r="J173" s="14">
        <v>0.37105324074074075</v>
      </c>
      <c r="K173" s="15">
        <v>45537</v>
      </c>
      <c r="L173" s="15"/>
      <c r="M173" s="2">
        <v>0.87</v>
      </c>
      <c r="O173" s="2">
        <f t="shared" si="17"/>
        <v>0.79500000000000004</v>
      </c>
      <c r="P173" s="2">
        <f t="shared" si="18"/>
        <v>55.533122028526151</v>
      </c>
      <c r="Q173" s="2">
        <f t="shared" si="19"/>
        <v>0.26924999999999422</v>
      </c>
      <c r="R173" s="2">
        <f t="shared" si="20"/>
        <v>0.27768185419967711</v>
      </c>
      <c r="S173" s="2">
        <f t="shared" si="21"/>
        <v>-8.4318541996828977E-3</v>
      </c>
    </row>
    <row r="174" spans="2:19" x14ac:dyDescent="0.25">
      <c r="B174" s="1">
        <f t="shared" si="22"/>
        <v>168</v>
      </c>
      <c r="C174" s="1">
        <v>338</v>
      </c>
      <c r="D174" s="13">
        <v>53.8</v>
      </c>
      <c r="E174" s="1" t="s">
        <v>11</v>
      </c>
      <c r="F174" s="2">
        <v>1.0249999999999999</v>
      </c>
      <c r="G174" s="1" t="s">
        <v>12</v>
      </c>
      <c r="H174" s="1" t="s">
        <v>13</v>
      </c>
      <c r="I174" s="1" t="s">
        <v>14</v>
      </c>
      <c r="J174" s="14">
        <v>0.37105324074074075</v>
      </c>
      <c r="K174" s="15">
        <v>45537</v>
      </c>
      <c r="L174" s="15"/>
      <c r="M174" s="2">
        <v>0.87499999999999989</v>
      </c>
      <c r="O174" s="2">
        <f t="shared" si="17"/>
        <v>0.79999999999999993</v>
      </c>
      <c r="P174" s="2">
        <f t="shared" si="18"/>
        <v>55.539619651347067</v>
      </c>
      <c r="Q174" s="2">
        <f t="shared" si="19"/>
        <v>0.26875000000000621</v>
      </c>
      <c r="R174" s="2">
        <f t="shared" si="20"/>
        <v>0.27771434231379405</v>
      </c>
      <c r="S174" s="2">
        <f t="shared" si="21"/>
        <v>-8.9643423137878431E-3</v>
      </c>
    </row>
    <row r="175" spans="2:19" x14ac:dyDescent="0.25">
      <c r="B175" s="1">
        <f t="shared" si="22"/>
        <v>169</v>
      </c>
      <c r="C175" s="1">
        <v>340</v>
      </c>
      <c r="D175" s="13">
        <v>53.7</v>
      </c>
      <c r="E175" s="1" t="s">
        <v>11</v>
      </c>
      <c r="F175" s="2">
        <v>1.03</v>
      </c>
      <c r="G175" s="1" t="s">
        <v>12</v>
      </c>
      <c r="H175" s="1" t="s">
        <v>13</v>
      </c>
      <c r="I175" s="1" t="s">
        <v>14</v>
      </c>
      <c r="J175" s="14">
        <v>0.37105324074074075</v>
      </c>
      <c r="K175" s="15">
        <v>45537</v>
      </c>
      <c r="L175" s="15"/>
      <c r="M175" s="2">
        <v>0.88</v>
      </c>
      <c r="O175" s="2">
        <f t="shared" si="17"/>
        <v>0.80500000000000005</v>
      </c>
      <c r="P175" s="2">
        <f t="shared" si="18"/>
        <v>55.54611727416799</v>
      </c>
      <c r="Q175" s="2">
        <f t="shared" si="19"/>
        <v>0.2684999999999943</v>
      </c>
      <c r="R175" s="2">
        <f t="shared" si="20"/>
        <v>0.27774683042788634</v>
      </c>
      <c r="S175" s="2">
        <f t="shared" si="21"/>
        <v>-9.2468304278920388E-3</v>
      </c>
    </row>
    <row r="176" spans="2:19" x14ac:dyDescent="0.25">
      <c r="B176" s="1">
        <f t="shared" si="22"/>
        <v>170</v>
      </c>
      <c r="C176" s="1">
        <v>342</v>
      </c>
      <c r="D176" s="13">
        <v>53.7</v>
      </c>
      <c r="E176" s="1" t="s">
        <v>11</v>
      </c>
      <c r="F176" s="2">
        <v>1.0349999999999999</v>
      </c>
      <c r="G176" s="1" t="s">
        <v>12</v>
      </c>
      <c r="H176" s="1" t="s">
        <v>13</v>
      </c>
      <c r="I176" s="1" t="s">
        <v>14</v>
      </c>
      <c r="J176" s="14">
        <v>0.37105324074074075</v>
      </c>
      <c r="K176" s="15">
        <v>45537</v>
      </c>
      <c r="L176" s="15"/>
      <c r="M176" s="2">
        <v>0.8849999999999999</v>
      </c>
      <c r="O176" s="2">
        <f t="shared" si="17"/>
        <v>0.80999999999999994</v>
      </c>
      <c r="P176" s="2">
        <f t="shared" si="18"/>
        <v>55.552614896988906</v>
      </c>
      <c r="Q176" s="2">
        <f t="shared" si="19"/>
        <v>0.26800000000000618</v>
      </c>
      <c r="R176" s="2">
        <f t="shared" si="20"/>
        <v>0.27777931854200327</v>
      </c>
      <c r="S176" s="2">
        <f t="shared" si="21"/>
        <v>-9.7793185419970952E-3</v>
      </c>
    </row>
    <row r="177" spans="2:19" x14ac:dyDescent="0.25">
      <c r="B177" s="1">
        <f t="shared" si="22"/>
        <v>171</v>
      </c>
      <c r="C177" s="1">
        <v>343</v>
      </c>
      <c r="D177" s="13">
        <v>53.5</v>
      </c>
      <c r="E177" s="1" t="s">
        <v>11</v>
      </c>
      <c r="F177" s="2">
        <v>1.04</v>
      </c>
      <c r="G177" s="1" t="s">
        <v>12</v>
      </c>
      <c r="H177" s="1" t="s">
        <v>13</v>
      </c>
      <c r="I177" s="1" t="s">
        <v>14</v>
      </c>
      <c r="J177" s="14">
        <v>0.37105324074074075</v>
      </c>
      <c r="K177" s="15">
        <v>45537</v>
      </c>
      <c r="L177" s="15"/>
      <c r="M177" s="2">
        <v>0.89</v>
      </c>
      <c r="O177" s="2">
        <f t="shared" si="17"/>
        <v>0.81500000000000006</v>
      </c>
      <c r="P177" s="2">
        <f t="shared" si="18"/>
        <v>55.55911251980983</v>
      </c>
      <c r="Q177" s="2">
        <f t="shared" si="19"/>
        <v>0.26774999999999427</v>
      </c>
      <c r="R177" s="2">
        <f t="shared" si="20"/>
        <v>0.27781180665609551</v>
      </c>
      <c r="S177" s="2">
        <f t="shared" si="21"/>
        <v>-1.0061806656101235E-2</v>
      </c>
    </row>
    <row r="178" spans="2:19" x14ac:dyDescent="0.25">
      <c r="B178" s="1">
        <f t="shared" si="22"/>
        <v>172</v>
      </c>
      <c r="C178" s="1">
        <v>345</v>
      </c>
      <c r="D178" s="13">
        <v>53.6</v>
      </c>
      <c r="E178" s="1" t="s">
        <v>11</v>
      </c>
      <c r="F178" s="2">
        <v>1.0449999999999999</v>
      </c>
      <c r="G178" s="1" t="s">
        <v>12</v>
      </c>
      <c r="H178" s="1" t="s">
        <v>13</v>
      </c>
      <c r="I178" s="1" t="s">
        <v>14</v>
      </c>
      <c r="J178" s="14">
        <v>0.37106481481481479</v>
      </c>
      <c r="K178" s="15">
        <v>45537</v>
      </c>
      <c r="L178" s="15"/>
      <c r="M178" s="2">
        <v>0.89499999999999991</v>
      </c>
      <c r="O178" s="2">
        <f t="shared" si="17"/>
        <v>0.82</v>
      </c>
      <c r="P178" s="2">
        <f t="shared" si="18"/>
        <v>55.565610142630746</v>
      </c>
      <c r="Q178" s="2">
        <f t="shared" si="19"/>
        <v>0.26750000000000618</v>
      </c>
      <c r="R178" s="2">
        <f t="shared" si="20"/>
        <v>0.27784429477021244</v>
      </c>
      <c r="S178" s="2">
        <f t="shared" si="21"/>
        <v>-1.0344294770206264E-2</v>
      </c>
    </row>
    <row r="179" spans="2:19" x14ac:dyDescent="0.25">
      <c r="B179" s="1">
        <f t="shared" si="22"/>
        <v>173</v>
      </c>
      <c r="C179" s="1">
        <v>346</v>
      </c>
      <c r="D179" s="13">
        <v>53.4</v>
      </c>
      <c r="E179" s="1" t="s">
        <v>11</v>
      </c>
      <c r="F179" s="2">
        <v>1.05</v>
      </c>
      <c r="G179" s="1" t="s">
        <v>12</v>
      </c>
      <c r="H179" s="1" t="s">
        <v>13</v>
      </c>
      <c r="I179" s="1" t="s">
        <v>14</v>
      </c>
      <c r="J179" s="14">
        <v>0.37106481481481479</v>
      </c>
      <c r="K179" s="15">
        <v>45537</v>
      </c>
      <c r="L179" s="15"/>
      <c r="M179" s="2">
        <v>0.9</v>
      </c>
      <c r="O179" s="2">
        <f t="shared" si="17"/>
        <v>0.82500000000000007</v>
      </c>
      <c r="P179" s="2">
        <f t="shared" si="18"/>
        <v>55.572107765451662</v>
      </c>
      <c r="Q179" s="2">
        <f t="shared" si="19"/>
        <v>0.2664999999999943</v>
      </c>
      <c r="R179" s="2">
        <f t="shared" si="20"/>
        <v>0.27787678288430467</v>
      </c>
      <c r="S179" s="2">
        <f t="shared" si="21"/>
        <v>-1.1376782884310377E-2</v>
      </c>
    </row>
    <row r="180" spans="2:19" x14ac:dyDescent="0.25">
      <c r="B180" s="1">
        <f t="shared" si="22"/>
        <v>174</v>
      </c>
      <c r="C180" s="1">
        <v>347</v>
      </c>
      <c r="D180" s="13">
        <v>53.2</v>
      </c>
      <c r="E180" s="1" t="s">
        <v>11</v>
      </c>
      <c r="F180" s="2">
        <v>1.0549999999999999</v>
      </c>
      <c r="G180" s="1" t="s">
        <v>12</v>
      </c>
      <c r="H180" s="1" t="s">
        <v>13</v>
      </c>
      <c r="I180" s="1" t="s">
        <v>14</v>
      </c>
      <c r="J180" s="14">
        <v>0.37106481481481479</v>
      </c>
      <c r="K180" s="15">
        <v>45537</v>
      </c>
      <c r="L180" s="15"/>
      <c r="M180" s="2">
        <v>0.90499999999999992</v>
      </c>
      <c r="O180" s="2">
        <f t="shared" si="17"/>
        <v>0.83</v>
      </c>
      <c r="P180" s="2">
        <f t="shared" si="18"/>
        <v>55.578605388272585</v>
      </c>
      <c r="Q180" s="2">
        <f t="shared" si="19"/>
        <v>0.26550000000000612</v>
      </c>
      <c r="R180" s="2">
        <f t="shared" si="20"/>
        <v>0.27790927099842161</v>
      </c>
      <c r="S180" s="2">
        <f t="shared" si="21"/>
        <v>-1.2409270998415489E-2</v>
      </c>
    </row>
    <row r="181" spans="2:19" x14ac:dyDescent="0.25">
      <c r="B181" s="1">
        <f t="shared" si="22"/>
        <v>175</v>
      </c>
      <c r="C181" s="1">
        <v>348</v>
      </c>
      <c r="D181" s="13">
        <v>53</v>
      </c>
      <c r="E181" s="1" t="s">
        <v>11</v>
      </c>
      <c r="F181" s="2">
        <v>1.06</v>
      </c>
      <c r="G181" s="1" t="s">
        <v>12</v>
      </c>
      <c r="H181" s="1" t="s">
        <v>13</v>
      </c>
      <c r="I181" s="1" t="s">
        <v>14</v>
      </c>
      <c r="J181" s="14">
        <v>0.37106481481481479</v>
      </c>
      <c r="K181" s="15">
        <v>45537</v>
      </c>
      <c r="L181" s="15"/>
      <c r="M181" s="2">
        <v>0.91</v>
      </c>
      <c r="O181" s="2">
        <f t="shared" si="17"/>
        <v>0.83500000000000008</v>
      </c>
      <c r="P181" s="2">
        <f t="shared" si="18"/>
        <v>55.585103011093501</v>
      </c>
      <c r="Q181" s="2">
        <f t="shared" si="19"/>
        <v>0.26499999999999435</v>
      </c>
      <c r="R181" s="2">
        <f t="shared" si="20"/>
        <v>0.2779417591125139</v>
      </c>
      <c r="S181" s="2">
        <f t="shared" si="21"/>
        <v>-1.2941759112519546E-2</v>
      </c>
    </row>
    <row r="182" spans="2:19" x14ac:dyDescent="0.25">
      <c r="B182" s="1">
        <f t="shared" si="22"/>
        <v>176</v>
      </c>
      <c r="C182" s="1">
        <v>349</v>
      </c>
      <c r="D182" s="13">
        <v>53</v>
      </c>
      <c r="E182" s="1" t="s">
        <v>11</v>
      </c>
      <c r="F182" s="2">
        <v>1.0649999999999999</v>
      </c>
      <c r="G182" s="1" t="s">
        <v>12</v>
      </c>
      <c r="H182" s="1" t="s">
        <v>13</v>
      </c>
      <c r="I182" s="1" t="s">
        <v>14</v>
      </c>
      <c r="J182" s="14">
        <v>0.37106481481481479</v>
      </c>
      <c r="K182" s="15">
        <v>45537</v>
      </c>
      <c r="L182" s="15"/>
      <c r="M182" s="2">
        <v>0.91499999999999992</v>
      </c>
      <c r="O182" s="2">
        <f t="shared" si="17"/>
        <v>0.84</v>
      </c>
      <c r="P182" s="2">
        <f t="shared" si="18"/>
        <v>55.591600633914425</v>
      </c>
      <c r="Q182" s="2">
        <f t="shared" si="19"/>
        <v>0.26425000000000609</v>
      </c>
      <c r="R182" s="2">
        <f t="shared" si="20"/>
        <v>0.27797424722663083</v>
      </c>
      <c r="S182" s="2">
        <f t="shared" si="21"/>
        <v>-1.3724247226624742E-2</v>
      </c>
    </row>
    <row r="183" spans="2:19" x14ac:dyDescent="0.25">
      <c r="B183" s="1">
        <f t="shared" si="22"/>
        <v>177</v>
      </c>
      <c r="C183" s="1">
        <v>350</v>
      </c>
      <c r="D183" s="13">
        <v>52.7</v>
      </c>
      <c r="E183" s="1" t="s">
        <v>11</v>
      </c>
      <c r="F183" s="2">
        <v>1.07</v>
      </c>
      <c r="G183" s="1" t="s">
        <v>12</v>
      </c>
      <c r="H183" s="1" t="s">
        <v>13</v>
      </c>
      <c r="I183" s="1" t="s">
        <v>14</v>
      </c>
      <c r="J183" s="14">
        <v>0.37106481481481479</v>
      </c>
      <c r="K183" s="15">
        <v>45537</v>
      </c>
      <c r="L183" s="15"/>
      <c r="M183" s="2">
        <v>0.92</v>
      </c>
      <c r="O183" s="2">
        <f t="shared" si="17"/>
        <v>0.84500000000000008</v>
      </c>
      <c r="P183" s="2">
        <f t="shared" si="18"/>
        <v>55.598098256735341</v>
      </c>
      <c r="Q183" s="2">
        <f t="shared" si="19"/>
        <v>0.26274999999999438</v>
      </c>
      <c r="R183" s="2">
        <f t="shared" si="20"/>
        <v>0.27800673534072307</v>
      </c>
      <c r="S183" s="2">
        <f t="shared" si="21"/>
        <v>-1.5256735340728689E-2</v>
      </c>
    </row>
    <row r="184" spans="2:19" x14ac:dyDescent="0.25">
      <c r="B184" s="1">
        <f t="shared" si="22"/>
        <v>178</v>
      </c>
      <c r="C184" s="1">
        <v>351</v>
      </c>
      <c r="D184" s="13">
        <v>52.4</v>
      </c>
      <c r="E184" s="1" t="s">
        <v>11</v>
      </c>
      <c r="F184" s="2">
        <v>1.075</v>
      </c>
      <c r="G184" s="1" t="s">
        <v>12</v>
      </c>
      <c r="H184" s="1" t="s">
        <v>13</v>
      </c>
      <c r="I184" s="1" t="s">
        <v>14</v>
      </c>
      <c r="J184" s="14">
        <v>0.37106481481481479</v>
      </c>
      <c r="K184" s="15">
        <v>45537</v>
      </c>
      <c r="L184" s="15"/>
      <c r="M184" s="2">
        <v>0.92499999999999993</v>
      </c>
      <c r="O184" s="2">
        <f t="shared" si="17"/>
        <v>0.85</v>
      </c>
      <c r="P184" s="2">
        <f t="shared" si="18"/>
        <v>55.604595879556257</v>
      </c>
      <c r="Q184" s="2">
        <f t="shared" si="19"/>
        <v>0.26200000000000606</v>
      </c>
      <c r="R184" s="2">
        <f t="shared" si="20"/>
        <v>0.27803922345484</v>
      </c>
      <c r="S184" s="2">
        <f t="shared" si="21"/>
        <v>-1.603922345483394E-2</v>
      </c>
    </row>
    <row r="185" spans="2:19" x14ac:dyDescent="0.25">
      <c r="B185" s="1">
        <f t="shared" si="22"/>
        <v>179</v>
      </c>
      <c r="C185" s="1">
        <v>352</v>
      </c>
      <c r="D185" s="13">
        <v>52.4</v>
      </c>
      <c r="E185" s="1" t="s">
        <v>11</v>
      </c>
      <c r="F185" s="2">
        <v>1.08</v>
      </c>
      <c r="G185" s="1" t="s">
        <v>12</v>
      </c>
      <c r="H185" s="1" t="s">
        <v>13</v>
      </c>
      <c r="I185" s="1" t="s">
        <v>14</v>
      </c>
      <c r="J185" s="14">
        <v>0.37106481481481479</v>
      </c>
      <c r="K185" s="15">
        <v>45537</v>
      </c>
      <c r="L185" s="15"/>
      <c r="M185" s="2">
        <v>0.93</v>
      </c>
      <c r="O185" s="2">
        <f t="shared" si="17"/>
        <v>0.85500000000000009</v>
      </c>
      <c r="P185" s="2">
        <f t="shared" si="18"/>
        <v>55.61109350237718</v>
      </c>
      <c r="Q185" s="2">
        <f t="shared" si="19"/>
        <v>0.26174999999999438</v>
      </c>
      <c r="R185" s="2">
        <f t="shared" si="20"/>
        <v>0.27807171156893229</v>
      </c>
      <c r="S185" s="2">
        <f t="shared" si="21"/>
        <v>-1.6321711568937913E-2</v>
      </c>
    </row>
    <row r="186" spans="2:19" x14ac:dyDescent="0.25">
      <c r="B186" s="1">
        <f t="shared" si="22"/>
        <v>180</v>
      </c>
      <c r="C186" s="1">
        <v>353</v>
      </c>
      <c r="D186" s="13">
        <v>52.3</v>
      </c>
      <c r="E186" s="1" t="s">
        <v>11</v>
      </c>
      <c r="F186" s="2">
        <v>1.085</v>
      </c>
      <c r="G186" s="1" t="s">
        <v>12</v>
      </c>
      <c r="H186" s="1" t="s">
        <v>13</v>
      </c>
      <c r="I186" s="1" t="s">
        <v>14</v>
      </c>
      <c r="J186" s="14">
        <v>0.37106481481481479</v>
      </c>
      <c r="K186" s="15">
        <v>45537</v>
      </c>
      <c r="L186" s="15"/>
      <c r="M186" s="2">
        <v>0.93499999999999994</v>
      </c>
      <c r="O186" s="2">
        <f t="shared" si="17"/>
        <v>0.86</v>
      </c>
      <c r="P186" s="2">
        <f t="shared" si="18"/>
        <v>55.617591125198096</v>
      </c>
      <c r="Q186" s="2">
        <f t="shared" si="19"/>
        <v>0.52250000000000041</v>
      </c>
      <c r="R186" s="2">
        <f t="shared" si="20"/>
        <v>0.55624088748019074</v>
      </c>
      <c r="S186" s="2">
        <f t="shared" si="21"/>
        <v>-3.3740887480190329E-2</v>
      </c>
    </row>
    <row r="187" spans="2:19" x14ac:dyDescent="0.25">
      <c r="B187" s="1">
        <f t="shared" si="22"/>
        <v>181</v>
      </c>
      <c r="C187" s="1">
        <v>354</v>
      </c>
      <c r="D187" s="13">
        <v>52.2</v>
      </c>
      <c r="E187" s="1" t="s">
        <v>11</v>
      </c>
      <c r="F187" s="2">
        <v>1.095</v>
      </c>
      <c r="G187" s="1" t="s">
        <v>12</v>
      </c>
      <c r="H187" s="1" t="s">
        <v>13</v>
      </c>
      <c r="I187" s="1" t="s">
        <v>14</v>
      </c>
      <c r="J187" s="14">
        <v>0.37107638888888889</v>
      </c>
      <c r="K187" s="15">
        <v>45537</v>
      </c>
      <c r="L187" s="15"/>
      <c r="M187" s="2">
        <v>0.94499999999999995</v>
      </c>
      <c r="O187" s="2">
        <f t="shared" si="17"/>
        <v>0.87</v>
      </c>
      <c r="P187" s="2">
        <f t="shared" si="18"/>
        <v>55.630586370839936</v>
      </c>
      <c r="Q187" s="2">
        <f t="shared" si="19"/>
        <v>0.26025000000000598</v>
      </c>
      <c r="R187" s="2">
        <f t="shared" si="20"/>
        <v>0.27816917591125839</v>
      </c>
      <c r="S187" s="2">
        <f t="shared" si="21"/>
        <v>-1.7919175911252416E-2</v>
      </c>
    </row>
    <row r="188" spans="2:19" x14ac:dyDescent="0.25">
      <c r="B188" s="1">
        <f t="shared" si="22"/>
        <v>182</v>
      </c>
      <c r="C188" s="1">
        <v>355</v>
      </c>
      <c r="D188" s="13">
        <v>51.9</v>
      </c>
      <c r="E188" s="1" t="s">
        <v>11</v>
      </c>
      <c r="F188" s="2">
        <v>1.1000000000000001</v>
      </c>
      <c r="G188" s="1" t="s">
        <v>12</v>
      </c>
      <c r="H188" s="1" t="s">
        <v>13</v>
      </c>
      <c r="I188" s="1" t="s">
        <v>14</v>
      </c>
      <c r="J188" s="14">
        <v>0.37107638888888889</v>
      </c>
      <c r="K188" s="15">
        <v>45537</v>
      </c>
      <c r="L188" s="15"/>
      <c r="M188" s="2">
        <v>0.95000000000000007</v>
      </c>
      <c r="O188" s="2">
        <f t="shared" si="17"/>
        <v>0.87500000000000011</v>
      </c>
      <c r="P188" s="2">
        <f t="shared" si="18"/>
        <v>55.637083993660859</v>
      </c>
      <c r="Q188" s="2">
        <f t="shared" si="19"/>
        <v>0.25874999999999448</v>
      </c>
      <c r="R188" s="2">
        <f t="shared" si="20"/>
        <v>0.27820166402535068</v>
      </c>
      <c r="S188" s="2">
        <f t="shared" si="21"/>
        <v>-1.9451664025356197E-2</v>
      </c>
    </row>
    <row r="189" spans="2:19" x14ac:dyDescent="0.25">
      <c r="B189" s="1">
        <f t="shared" si="22"/>
        <v>183</v>
      </c>
      <c r="C189" s="1">
        <v>356</v>
      </c>
      <c r="D189" s="13">
        <v>51.6</v>
      </c>
      <c r="E189" s="1" t="s">
        <v>11</v>
      </c>
      <c r="F189" s="2">
        <v>1.105</v>
      </c>
      <c r="G189" s="1" t="s">
        <v>12</v>
      </c>
      <c r="H189" s="1" t="s">
        <v>13</v>
      </c>
      <c r="I189" s="1" t="s">
        <v>14</v>
      </c>
      <c r="J189" s="14">
        <v>0.37107638888888889</v>
      </c>
      <c r="K189" s="15">
        <v>45537</v>
      </c>
      <c r="L189" s="15"/>
      <c r="M189" s="2">
        <v>0.95499999999999996</v>
      </c>
      <c r="O189" s="2">
        <f t="shared" si="17"/>
        <v>0.88</v>
      </c>
      <c r="P189" s="2">
        <f t="shared" si="18"/>
        <v>55.643581616481775</v>
      </c>
      <c r="Q189" s="2">
        <f t="shared" si="19"/>
        <v>0.25750000000000595</v>
      </c>
      <c r="R189" s="2">
        <f t="shared" si="20"/>
        <v>0.27823415213946762</v>
      </c>
      <c r="S189" s="2">
        <f t="shared" si="21"/>
        <v>-2.073415213946167E-2</v>
      </c>
    </row>
    <row r="190" spans="2:19" x14ac:dyDescent="0.25">
      <c r="B190" s="1">
        <f t="shared" si="22"/>
        <v>184</v>
      </c>
      <c r="C190" s="1">
        <v>357</v>
      </c>
      <c r="D190" s="13">
        <v>51.4</v>
      </c>
      <c r="E190" s="1" t="s">
        <v>11</v>
      </c>
      <c r="F190" s="2">
        <v>1.1100000000000001</v>
      </c>
      <c r="G190" s="1" t="s">
        <v>12</v>
      </c>
      <c r="H190" s="1" t="s">
        <v>13</v>
      </c>
      <c r="I190" s="1" t="s">
        <v>14</v>
      </c>
      <c r="J190" s="14">
        <v>0.37107638888888889</v>
      </c>
      <c r="K190" s="15">
        <v>45537</v>
      </c>
      <c r="L190" s="15"/>
      <c r="M190" s="2">
        <v>0.96000000000000008</v>
      </c>
      <c r="O190" s="2">
        <f t="shared" si="17"/>
        <v>0.88500000000000012</v>
      </c>
      <c r="P190" s="2">
        <f t="shared" si="18"/>
        <v>55.650079239302698</v>
      </c>
      <c r="Q190" s="2">
        <f t="shared" si="19"/>
        <v>0.25699999999999451</v>
      </c>
      <c r="R190" s="2">
        <f t="shared" si="20"/>
        <v>0.27826664025355985</v>
      </c>
      <c r="S190" s="2">
        <f t="shared" si="21"/>
        <v>-2.1266640253565339E-2</v>
      </c>
    </row>
    <row r="191" spans="2:19" x14ac:dyDescent="0.25">
      <c r="B191" s="1">
        <f t="shared" si="22"/>
        <v>185</v>
      </c>
      <c r="C191" s="1">
        <v>358</v>
      </c>
      <c r="D191" s="13">
        <v>51.4</v>
      </c>
      <c r="E191" s="1" t="s">
        <v>11</v>
      </c>
      <c r="F191" s="2">
        <v>1.115</v>
      </c>
      <c r="G191" s="1" t="s">
        <v>12</v>
      </c>
      <c r="H191" s="1" t="s">
        <v>13</v>
      </c>
      <c r="I191" s="1" t="s">
        <v>14</v>
      </c>
      <c r="J191" s="14">
        <v>0.37107638888888889</v>
      </c>
      <c r="K191" s="15">
        <v>45537</v>
      </c>
      <c r="L191" s="15"/>
      <c r="M191" s="2">
        <v>0.96499999999999997</v>
      </c>
      <c r="O191" s="2">
        <f t="shared" si="17"/>
        <v>0.89</v>
      </c>
      <c r="P191" s="2">
        <f t="shared" si="18"/>
        <v>55.656576862123615</v>
      </c>
      <c r="Q191" s="2">
        <f t="shared" si="19"/>
        <v>0.25650000000000589</v>
      </c>
      <c r="R191" s="2">
        <f t="shared" si="20"/>
        <v>0.27829912836767678</v>
      </c>
      <c r="S191" s="2">
        <f t="shared" si="21"/>
        <v>-2.1799128367670895E-2</v>
      </c>
    </row>
    <row r="192" spans="2:19" x14ac:dyDescent="0.25">
      <c r="B192" s="1">
        <f t="shared" si="22"/>
        <v>186</v>
      </c>
      <c r="C192" s="1">
        <v>359</v>
      </c>
      <c r="D192" s="13">
        <v>51.2</v>
      </c>
      <c r="E192" s="1" t="s">
        <v>11</v>
      </c>
      <c r="F192" s="2">
        <v>1.1200000000000001</v>
      </c>
      <c r="G192" s="1" t="s">
        <v>12</v>
      </c>
      <c r="H192" s="1" t="s">
        <v>13</v>
      </c>
      <c r="I192" s="1" t="s">
        <v>14</v>
      </c>
      <c r="J192" s="14">
        <v>0.37107638888888889</v>
      </c>
      <c r="K192" s="15">
        <v>45537</v>
      </c>
      <c r="L192" s="15"/>
      <c r="M192" s="2">
        <v>0.97000000000000008</v>
      </c>
      <c r="O192" s="2">
        <f t="shared" si="17"/>
        <v>0.89500000000000013</v>
      </c>
      <c r="P192" s="2">
        <f t="shared" si="18"/>
        <v>55.663074484944531</v>
      </c>
      <c r="Q192" s="2">
        <f t="shared" si="19"/>
        <v>0.25574999999999459</v>
      </c>
      <c r="R192" s="2">
        <f t="shared" si="20"/>
        <v>0.27833161648176902</v>
      </c>
      <c r="S192" s="2">
        <f t="shared" si="21"/>
        <v>-2.2581616481774425E-2</v>
      </c>
    </row>
    <row r="193" spans="2:19" x14ac:dyDescent="0.25">
      <c r="B193" s="1">
        <f t="shared" si="22"/>
        <v>187</v>
      </c>
      <c r="C193" s="1">
        <v>360</v>
      </c>
      <c r="D193" s="13">
        <v>51.1</v>
      </c>
      <c r="E193" s="1" t="s">
        <v>11</v>
      </c>
      <c r="F193" s="2">
        <v>1.125</v>
      </c>
      <c r="G193" s="1" t="s">
        <v>12</v>
      </c>
      <c r="H193" s="1" t="s">
        <v>13</v>
      </c>
      <c r="I193" s="1" t="s">
        <v>14</v>
      </c>
      <c r="J193" s="14">
        <v>0.37107638888888889</v>
      </c>
      <c r="K193" s="15">
        <v>45537</v>
      </c>
      <c r="L193" s="15"/>
      <c r="M193" s="2">
        <v>0.97499999999999998</v>
      </c>
      <c r="O193" s="2">
        <f t="shared" si="17"/>
        <v>0.9</v>
      </c>
      <c r="P193" s="2">
        <f t="shared" si="18"/>
        <v>55.669572107765454</v>
      </c>
      <c r="Q193" s="2">
        <f t="shared" si="19"/>
        <v>0.25524999999999454</v>
      </c>
      <c r="R193" s="2">
        <f t="shared" si="20"/>
        <v>0.27836410459587363</v>
      </c>
      <c r="S193" s="2">
        <f t="shared" si="21"/>
        <v>-2.3114104595879092E-2</v>
      </c>
    </row>
    <row r="194" spans="2:19" x14ac:dyDescent="0.25">
      <c r="B194" s="1">
        <f t="shared" si="22"/>
        <v>188</v>
      </c>
      <c r="C194" s="1">
        <v>361</v>
      </c>
      <c r="D194" s="13">
        <v>51</v>
      </c>
      <c r="E194" s="1" t="s">
        <v>11</v>
      </c>
      <c r="F194" s="2">
        <v>1.1299999999999999</v>
      </c>
      <c r="G194" s="1" t="s">
        <v>12</v>
      </c>
      <c r="H194" s="1" t="s">
        <v>13</v>
      </c>
      <c r="I194" s="1" t="s">
        <v>14</v>
      </c>
      <c r="J194" s="14">
        <v>0.37107638888888889</v>
      </c>
      <c r="K194" s="15">
        <v>45537</v>
      </c>
      <c r="L194" s="15"/>
      <c r="M194" s="2">
        <v>0.97999999999999987</v>
      </c>
      <c r="O194" s="2">
        <f t="shared" si="17"/>
        <v>0.90499999999999992</v>
      </c>
      <c r="P194" s="2">
        <f t="shared" si="18"/>
        <v>55.67606973058637</v>
      </c>
      <c r="Q194" s="2">
        <f t="shared" si="19"/>
        <v>0.25500000000000589</v>
      </c>
      <c r="R194" s="2">
        <f t="shared" si="20"/>
        <v>0.27839659270999062</v>
      </c>
      <c r="S194" s="2">
        <f t="shared" si="21"/>
        <v>-2.3396592709984732E-2</v>
      </c>
    </row>
    <row r="195" spans="2:19" x14ac:dyDescent="0.25">
      <c r="B195" s="1">
        <f t="shared" si="22"/>
        <v>189</v>
      </c>
      <c r="C195" s="1">
        <v>363</v>
      </c>
      <c r="D195" s="13">
        <v>51</v>
      </c>
      <c r="E195" s="1" t="s">
        <v>11</v>
      </c>
      <c r="F195" s="2">
        <v>1.135</v>
      </c>
      <c r="G195" s="1" t="s">
        <v>12</v>
      </c>
      <c r="H195" s="1" t="s">
        <v>13</v>
      </c>
      <c r="I195" s="1" t="s">
        <v>14</v>
      </c>
      <c r="J195" s="14">
        <v>0.37107638888888889</v>
      </c>
      <c r="K195" s="15">
        <v>45537</v>
      </c>
      <c r="L195" s="15"/>
      <c r="M195" s="2">
        <v>0.98499999999999999</v>
      </c>
      <c r="O195" s="2">
        <f t="shared" si="17"/>
        <v>0.91</v>
      </c>
      <c r="P195" s="2">
        <f t="shared" si="18"/>
        <v>55.682567353407293</v>
      </c>
      <c r="Q195" s="2">
        <f t="shared" si="19"/>
        <v>0.25399999999999456</v>
      </c>
      <c r="R195" s="2">
        <f t="shared" si="20"/>
        <v>0.2784290808240828</v>
      </c>
      <c r="S195" s="2">
        <f t="shared" si="21"/>
        <v>-2.4429080824088234E-2</v>
      </c>
    </row>
    <row r="196" spans="2:19" x14ac:dyDescent="0.25">
      <c r="B196" s="1">
        <f t="shared" si="22"/>
        <v>190</v>
      </c>
      <c r="C196" s="1">
        <v>364</v>
      </c>
      <c r="D196" s="13">
        <v>50.6</v>
      </c>
      <c r="E196" s="1" t="s">
        <v>11</v>
      </c>
      <c r="F196" s="2">
        <v>1.1399999999999999</v>
      </c>
      <c r="G196" s="1" t="s">
        <v>12</v>
      </c>
      <c r="H196" s="1" t="s">
        <v>13</v>
      </c>
      <c r="I196" s="1" t="s">
        <v>14</v>
      </c>
      <c r="J196" s="14">
        <v>0.37108796296296298</v>
      </c>
      <c r="K196" s="15">
        <v>45537</v>
      </c>
      <c r="L196" s="15"/>
      <c r="M196" s="2">
        <v>0.98999999999999988</v>
      </c>
      <c r="O196" s="2">
        <f t="shared" si="17"/>
        <v>0.91499999999999992</v>
      </c>
      <c r="P196" s="2">
        <f t="shared" si="18"/>
        <v>55.68906497622821</v>
      </c>
      <c r="Q196" s="2">
        <f t="shared" si="19"/>
        <v>0.25225000000000586</v>
      </c>
      <c r="R196" s="2">
        <f t="shared" si="20"/>
        <v>0.27846156893819979</v>
      </c>
      <c r="S196" s="2">
        <f t="shared" si="21"/>
        <v>-2.621156893819393E-2</v>
      </c>
    </row>
    <row r="197" spans="2:19" x14ac:dyDescent="0.25">
      <c r="B197" s="1">
        <f t="shared" si="22"/>
        <v>191</v>
      </c>
      <c r="C197" s="1">
        <v>365</v>
      </c>
      <c r="D197" s="13">
        <v>50.3</v>
      </c>
      <c r="E197" s="1" t="s">
        <v>11</v>
      </c>
      <c r="F197" s="2">
        <v>1.145</v>
      </c>
      <c r="G197" s="1" t="s">
        <v>12</v>
      </c>
      <c r="H197" s="1" t="s">
        <v>13</v>
      </c>
      <c r="I197" s="1" t="s">
        <v>14</v>
      </c>
      <c r="J197" s="14">
        <v>0.37108796296296298</v>
      </c>
      <c r="K197" s="15">
        <v>45537</v>
      </c>
      <c r="L197" s="15"/>
      <c r="M197" s="2">
        <v>0.995</v>
      </c>
      <c r="O197" s="2">
        <f t="shared" si="17"/>
        <v>0.92</v>
      </c>
      <c r="P197" s="2">
        <f t="shared" si="18"/>
        <v>55.695562599049126</v>
      </c>
      <c r="Q197" s="2">
        <f t="shared" si="19"/>
        <v>0.25124999999999464</v>
      </c>
      <c r="R197" s="2">
        <f t="shared" si="20"/>
        <v>0.27849405705229197</v>
      </c>
      <c r="S197" s="2">
        <f t="shared" si="21"/>
        <v>-2.7244057052297321E-2</v>
      </c>
    </row>
    <row r="198" spans="2:19" x14ac:dyDescent="0.25">
      <c r="B198" s="1">
        <f t="shared" si="22"/>
        <v>192</v>
      </c>
      <c r="C198" s="1">
        <v>366</v>
      </c>
      <c r="D198" s="13">
        <v>50.2</v>
      </c>
      <c r="E198" s="1" t="s">
        <v>11</v>
      </c>
      <c r="F198" s="2">
        <v>1.1499999999999999</v>
      </c>
      <c r="G198" s="1" t="s">
        <v>12</v>
      </c>
      <c r="H198" s="1" t="s">
        <v>13</v>
      </c>
      <c r="I198" s="1" t="s">
        <v>14</v>
      </c>
      <c r="J198" s="14">
        <v>0.37108796296296298</v>
      </c>
      <c r="K198" s="15">
        <v>45537</v>
      </c>
      <c r="L198" s="15"/>
      <c r="M198" s="2">
        <v>0.99999999999999989</v>
      </c>
      <c r="O198" s="2">
        <f t="shared" si="17"/>
        <v>0.92499999999999993</v>
      </c>
      <c r="P198" s="2">
        <f t="shared" si="18"/>
        <v>55.702060221870049</v>
      </c>
      <c r="Q198" s="2">
        <f t="shared" si="19"/>
        <v>0.2502500000000113</v>
      </c>
      <c r="R198" s="2">
        <f t="shared" si="20"/>
        <v>0.27852654516641517</v>
      </c>
      <c r="S198" s="2">
        <f t="shared" si="21"/>
        <v>-2.8276545166403877E-2</v>
      </c>
    </row>
    <row r="199" spans="2:19" x14ac:dyDescent="0.25">
      <c r="B199" s="1">
        <f t="shared" si="22"/>
        <v>193</v>
      </c>
      <c r="C199" s="1">
        <v>367</v>
      </c>
      <c r="D199" s="13">
        <v>49.9</v>
      </c>
      <c r="E199" s="1" t="s">
        <v>11</v>
      </c>
      <c r="F199" s="2">
        <v>1.155</v>
      </c>
      <c r="G199" s="1" t="s">
        <v>12</v>
      </c>
      <c r="H199" s="1" t="s">
        <v>13</v>
      </c>
      <c r="I199" s="1" t="s">
        <v>14</v>
      </c>
      <c r="J199" s="14">
        <v>0.37108796296296298</v>
      </c>
      <c r="K199" s="15">
        <v>45537</v>
      </c>
      <c r="L199" s="15"/>
      <c r="M199" s="2">
        <v>1.0050000000000001</v>
      </c>
      <c r="O199" s="2">
        <f t="shared" si="17"/>
        <v>0.93000000000000016</v>
      </c>
      <c r="P199" s="2">
        <f t="shared" si="18"/>
        <v>55.708557844690965</v>
      </c>
      <c r="Q199" s="2">
        <f t="shared" si="19"/>
        <v>0.2487499999999947</v>
      </c>
      <c r="R199" s="2">
        <f t="shared" si="20"/>
        <v>0.27855903328050119</v>
      </c>
      <c r="S199" s="2">
        <f t="shared" si="21"/>
        <v>-2.9809033280506492E-2</v>
      </c>
    </row>
    <row r="200" spans="2:19" x14ac:dyDescent="0.25">
      <c r="B200" s="1">
        <f t="shared" si="22"/>
        <v>194</v>
      </c>
      <c r="C200" s="1">
        <v>368</v>
      </c>
      <c r="D200" s="13">
        <v>49.6</v>
      </c>
      <c r="E200" s="1" t="s">
        <v>11</v>
      </c>
      <c r="F200" s="2">
        <v>1.1599999999999999</v>
      </c>
      <c r="G200" s="1" t="s">
        <v>12</v>
      </c>
      <c r="H200" s="1" t="s">
        <v>13</v>
      </c>
      <c r="I200" s="1" t="s">
        <v>14</v>
      </c>
      <c r="J200" s="14">
        <v>0.37108796296296298</v>
      </c>
      <c r="K200" s="15">
        <v>45537</v>
      </c>
      <c r="L200" s="15"/>
      <c r="M200" s="2">
        <v>1.01</v>
      </c>
      <c r="O200" s="2">
        <f t="shared" ref="O200:O263" si="23">M200-$X$23</f>
        <v>0.93500000000000005</v>
      </c>
      <c r="P200" s="2">
        <f t="shared" ref="P200:P263" si="24">O200*$AC$21+$Y$23</f>
        <v>55.715055467511888</v>
      </c>
      <c r="Q200" s="2">
        <f t="shared" ref="Q200:Q263" si="25">((D200+D201)/2)*(M201-M200)</f>
        <v>0.49550000000000038</v>
      </c>
      <c r="R200" s="2">
        <f t="shared" ref="R200:R263" si="26">((P200+P201)/2)*(O201-O200)</f>
        <v>0.55721553090332854</v>
      </c>
      <c r="S200" s="2">
        <f t="shared" ref="S200:S263" si="27">Q200-R200</f>
        <v>-6.1715530903328153E-2</v>
      </c>
    </row>
    <row r="201" spans="2:19" x14ac:dyDescent="0.25">
      <c r="B201" s="1">
        <f t="shared" ref="B201:B264" si="28">B200+1</f>
        <v>195</v>
      </c>
      <c r="C201" s="1">
        <v>369</v>
      </c>
      <c r="D201" s="13">
        <v>49.5</v>
      </c>
      <c r="E201" s="1" t="s">
        <v>11</v>
      </c>
      <c r="F201" s="2">
        <v>1.17</v>
      </c>
      <c r="G201" s="1" t="s">
        <v>12</v>
      </c>
      <c r="H201" s="1" t="s">
        <v>13</v>
      </c>
      <c r="I201" s="1" t="s">
        <v>14</v>
      </c>
      <c r="J201" s="14">
        <v>0.37108796296296298</v>
      </c>
      <c r="K201" s="15">
        <v>45537</v>
      </c>
      <c r="L201" s="15"/>
      <c r="M201" s="2">
        <v>1.02</v>
      </c>
      <c r="O201" s="2">
        <f t="shared" si="23"/>
        <v>0.94500000000000006</v>
      </c>
      <c r="P201" s="2">
        <f t="shared" si="24"/>
        <v>55.728050713153728</v>
      </c>
      <c r="Q201" s="2">
        <f t="shared" si="25"/>
        <v>0.24675000000000571</v>
      </c>
      <c r="R201" s="2">
        <f t="shared" si="26"/>
        <v>0.27865649762282735</v>
      </c>
      <c r="S201" s="2">
        <f t="shared" si="27"/>
        <v>-3.1906497622821633E-2</v>
      </c>
    </row>
    <row r="202" spans="2:19" x14ac:dyDescent="0.25">
      <c r="B202" s="1">
        <f t="shared" si="28"/>
        <v>196</v>
      </c>
      <c r="C202" s="1">
        <v>370</v>
      </c>
      <c r="D202" s="13">
        <v>49.2</v>
      </c>
      <c r="E202" s="1" t="s">
        <v>11</v>
      </c>
      <c r="F202" s="2">
        <v>1.175</v>
      </c>
      <c r="G202" s="1" t="s">
        <v>12</v>
      </c>
      <c r="H202" s="1" t="s">
        <v>13</v>
      </c>
      <c r="I202" s="1" t="s">
        <v>14</v>
      </c>
      <c r="J202" s="14">
        <v>0.37108796296296298</v>
      </c>
      <c r="K202" s="15">
        <v>45537</v>
      </c>
      <c r="L202" s="15"/>
      <c r="M202" s="2">
        <v>1.0250000000000001</v>
      </c>
      <c r="O202" s="2">
        <f t="shared" si="23"/>
        <v>0.95000000000000018</v>
      </c>
      <c r="P202" s="2">
        <f t="shared" si="24"/>
        <v>55.734548335974644</v>
      </c>
      <c r="Q202" s="2">
        <f t="shared" si="25"/>
        <v>0.24549999999999478</v>
      </c>
      <c r="R202" s="2">
        <f t="shared" si="26"/>
        <v>0.27868898573691958</v>
      </c>
      <c r="S202" s="2">
        <f t="shared" si="27"/>
        <v>-3.3188985736924803E-2</v>
      </c>
    </row>
    <row r="203" spans="2:19" x14ac:dyDescent="0.25">
      <c r="B203" s="1">
        <f t="shared" si="28"/>
        <v>197</v>
      </c>
      <c r="C203" s="1">
        <v>371</v>
      </c>
      <c r="D203" s="13">
        <v>49</v>
      </c>
      <c r="E203" s="1" t="s">
        <v>11</v>
      </c>
      <c r="F203" s="2">
        <v>1.18</v>
      </c>
      <c r="G203" s="1" t="s">
        <v>12</v>
      </c>
      <c r="H203" s="1" t="s">
        <v>13</v>
      </c>
      <c r="I203" s="1" t="s">
        <v>14</v>
      </c>
      <c r="J203" s="14">
        <v>0.37108796296296298</v>
      </c>
      <c r="K203" s="15">
        <v>45537</v>
      </c>
      <c r="L203" s="15"/>
      <c r="M203" s="2">
        <v>1.03</v>
      </c>
      <c r="O203" s="2">
        <f t="shared" si="23"/>
        <v>0.95500000000000007</v>
      </c>
      <c r="P203" s="2">
        <f t="shared" si="24"/>
        <v>55.74104595879556</v>
      </c>
      <c r="Q203" s="2">
        <f t="shared" si="25"/>
        <v>0.24475000000000566</v>
      </c>
      <c r="R203" s="2">
        <f t="shared" si="26"/>
        <v>0.27872147385103657</v>
      </c>
      <c r="S203" s="2">
        <f t="shared" si="27"/>
        <v>-3.3971473851030914E-2</v>
      </c>
    </row>
    <row r="204" spans="2:19" x14ac:dyDescent="0.25">
      <c r="B204" s="1">
        <f t="shared" si="28"/>
        <v>198</v>
      </c>
      <c r="C204" s="1">
        <v>372</v>
      </c>
      <c r="D204" s="13">
        <v>48.9</v>
      </c>
      <c r="E204" s="1" t="s">
        <v>11</v>
      </c>
      <c r="F204" s="2">
        <v>1.1850000000000001</v>
      </c>
      <c r="G204" s="1" t="s">
        <v>12</v>
      </c>
      <c r="H204" s="1" t="s">
        <v>13</v>
      </c>
      <c r="I204" s="1" t="s">
        <v>14</v>
      </c>
      <c r="J204" s="14">
        <v>0.37108796296296298</v>
      </c>
      <c r="K204" s="15">
        <v>45537</v>
      </c>
      <c r="M204" s="2">
        <v>1.0350000000000001</v>
      </c>
      <c r="O204" s="2">
        <f t="shared" si="23"/>
        <v>0.96000000000000019</v>
      </c>
      <c r="P204" s="2">
        <f t="shared" si="24"/>
        <v>55.747543581616483</v>
      </c>
      <c r="Q204" s="2">
        <f t="shared" si="25"/>
        <v>0.24424999999999478</v>
      </c>
      <c r="R204" s="2">
        <f t="shared" si="26"/>
        <v>0.27875396196512875</v>
      </c>
      <c r="S204" s="2">
        <f t="shared" si="27"/>
        <v>-3.4503961965133972E-2</v>
      </c>
    </row>
    <row r="205" spans="2:19" x14ac:dyDescent="0.25">
      <c r="B205" s="1">
        <f t="shared" si="28"/>
        <v>199</v>
      </c>
      <c r="C205" s="1">
        <v>373</v>
      </c>
      <c r="D205" s="13">
        <v>48.8</v>
      </c>
      <c r="E205" s="1" t="s">
        <v>11</v>
      </c>
      <c r="F205" s="2">
        <v>1.19</v>
      </c>
      <c r="G205" s="1" t="s">
        <v>12</v>
      </c>
      <c r="H205" s="1" t="s">
        <v>13</v>
      </c>
      <c r="I205" s="1" t="s">
        <v>14</v>
      </c>
      <c r="J205" s="14">
        <v>0.37108796296296298</v>
      </c>
      <c r="K205" s="15">
        <v>45537</v>
      </c>
      <c r="M205" s="2">
        <v>1.04</v>
      </c>
      <c r="O205" s="2">
        <f t="shared" si="23"/>
        <v>0.96500000000000008</v>
      </c>
      <c r="P205" s="2">
        <f t="shared" si="24"/>
        <v>55.754041204437399</v>
      </c>
      <c r="Q205" s="2">
        <f t="shared" si="25"/>
        <v>0.24350000000000563</v>
      </c>
      <c r="R205" s="2">
        <f t="shared" si="26"/>
        <v>0.27878645007924574</v>
      </c>
      <c r="S205" s="2">
        <f t="shared" si="27"/>
        <v>-3.5286450079240111E-2</v>
      </c>
    </row>
    <row r="206" spans="2:19" x14ac:dyDescent="0.25">
      <c r="B206" s="1">
        <f t="shared" si="28"/>
        <v>200</v>
      </c>
      <c r="C206" s="1">
        <v>374</v>
      </c>
      <c r="D206" s="13">
        <v>48.6</v>
      </c>
      <c r="E206" s="1" t="s">
        <v>11</v>
      </c>
      <c r="F206" s="2">
        <v>1.1950000000000001</v>
      </c>
      <c r="G206" s="1" t="s">
        <v>12</v>
      </c>
      <c r="H206" s="1" t="s">
        <v>13</v>
      </c>
      <c r="I206" s="1" t="s">
        <v>14</v>
      </c>
      <c r="J206" s="14">
        <v>0.37109953703703702</v>
      </c>
      <c r="K206" s="15">
        <v>45537</v>
      </c>
      <c r="M206" s="2">
        <v>1.0450000000000002</v>
      </c>
      <c r="O206" s="2">
        <f t="shared" si="23"/>
        <v>0.9700000000000002</v>
      </c>
      <c r="P206" s="2">
        <f t="shared" si="24"/>
        <v>55.760538827258323</v>
      </c>
      <c r="Q206" s="2">
        <f t="shared" si="25"/>
        <v>0.24324999999999483</v>
      </c>
      <c r="R206" s="2">
        <f t="shared" si="26"/>
        <v>0.27881893819333797</v>
      </c>
      <c r="S206" s="2">
        <f t="shared" si="27"/>
        <v>-3.5568938193343141E-2</v>
      </c>
    </row>
    <row r="207" spans="2:19" x14ac:dyDescent="0.25">
      <c r="B207" s="1">
        <f t="shared" si="28"/>
        <v>201</v>
      </c>
      <c r="C207" s="1">
        <v>375</v>
      </c>
      <c r="D207" s="13">
        <v>48.7</v>
      </c>
      <c r="E207" s="1" t="s">
        <v>11</v>
      </c>
      <c r="F207" s="2">
        <v>1.2</v>
      </c>
      <c r="G207" s="1" t="s">
        <v>12</v>
      </c>
      <c r="H207" s="1" t="s">
        <v>13</v>
      </c>
      <c r="I207" s="1" t="s">
        <v>14</v>
      </c>
      <c r="J207" s="14">
        <v>0.37109953703703702</v>
      </c>
      <c r="K207" s="15">
        <v>45537</v>
      </c>
      <c r="M207" s="2">
        <v>1.05</v>
      </c>
      <c r="O207" s="2">
        <f t="shared" si="23"/>
        <v>0.97500000000000009</v>
      </c>
      <c r="P207" s="2">
        <f t="shared" si="24"/>
        <v>55.767036450079239</v>
      </c>
      <c r="Q207" s="2">
        <f t="shared" si="25"/>
        <v>0.24300000000000563</v>
      </c>
      <c r="R207" s="2">
        <f t="shared" si="26"/>
        <v>0.27885142630745496</v>
      </c>
      <c r="S207" s="2">
        <f t="shared" si="27"/>
        <v>-3.5851426307449336E-2</v>
      </c>
    </row>
    <row r="208" spans="2:19" x14ac:dyDescent="0.25">
      <c r="B208" s="1">
        <f t="shared" si="28"/>
        <v>202</v>
      </c>
      <c r="C208" s="1">
        <v>376</v>
      </c>
      <c r="D208" s="13">
        <v>48.5</v>
      </c>
      <c r="E208" s="1" t="s">
        <v>11</v>
      </c>
      <c r="F208" s="2">
        <v>1.2050000000000001</v>
      </c>
      <c r="G208" s="1" t="s">
        <v>12</v>
      </c>
      <c r="H208" s="1" t="s">
        <v>13</v>
      </c>
      <c r="I208" s="1" t="s">
        <v>14</v>
      </c>
      <c r="J208" s="14">
        <v>0.37109953703703702</v>
      </c>
      <c r="K208" s="15">
        <v>45537</v>
      </c>
      <c r="M208" s="2">
        <v>1.0550000000000002</v>
      </c>
      <c r="O208" s="2">
        <f t="shared" si="23"/>
        <v>0.9800000000000002</v>
      </c>
      <c r="P208" s="2">
        <f t="shared" si="24"/>
        <v>55.773534072900162</v>
      </c>
      <c r="Q208" s="2">
        <f t="shared" si="25"/>
        <v>0.24174999999999486</v>
      </c>
      <c r="R208" s="2">
        <f t="shared" si="26"/>
        <v>0.27888391442154714</v>
      </c>
      <c r="S208" s="2">
        <f t="shared" si="27"/>
        <v>-3.7133914421552283E-2</v>
      </c>
    </row>
    <row r="209" spans="2:19" x14ac:dyDescent="0.25">
      <c r="B209" s="1">
        <f t="shared" si="28"/>
        <v>203</v>
      </c>
      <c r="C209" s="1">
        <v>377</v>
      </c>
      <c r="D209" s="13">
        <v>48.2</v>
      </c>
      <c r="E209" s="1" t="s">
        <v>11</v>
      </c>
      <c r="F209" s="2">
        <v>1.21</v>
      </c>
      <c r="G209" s="1" t="s">
        <v>12</v>
      </c>
      <c r="H209" s="1" t="s">
        <v>13</v>
      </c>
      <c r="I209" s="1" t="s">
        <v>14</v>
      </c>
      <c r="J209" s="14">
        <v>0.37109953703703702</v>
      </c>
      <c r="K209" s="15">
        <v>45537</v>
      </c>
      <c r="M209" s="2">
        <v>1.06</v>
      </c>
      <c r="O209" s="2">
        <f t="shared" si="23"/>
        <v>0.9850000000000001</v>
      </c>
      <c r="P209" s="2">
        <f t="shared" si="24"/>
        <v>55.780031695721078</v>
      </c>
      <c r="Q209" s="2">
        <f t="shared" si="25"/>
        <v>0.24025000000000554</v>
      </c>
      <c r="R209" s="2">
        <f t="shared" si="26"/>
        <v>0.27891640253566413</v>
      </c>
      <c r="S209" s="2">
        <f t="shared" si="27"/>
        <v>-3.8666402535658589E-2</v>
      </c>
    </row>
    <row r="210" spans="2:19" x14ac:dyDescent="0.25">
      <c r="B210" s="1">
        <f t="shared" si="28"/>
        <v>204</v>
      </c>
      <c r="C210" s="1">
        <v>378</v>
      </c>
      <c r="D210" s="13">
        <v>47.9</v>
      </c>
      <c r="E210" s="1" t="s">
        <v>11</v>
      </c>
      <c r="F210" s="2">
        <v>1.2150000000000001</v>
      </c>
      <c r="G210" s="1" t="s">
        <v>12</v>
      </c>
      <c r="H210" s="1" t="s">
        <v>13</v>
      </c>
      <c r="I210" s="1" t="s">
        <v>14</v>
      </c>
      <c r="J210" s="14">
        <v>0.37109953703703702</v>
      </c>
      <c r="K210" s="15">
        <v>45537</v>
      </c>
      <c r="M210" s="2">
        <v>1.0650000000000002</v>
      </c>
      <c r="O210" s="2">
        <f t="shared" si="23"/>
        <v>0.99000000000000021</v>
      </c>
      <c r="P210" s="2">
        <f t="shared" si="24"/>
        <v>55.786529318541994</v>
      </c>
      <c r="Q210" s="2">
        <f t="shared" si="25"/>
        <v>0.23899999999999488</v>
      </c>
      <c r="R210" s="2">
        <f t="shared" si="26"/>
        <v>0.27894889064975631</v>
      </c>
      <c r="S210" s="2">
        <f t="shared" si="27"/>
        <v>-3.9948890649761426E-2</v>
      </c>
    </row>
    <row r="211" spans="2:19" x14ac:dyDescent="0.25">
      <c r="B211" s="1">
        <f t="shared" si="28"/>
        <v>205</v>
      </c>
      <c r="C211" s="1">
        <v>379</v>
      </c>
      <c r="D211" s="13">
        <v>47.7</v>
      </c>
      <c r="E211" s="1" t="s">
        <v>11</v>
      </c>
      <c r="F211" s="2">
        <v>1.22</v>
      </c>
      <c r="G211" s="1" t="s">
        <v>12</v>
      </c>
      <c r="H211" s="1" t="s">
        <v>13</v>
      </c>
      <c r="I211" s="1" t="s">
        <v>14</v>
      </c>
      <c r="J211" s="14">
        <v>0.37109953703703702</v>
      </c>
      <c r="K211" s="15">
        <v>45537</v>
      </c>
      <c r="M211" s="2">
        <v>1.07</v>
      </c>
      <c r="O211" s="2">
        <f t="shared" si="23"/>
        <v>0.99500000000000011</v>
      </c>
      <c r="P211" s="2">
        <f t="shared" si="24"/>
        <v>55.793026941362918</v>
      </c>
      <c r="Q211" s="2">
        <f t="shared" si="25"/>
        <v>0.23825000000000554</v>
      </c>
      <c r="R211" s="2">
        <f t="shared" si="26"/>
        <v>0.2789813787638733</v>
      </c>
      <c r="S211" s="2">
        <f t="shared" si="27"/>
        <v>-4.0731378763867759E-2</v>
      </c>
    </row>
    <row r="212" spans="2:19" x14ac:dyDescent="0.25">
      <c r="B212" s="1">
        <f t="shared" si="28"/>
        <v>206</v>
      </c>
      <c r="C212" s="1">
        <v>381</v>
      </c>
      <c r="D212" s="13">
        <v>47.6</v>
      </c>
      <c r="E212" s="1" t="s">
        <v>11</v>
      </c>
      <c r="F212" s="2">
        <v>1.2250000000000001</v>
      </c>
      <c r="G212" s="1" t="s">
        <v>12</v>
      </c>
      <c r="H212" s="1" t="s">
        <v>13</v>
      </c>
      <c r="I212" s="1" t="s">
        <v>14</v>
      </c>
      <c r="J212" s="14">
        <v>0.37109953703703702</v>
      </c>
      <c r="K212" s="15">
        <v>45537</v>
      </c>
      <c r="M212" s="2">
        <v>1.0750000000000002</v>
      </c>
      <c r="O212" s="2">
        <f t="shared" si="23"/>
        <v>1.0000000000000002</v>
      </c>
      <c r="P212" s="2">
        <f t="shared" si="24"/>
        <v>55.799524564183834</v>
      </c>
      <c r="Q212" s="2">
        <f t="shared" si="25"/>
        <v>0.23774999999999491</v>
      </c>
      <c r="R212" s="2">
        <f t="shared" si="26"/>
        <v>0.27901386687796553</v>
      </c>
      <c r="S212" s="2">
        <f t="shared" si="27"/>
        <v>-4.1263866877970623E-2</v>
      </c>
    </row>
    <row r="213" spans="2:19" x14ac:dyDescent="0.25">
      <c r="B213" s="1">
        <f t="shared" si="28"/>
        <v>207</v>
      </c>
      <c r="C213" s="1">
        <v>383</v>
      </c>
      <c r="D213" s="13">
        <v>47.5</v>
      </c>
      <c r="E213" s="1" t="s">
        <v>11</v>
      </c>
      <c r="F213" s="2">
        <v>1.23</v>
      </c>
      <c r="G213" s="1" t="s">
        <v>12</v>
      </c>
      <c r="H213" s="1" t="s">
        <v>13</v>
      </c>
      <c r="I213" s="1" t="s">
        <v>14</v>
      </c>
      <c r="J213" s="14">
        <v>0.37109953703703702</v>
      </c>
      <c r="K213" s="15">
        <v>45537</v>
      </c>
      <c r="M213" s="2">
        <v>1.08</v>
      </c>
      <c r="O213" s="2">
        <f t="shared" si="23"/>
        <v>1.0050000000000001</v>
      </c>
      <c r="P213" s="2">
        <f t="shared" si="24"/>
        <v>55.806022187004757</v>
      </c>
      <c r="Q213" s="2">
        <f t="shared" si="25"/>
        <v>0.23750000000000548</v>
      </c>
      <c r="R213" s="2">
        <f t="shared" si="26"/>
        <v>0.27904635499208252</v>
      </c>
      <c r="S213" s="2">
        <f t="shared" si="27"/>
        <v>-4.1546354992077039E-2</v>
      </c>
    </row>
    <row r="214" spans="2:19" x14ac:dyDescent="0.25">
      <c r="B214" s="1">
        <f t="shared" si="28"/>
        <v>208</v>
      </c>
      <c r="C214" s="1">
        <v>386</v>
      </c>
      <c r="D214" s="13">
        <v>47.5</v>
      </c>
      <c r="E214" s="1" t="s">
        <v>11</v>
      </c>
      <c r="F214" s="2">
        <v>1.2350000000000001</v>
      </c>
      <c r="G214" s="1" t="s">
        <v>12</v>
      </c>
      <c r="H214" s="1" t="s">
        <v>13</v>
      </c>
      <c r="I214" s="1" t="s">
        <v>14</v>
      </c>
      <c r="J214" s="14">
        <v>0.37111111111111111</v>
      </c>
      <c r="K214" s="15">
        <v>45537</v>
      </c>
      <c r="M214" s="2">
        <v>1.0850000000000002</v>
      </c>
      <c r="O214" s="2">
        <f t="shared" si="23"/>
        <v>1.0100000000000002</v>
      </c>
      <c r="P214" s="2">
        <f t="shared" si="24"/>
        <v>55.812519809825673</v>
      </c>
      <c r="Q214" s="2">
        <f t="shared" si="25"/>
        <v>0.23724999999999496</v>
      </c>
      <c r="R214" s="2">
        <f t="shared" si="26"/>
        <v>0.2790788431061747</v>
      </c>
      <c r="S214" s="2">
        <f t="shared" si="27"/>
        <v>-4.1828843106179736E-2</v>
      </c>
    </row>
    <row r="215" spans="2:19" x14ac:dyDescent="0.25">
      <c r="B215" s="1">
        <f t="shared" si="28"/>
        <v>209</v>
      </c>
      <c r="C215" s="1">
        <v>389</v>
      </c>
      <c r="D215" s="13">
        <v>47.4</v>
      </c>
      <c r="E215" s="1" t="s">
        <v>11</v>
      </c>
      <c r="F215" s="2">
        <v>1.24</v>
      </c>
      <c r="G215" s="1" t="s">
        <v>12</v>
      </c>
      <c r="H215" s="1" t="s">
        <v>13</v>
      </c>
      <c r="I215" s="1" t="s">
        <v>14</v>
      </c>
      <c r="J215" s="14">
        <v>0.37111111111111111</v>
      </c>
      <c r="K215" s="15">
        <v>45537</v>
      </c>
      <c r="M215" s="2">
        <v>1.0900000000000001</v>
      </c>
      <c r="O215" s="2">
        <f t="shared" si="23"/>
        <v>1.0150000000000001</v>
      </c>
      <c r="P215" s="2">
        <f t="shared" si="24"/>
        <v>55.819017432646596</v>
      </c>
      <c r="Q215" s="2">
        <f t="shared" si="25"/>
        <v>0.23700000000000546</v>
      </c>
      <c r="R215" s="2">
        <f t="shared" si="26"/>
        <v>0.27911133122029169</v>
      </c>
      <c r="S215" s="2">
        <f t="shared" si="27"/>
        <v>-4.2111331220286236E-2</v>
      </c>
    </row>
    <row r="216" spans="2:19" x14ac:dyDescent="0.25">
      <c r="B216" s="1">
        <f t="shared" si="28"/>
        <v>210</v>
      </c>
      <c r="C216" s="1">
        <v>391</v>
      </c>
      <c r="D216" s="13">
        <v>47.4</v>
      </c>
      <c r="E216" s="1" t="s">
        <v>11</v>
      </c>
      <c r="F216" s="2">
        <v>1.2450000000000001</v>
      </c>
      <c r="G216" s="1" t="s">
        <v>12</v>
      </c>
      <c r="H216" s="1" t="s">
        <v>13</v>
      </c>
      <c r="I216" s="1" t="s">
        <v>14</v>
      </c>
      <c r="J216" s="14">
        <v>0.37111111111111111</v>
      </c>
      <c r="K216" s="15">
        <v>45537</v>
      </c>
      <c r="M216" s="2">
        <v>1.0950000000000002</v>
      </c>
      <c r="O216" s="2">
        <f t="shared" si="23"/>
        <v>1.0200000000000002</v>
      </c>
      <c r="P216" s="2">
        <f t="shared" si="24"/>
        <v>55.825515055467513</v>
      </c>
      <c r="Q216" s="2">
        <f t="shared" si="25"/>
        <v>0.23624999999999496</v>
      </c>
      <c r="R216" s="2">
        <f t="shared" si="26"/>
        <v>0.27914381933438392</v>
      </c>
      <c r="S216" s="2">
        <f t="shared" si="27"/>
        <v>-4.2893819334388961E-2</v>
      </c>
    </row>
    <row r="217" spans="2:19" x14ac:dyDescent="0.25">
      <c r="B217" s="1">
        <f t="shared" si="28"/>
        <v>211</v>
      </c>
      <c r="C217" s="1">
        <v>394</v>
      </c>
      <c r="D217" s="13">
        <v>47.1</v>
      </c>
      <c r="E217" s="1" t="s">
        <v>11</v>
      </c>
      <c r="F217" s="2">
        <v>1.25</v>
      </c>
      <c r="G217" s="1" t="s">
        <v>12</v>
      </c>
      <c r="H217" s="1" t="s">
        <v>13</v>
      </c>
      <c r="I217" s="1" t="s">
        <v>14</v>
      </c>
      <c r="J217" s="14">
        <v>0.37112268518518521</v>
      </c>
      <c r="K217" s="15">
        <v>45537</v>
      </c>
      <c r="M217" s="2">
        <v>1.1000000000000001</v>
      </c>
      <c r="O217" s="2">
        <f t="shared" si="23"/>
        <v>1.0250000000000001</v>
      </c>
      <c r="P217" s="2">
        <f t="shared" si="24"/>
        <v>55.832012678288429</v>
      </c>
      <c r="Q217" s="2">
        <f t="shared" si="25"/>
        <v>0.23524999999999496</v>
      </c>
      <c r="R217" s="2">
        <f t="shared" si="26"/>
        <v>0.27917630744848854</v>
      </c>
      <c r="S217" s="2">
        <f t="shared" si="27"/>
        <v>-4.3926307448493573E-2</v>
      </c>
    </row>
    <row r="218" spans="2:19" x14ac:dyDescent="0.25">
      <c r="B218" s="1">
        <f t="shared" si="28"/>
        <v>212</v>
      </c>
      <c r="C218" s="1">
        <v>396</v>
      </c>
      <c r="D218" s="13">
        <v>47</v>
      </c>
      <c r="E218" s="1" t="s">
        <v>11</v>
      </c>
      <c r="F218" s="2">
        <v>1.2549999999999999</v>
      </c>
      <c r="G218" s="1" t="s">
        <v>12</v>
      </c>
      <c r="H218" s="1" t="s">
        <v>13</v>
      </c>
      <c r="I218" s="1" t="s">
        <v>14</v>
      </c>
      <c r="J218" s="14">
        <v>0.37112268518518521</v>
      </c>
      <c r="K218" s="15">
        <v>45537</v>
      </c>
      <c r="M218" s="2">
        <v>1.105</v>
      </c>
      <c r="O218" s="2">
        <f t="shared" si="23"/>
        <v>1.03</v>
      </c>
      <c r="P218" s="2">
        <f t="shared" si="24"/>
        <v>55.838510301109352</v>
      </c>
      <c r="Q218" s="2">
        <f t="shared" si="25"/>
        <v>0.23475000000000543</v>
      </c>
      <c r="R218" s="2">
        <f t="shared" si="26"/>
        <v>0.27920879556260547</v>
      </c>
      <c r="S218" s="2">
        <f t="shared" si="27"/>
        <v>-4.4458795562600045E-2</v>
      </c>
    </row>
    <row r="219" spans="2:19" x14ac:dyDescent="0.25">
      <c r="B219" s="1">
        <f t="shared" si="28"/>
        <v>213</v>
      </c>
      <c r="C219" s="1">
        <v>398</v>
      </c>
      <c r="D219" s="13">
        <v>46.9</v>
      </c>
      <c r="E219" s="1" t="s">
        <v>11</v>
      </c>
      <c r="F219" s="2">
        <v>1.26</v>
      </c>
      <c r="G219" s="1" t="s">
        <v>12</v>
      </c>
      <c r="H219" s="1" t="s">
        <v>13</v>
      </c>
      <c r="I219" s="1" t="s">
        <v>14</v>
      </c>
      <c r="J219" s="14">
        <v>0.37112268518518521</v>
      </c>
      <c r="K219" s="15">
        <v>45537</v>
      </c>
      <c r="M219" s="2">
        <v>1.1100000000000001</v>
      </c>
      <c r="O219" s="2">
        <f t="shared" si="23"/>
        <v>1.0350000000000001</v>
      </c>
      <c r="P219" s="2">
        <f t="shared" si="24"/>
        <v>55.845007923930268</v>
      </c>
      <c r="Q219" s="2">
        <f t="shared" si="25"/>
        <v>0.23399999999999499</v>
      </c>
      <c r="R219" s="2">
        <f t="shared" si="26"/>
        <v>0.2792412836766977</v>
      </c>
      <c r="S219" s="2">
        <f t="shared" si="27"/>
        <v>-4.5241283676702715E-2</v>
      </c>
    </row>
    <row r="220" spans="2:19" x14ac:dyDescent="0.25">
      <c r="B220" s="1">
        <f t="shared" si="28"/>
        <v>214</v>
      </c>
      <c r="C220" s="1">
        <v>399</v>
      </c>
      <c r="D220" s="13">
        <v>46.7</v>
      </c>
      <c r="E220" s="1" t="s">
        <v>11</v>
      </c>
      <c r="F220" s="2">
        <v>1.2649999999999999</v>
      </c>
      <c r="G220" s="1" t="s">
        <v>12</v>
      </c>
      <c r="H220" s="1" t="s">
        <v>13</v>
      </c>
      <c r="I220" s="1" t="s">
        <v>14</v>
      </c>
      <c r="J220" s="14">
        <v>0.37112268518518521</v>
      </c>
      <c r="K220" s="15">
        <v>45537</v>
      </c>
      <c r="M220" s="2">
        <v>1.115</v>
      </c>
      <c r="O220" s="2">
        <f t="shared" si="23"/>
        <v>1.04</v>
      </c>
      <c r="P220" s="2">
        <f t="shared" si="24"/>
        <v>55.851505546751191</v>
      </c>
      <c r="Q220" s="2">
        <f t="shared" si="25"/>
        <v>0.46550000000000036</v>
      </c>
      <c r="R220" s="2">
        <f t="shared" si="26"/>
        <v>0.55858003169572168</v>
      </c>
      <c r="S220" s="2">
        <f t="shared" si="27"/>
        <v>-9.3080031695721321E-2</v>
      </c>
    </row>
    <row r="221" spans="2:19" x14ac:dyDescent="0.25">
      <c r="B221" s="1">
        <f t="shared" si="28"/>
        <v>215</v>
      </c>
      <c r="C221" s="1">
        <v>401</v>
      </c>
      <c r="D221" s="13">
        <v>46.4</v>
      </c>
      <c r="E221" s="1" t="s">
        <v>11</v>
      </c>
      <c r="F221" s="2">
        <v>1.2749999999999999</v>
      </c>
      <c r="G221" s="1" t="s">
        <v>12</v>
      </c>
      <c r="H221" s="1" t="s">
        <v>13</v>
      </c>
      <c r="I221" s="1" t="s">
        <v>14</v>
      </c>
      <c r="J221" s="14">
        <v>0.37112268518518521</v>
      </c>
      <c r="K221" s="15">
        <v>45537</v>
      </c>
      <c r="M221" s="2">
        <v>1.125</v>
      </c>
      <c r="O221" s="2">
        <f t="shared" si="23"/>
        <v>1.05</v>
      </c>
      <c r="P221" s="2">
        <f t="shared" si="24"/>
        <v>55.864500792393031</v>
      </c>
      <c r="Q221" s="2">
        <f t="shared" si="25"/>
        <v>0.23100000000000534</v>
      </c>
      <c r="R221" s="2">
        <f t="shared" si="26"/>
        <v>0.27933874801902392</v>
      </c>
      <c r="S221" s="2">
        <f t="shared" si="27"/>
        <v>-4.8338748019018579E-2</v>
      </c>
    </row>
    <row r="222" spans="2:19" x14ac:dyDescent="0.25">
      <c r="B222" s="1">
        <f t="shared" si="28"/>
        <v>216</v>
      </c>
      <c r="C222" s="1">
        <v>402</v>
      </c>
      <c r="D222" s="13">
        <v>46</v>
      </c>
      <c r="E222" s="1" t="s">
        <v>11</v>
      </c>
      <c r="F222" s="2">
        <v>1.28</v>
      </c>
      <c r="G222" s="1" t="s">
        <v>12</v>
      </c>
      <c r="H222" s="1" t="s">
        <v>13</v>
      </c>
      <c r="I222" s="1" t="s">
        <v>14</v>
      </c>
      <c r="J222" s="14">
        <v>0.37112268518518521</v>
      </c>
      <c r="K222" s="15">
        <v>45537</v>
      </c>
      <c r="M222" s="2">
        <v>1.1300000000000001</v>
      </c>
      <c r="O222" s="2">
        <f t="shared" si="23"/>
        <v>1.0550000000000002</v>
      </c>
      <c r="P222" s="2">
        <f t="shared" si="24"/>
        <v>55.870998415213947</v>
      </c>
      <c r="Q222" s="2">
        <f t="shared" si="25"/>
        <v>0.45850000000000041</v>
      </c>
      <c r="R222" s="2">
        <f t="shared" si="26"/>
        <v>0.55877496038034913</v>
      </c>
      <c r="S222" s="2">
        <f t="shared" si="27"/>
        <v>-0.10027496038034872</v>
      </c>
    </row>
    <row r="223" spans="2:19" x14ac:dyDescent="0.25">
      <c r="B223" s="1">
        <f t="shared" si="28"/>
        <v>217</v>
      </c>
      <c r="C223" s="1">
        <v>403</v>
      </c>
      <c r="D223" s="13">
        <v>45.7</v>
      </c>
      <c r="E223" s="1" t="s">
        <v>11</v>
      </c>
      <c r="F223" s="2">
        <v>1.29</v>
      </c>
      <c r="G223" s="1" t="s">
        <v>12</v>
      </c>
      <c r="H223" s="1" t="s">
        <v>13</v>
      </c>
      <c r="I223" s="1" t="s">
        <v>14</v>
      </c>
      <c r="J223" s="14">
        <v>0.37112268518518521</v>
      </c>
      <c r="K223" s="15">
        <v>45537</v>
      </c>
      <c r="M223" s="2">
        <v>1.1400000000000001</v>
      </c>
      <c r="O223" s="2">
        <f t="shared" si="23"/>
        <v>1.0650000000000002</v>
      </c>
      <c r="P223" s="2">
        <f t="shared" si="24"/>
        <v>55.883993660855786</v>
      </c>
      <c r="Q223" s="2">
        <f t="shared" si="25"/>
        <v>0.22824999999999515</v>
      </c>
      <c r="R223" s="2">
        <f t="shared" si="26"/>
        <v>0.27943621236132526</v>
      </c>
      <c r="S223" s="2">
        <f t="shared" si="27"/>
        <v>-5.1186212361330113E-2</v>
      </c>
    </row>
    <row r="224" spans="2:19" x14ac:dyDescent="0.25">
      <c r="B224" s="1">
        <f t="shared" si="28"/>
        <v>218</v>
      </c>
      <c r="C224" s="1">
        <v>404</v>
      </c>
      <c r="D224" s="13">
        <v>45.6</v>
      </c>
      <c r="E224" s="1" t="s">
        <v>11</v>
      </c>
      <c r="F224" s="2">
        <v>1.2949999999999999</v>
      </c>
      <c r="G224" s="1" t="s">
        <v>12</v>
      </c>
      <c r="H224" s="1" t="s">
        <v>13</v>
      </c>
      <c r="I224" s="1" t="s">
        <v>14</v>
      </c>
      <c r="J224" s="14">
        <v>0.37113425925925925</v>
      </c>
      <c r="K224" s="15">
        <v>45537</v>
      </c>
      <c r="M224" s="2">
        <v>1.145</v>
      </c>
      <c r="O224" s="2">
        <f t="shared" si="23"/>
        <v>1.07</v>
      </c>
      <c r="P224" s="2">
        <f t="shared" si="24"/>
        <v>55.890491283676702</v>
      </c>
      <c r="Q224" s="2">
        <f t="shared" si="25"/>
        <v>0.22775000000000525</v>
      </c>
      <c r="R224" s="2">
        <f t="shared" si="26"/>
        <v>0.27946870047544231</v>
      </c>
      <c r="S224" s="2">
        <f t="shared" si="27"/>
        <v>-5.1718700475437057E-2</v>
      </c>
    </row>
    <row r="225" spans="2:19" x14ac:dyDescent="0.25">
      <c r="B225" s="1">
        <f t="shared" si="28"/>
        <v>219</v>
      </c>
      <c r="C225" s="1">
        <v>405</v>
      </c>
      <c r="D225" s="13">
        <v>45.5</v>
      </c>
      <c r="E225" s="1" t="s">
        <v>11</v>
      </c>
      <c r="F225" s="2">
        <v>1.3</v>
      </c>
      <c r="G225" s="1" t="s">
        <v>12</v>
      </c>
      <c r="H225" s="1" t="s">
        <v>13</v>
      </c>
      <c r="I225" s="1" t="s">
        <v>14</v>
      </c>
      <c r="J225" s="14">
        <v>0.37113425925925925</v>
      </c>
      <c r="K225" s="15">
        <v>45537</v>
      </c>
      <c r="M225" s="2">
        <v>1.1500000000000001</v>
      </c>
      <c r="O225" s="2">
        <f t="shared" si="23"/>
        <v>1.0750000000000002</v>
      </c>
      <c r="P225" s="2">
        <f t="shared" si="24"/>
        <v>55.896988906497626</v>
      </c>
      <c r="Q225" s="2">
        <f t="shared" si="25"/>
        <v>0.22724999999999518</v>
      </c>
      <c r="R225" s="2">
        <f t="shared" si="26"/>
        <v>0.27950118858953449</v>
      </c>
      <c r="S225" s="2">
        <f t="shared" si="27"/>
        <v>-5.225118858953931E-2</v>
      </c>
    </row>
    <row r="226" spans="2:19" x14ac:dyDescent="0.25">
      <c r="B226" s="1">
        <f t="shared" si="28"/>
        <v>220</v>
      </c>
      <c r="C226" s="1">
        <v>406</v>
      </c>
      <c r="D226" s="13">
        <v>45.4</v>
      </c>
      <c r="E226" s="1" t="s">
        <v>11</v>
      </c>
      <c r="F226" s="2">
        <v>1.3049999999999999</v>
      </c>
      <c r="G226" s="1" t="s">
        <v>12</v>
      </c>
      <c r="H226" s="1" t="s">
        <v>13</v>
      </c>
      <c r="I226" s="1" t="s">
        <v>14</v>
      </c>
      <c r="J226" s="14">
        <v>0.37113425925925925</v>
      </c>
      <c r="K226" s="15">
        <v>45537</v>
      </c>
      <c r="M226" s="2">
        <v>1.155</v>
      </c>
      <c r="O226" s="2">
        <f t="shared" si="23"/>
        <v>1.08</v>
      </c>
      <c r="P226" s="2">
        <f t="shared" si="24"/>
        <v>55.903486529318542</v>
      </c>
      <c r="Q226" s="2">
        <f t="shared" si="25"/>
        <v>0.45300000000000035</v>
      </c>
      <c r="R226" s="2">
        <f t="shared" si="26"/>
        <v>0.55909984152139502</v>
      </c>
      <c r="S226" s="2">
        <f t="shared" si="27"/>
        <v>-0.10609984152139468</v>
      </c>
    </row>
    <row r="227" spans="2:19" x14ac:dyDescent="0.25">
      <c r="B227" s="1">
        <f t="shared" si="28"/>
        <v>221</v>
      </c>
      <c r="C227" s="1">
        <v>407</v>
      </c>
      <c r="D227" s="13">
        <v>45.2</v>
      </c>
      <c r="E227" s="1" t="s">
        <v>11</v>
      </c>
      <c r="F227" s="2">
        <v>1.3149999999999999</v>
      </c>
      <c r="G227" s="1" t="s">
        <v>12</v>
      </c>
      <c r="H227" s="1" t="s">
        <v>13</v>
      </c>
      <c r="I227" s="1" t="s">
        <v>14</v>
      </c>
      <c r="J227" s="14">
        <v>0.37113425925925925</v>
      </c>
      <c r="K227" s="15">
        <v>45537</v>
      </c>
      <c r="M227" s="2">
        <v>1.165</v>
      </c>
      <c r="O227" s="2">
        <f t="shared" si="23"/>
        <v>1.0900000000000001</v>
      </c>
      <c r="P227" s="2">
        <f t="shared" si="24"/>
        <v>55.916481774960381</v>
      </c>
      <c r="Q227" s="2">
        <f t="shared" si="25"/>
        <v>0.22575000000000525</v>
      </c>
      <c r="R227" s="2">
        <f t="shared" si="26"/>
        <v>0.27959865293186065</v>
      </c>
      <c r="S227" s="2">
        <f t="shared" si="27"/>
        <v>-5.3848652931855395E-2</v>
      </c>
    </row>
    <row r="228" spans="2:19" x14ac:dyDescent="0.25">
      <c r="B228" s="1">
        <f t="shared" si="28"/>
        <v>222</v>
      </c>
      <c r="C228" s="1">
        <v>408</v>
      </c>
      <c r="D228" s="13">
        <v>45.1</v>
      </c>
      <c r="E228" s="1" t="s">
        <v>11</v>
      </c>
      <c r="F228" s="2">
        <v>1.32</v>
      </c>
      <c r="G228" s="1" t="s">
        <v>12</v>
      </c>
      <c r="H228" s="1" t="s">
        <v>13</v>
      </c>
      <c r="I228" s="1" t="s">
        <v>14</v>
      </c>
      <c r="J228" s="14">
        <v>0.37113425925925925</v>
      </c>
      <c r="K228" s="15">
        <v>45537</v>
      </c>
      <c r="M228" s="2">
        <v>1.1700000000000002</v>
      </c>
      <c r="O228" s="2">
        <f t="shared" si="23"/>
        <v>1.0950000000000002</v>
      </c>
      <c r="P228" s="2">
        <f t="shared" si="24"/>
        <v>55.922979397781297</v>
      </c>
      <c r="Q228" s="2">
        <f t="shared" si="25"/>
        <v>0.2249999999999952</v>
      </c>
      <c r="R228" s="2">
        <f t="shared" si="26"/>
        <v>0.27963114104595288</v>
      </c>
      <c r="S228" s="2">
        <f t="shared" si="27"/>
        <v>-5.4631141045957676E-2</v>
      </c>
    </row>
    <row r="229" spans="2:19" x14ac:dyDescent="0.25">
      <c r="B229" s="1">
        <f t="shared" si="28"/>
        <v>223</v>
      </c>
      <c r="C229" s="1">
        <v>409</v>
      </c>
      <c r="D229" s="13">
        <v>44.9</v>
      </c>
      <c r="E229" s="1" t="s">
        <v>11</v>
      </c>
      <c r="F229" s="2">
        <v>1.325</v>
      </c>
      <c r="G229" s="1" t="s">
        <v>12</v>
      </c>
      <c r="H229" s="1" t="s">
        <v>13</v>
      </c>
      <c r="I229" s="1" t="s">
        <v>14</v>
      </c>
      <c r="J229" s="14">
        <v>0.37113425925925925</v>
      </c>
      <c r="K229" s="15">
        <v>45537</v>
      </c>
      <c r="M229" s="2">
        <v>1.175</v>
      </c>
      <c r="O229" s="2">
        <f t="shared" si="23"/>
        <v>1.1000000000000001</v>
      </c>
      <c r="P229" s="2">
        <f t="shared" si="24"/>
        <v>55.929477020602221</v>
      </c>
      <c r="Q229" s="2">
        <f t="shared" si="25"/>
        <v>0.22450000000000517</v>
      </c>
      <c r="R229" s="2">
        <f t="shared" si="26"/>
        <v>0.27966362916006987</v>
      </c>
      <c r="S229" s="2">
        <f t="shared" si="27"/>
        <v>-5.5163629160064703E-2</v>
      </c>
    </row>
    <row r="230" spans="2:19" x14ac:dyDescent="0.25">
      <c r="B230" s="1">
        <f t="shared" si="28"/>
        <v>224</v>
      </c>
      <c r="C230" s="1">
        <v>410</v>
      </c>
      <c r="D230" s="13">
        <v>44.9</v>
      </c>
      <c r="E230" s="1" t="s">
        <v>11</v>
      </c>
      <c r="F230" s="2">
        <v>1.33</v>
      </c>
      <c r="G230" s="1" t="s">
        <v>12</v>
      </c>
      <c r="H230" s="1" t="s">
        <v>13</v>
      </c>
      <c r="I230" s="1" t="s">
        <v>14</v>
      </c>
      <c r="J230" s="14">
        <v>0.37113425925925925</v>
      </c>
      <c r="K230" s="15">
        <v>45537</v>
      </c>
      <c r="M230" s="2">
        <v>1.1800000000000002</v>
      </c>
      <c r="O230" s="2">
        <f t="shared" si="23"/>
        <v>1.1050000000000002</v>
      </c>
      <c r="P230" s="2">
        <f t="shared" si="24"/>
        <v>55.935974643423137</v>
      </c>
      <c r="Q230" s="2">
        <f t="shared" si="25"/>
        <v>0.2242499999999952</v>
      </c>
      <c r="R230" s="2">
        <f t="shared" si="26"/>
        <v>0.27969611727416199</v>
      </c>
      <c r="S230" s="2">
        <f t="shared" si="27"/>
        <v>-5.544611727416679E-2</v>
      </c>
    </row>
    <row r="231" spans="2:19" x14ac:dyDescent="0.25">
      <c r="B231" s="1">
        <f t="shared" si="28"/>
        <v>225</v>
      </c>
      <c r="C231" s="1">
        <v>411</v>
      </c>
      <c r="D231" s="13">
        <v>44.8</v>
      </c>
      <c r="E231" s="1" t="s">
        <v>11</v>
      </c>
      <c r="F231" s="2">
        <v>1.335</v>
      </c>
      <c r="G231" s="1" t="s">
        <v>12</v>
      </c>
      <c r="H231" s="1" t="s">
        <v>13</v>
      </c>
      <c r="I231" s="1" t="s">
        <v>14</v>
      </c>
      <c r="J231" s="14">
        <v>0.37113425925925925</v>
      </c>
      <c r="K231" s="15">
        <v>45537</v>
      </c>
      <c r="M231" s="2">
        <v>1.1850000000000001</v>
      </c>
      <c r="O231" s="2">
        <f t="shared" si="23"/>
        <v>1.1100000000000001</v>
      </c>
      <c r="P231" s="2">
        <f t="shared" si="24"/>
        <v>55.94247226624406</v>
      </c>
      <c r="Q231" s="2">
        <f t="shared" si="25"/>
        <v>0.22350000000000517</v>
      </c>
      <c r="R231" s="2">
        <f t="shared" si="26"/>
        <v>0.27972860538827904</v>
      </c>
      <c r="S231" s="2">
        <f t="shared" si="27"/>
        <v>-5.6228605388273872E-2</v>
      </c>
    </row>
    <row r="232" spans="2:19" x14ac:dyDescent="0.25">
      <c r="B232" s="1">
        <f t="shared" si="28"/>
        <v>226</v>
      </c>
      <c r="C232" s="1">
        <v>413</v>
      </c>
      <c r="D232" s="13">
        <v>44.6</v>
      </c>
      <c r="E232" s="1" t="s">
        <v>11</v>
      </c>
      <c r="F232" s="2">
        <v>1.34</v>
      </c>
      <c r="G232" s="1" t="s">
        <v>12</v>
      </c>
      <c r="H232" s="1" t="s">
        <v>13</v>
      </c>
      <c r="I232" s="1" t="s">
        <v>14</v>
      </c>
      <c r="J232" s="14">
        <v>0.37113425925925925</v>
      </c>
      <c r="K232" s="15">
        <v>45537</v>
      </c>
      <c r="M232" s="2">
        <v>1.1900000000000002</v>
      </c>
      <c r="O232" s="2">
        <f t="shared" si="23"/>
        <v>1.1150000000000002</v>
      </c>
      <c r="P232" s="2">
        <f t="shared" si="24"/>
        <v>55.948969889064976</v>
      </c>
      <c r="Q232" s="2">
        <f t="shared" si="25"/>
        <v>0.22324999999999526</v>
      </c>
      <c r="R232" s="2">
        <f t="shared" si="26"/>
        <v>0.27976109350237122</v>
      </c>
      <c r="S232" s="2">
        <f t="shared" si="27"/>
        <v>-5.6511093502375959E-2</v>
      </c>
    </row>
    <row r="233" spans="2:19" x14ac:dyDescent="0.25">
      <c r="B233" s="1">
        <f t="shared" si="28"/>
        <v>227</v>
      </c>
      <c r="C233" s="1">
        <v>415</v>
      </c>
      <c r="D233" s="13">
        <v>44.7</v>
      </c>
      <c r="E233" s="1" t="s">
        <v>11</v>
      </c>
      <c r="F233" s="2">
        <v>1.345</v>
      </c>
      <c r="G233" s="1" t="s">
        <v>12</v>
      </c>
      <c r="H233" s="1" t="s">
        <v>13</v>
      </c>
      <c r="I233" s="1" t="s">
        <v>14</v>
      </c>
      <c r="J233" s="14">
        <v>0.37114583333333334</v>
      </c>
      <c r="K233" s="15">
        <v>45537</v>
      </c>
      <c r="M233" s="2">
        <v>1.1950000000000001</v>
      </c>
      <c r="O233" s="2">
        <f t="shared" si="23"/>
        <v>1.1200000000000001</v>
      </c>
      <c r="P233" s="2">
        <f t="shared" si="24"/>
        <v>55.9554675118859</v>
      </c>
      <c r="Q233" s="2">
        <f t="shared" si="25"/>
        <v>0.22325000000000519</v>
      </c>
      <c r="R233" s="2">
        <f t="shared" si="26"/>
        <v>0.27979358161648826</v>
      </c>
      <c r="S233" s="2">
        <f t="shared" si="27"/>
        <v>-5.6543581616483068E-2</v>
      </c>
    </row>
    <row r="234" spans="2:19" x14ac:dyDescent="0.25">
      <c r="B234" s="1">
        <f t="shared" si="28"/>
        <v>228</v>
      </c>
      <c r="C234" s="1">
        <v>416</v>
      </c>
      <c r="D234" s="13">
        <v>44.6</v>
      </c>
      <c r="E234" s="1" t="s">
        <v>11</v>
      </c>
      <c r="F234" s="2">
        <v>1.35</v>
      </c>
      <c r="G234" s="1" t="s">
        <v>12</v>
      </c>
      <c r="H234" s="1" t="s">
        <v>13</v>
      </c>
      <c r="I234" s="1" t="s">
        <v>14</v>
      </c>
      <c r="J234" s="14">
        <v>0.37114583333333334</v>
      </c>
      <c r="K234" s="15">
        <v>45537</v>
      </c>
      <c r="M234" s="2">
        <v>1.2000000000000002</v>
      </c>
      <c r="O234" s="2">
        <f t="shared" si="23"/>
        <v>1.1250000000000002</v>
      </c>
      <c r="P234" s="2">
        <f t="shared" si="24"/>
        <v>55.961965134706816</v>
      </c>
      <c r="Q234" s="2">
        <f t="shared" si="25"/>
        <v>0.22249999999999526</v>
      </c>
      <c r="R234" s="2">
        <f t="shared" si="26"/>
        <v>0.27982606973058038</v>
      </c>
      <c r="S234" s="2">
        <f t="shared" si="27"/>
        <v>-5.7326069730585127E-2</v>
      </c>
    </row>
    <row r="235" spans="2:19" x14ac:dyDescent="0.25">
      <c r="B235" s="1">
        <f t="shared" si="28"/>
        <v>229</v>
      </c>
      <c r="C235" s="1">
        <v>418</v>
      </c>
      <c r="D235" s="13">
        <v>44.4</v>
      </c>
      <c r="E235" s="1" t="s">
        <v>11</v>
      </c>
      <c r="F235" s="2">
        <v>1.355</v>
      </c>
      <c r="G235" s="1" t="s">
        <v>12</v>
      </c>
      <c r="H235" s="1" t="s">
        <v>13</v>
      </c>
      <c r="I235" s="1" t="s">
        <v>14</v>
      </c>
      <c r="J235" s="14">
        <v>0.37114583333333334</v>
      </c>
      <c r="K235" s="15">
        <v>45537</v>
      </c>
      <c r="M235" s="2">
        <v>1.2050000000000001</v>
      </c>
      <c r="O235" s="2">
        <f t="shared" si="23"/>
        <v>1.1300000000000001</v>
      </c>
      <c r="P235" s="2">
        <f t="shared" si="24"/>
        <v>55.968462757527732</v>
      </c>
      <c r="Q235" s="2">
        <f t="shared" si="25"/>
        <v>0.22150000000000511</v>
      </c>
      <c r="R235" s="2">
        <f t="shared" si="26"/>
        <v>0.27985855784469743</v>
      </c>
      <c r="S235" s="2">
        <f t="shared" si="27"/>
        <v>-5.8358557844692321E-2</v>
      </c>
    </row>
    <row r="236" spans="2:19" x14ac:dyDescent="0.25">
      <c r="B236" s="1">
        <f t="shared" si="28"/>
        <v>230</v>
      </c>
      <c r="C236" s="1">
        <v>419</v>
      </c>
      <c r="D236" s="13">
        <v>44.2</v>
      </c>
      <c r="E236" s="1" t="s">
        <v>11</v>
      </c>
      <c r="F236" s="2">
        <v>1.36</v>
      </c>
      <c r="G236" s="1" t="s">
        <v>12</v>
      </c>
      <c r="H236" s="1" t="s">
        <v>13</v>
      </c>
      <c r="I236" s="1" t="s">
        <v>14</v>
      </c>
      <c r="J236" s="14">
        <v>0.37114583333333334</v>
      </c>
      <c r="K236" s="15">
        <v>45537</v>
      </c>
      <c r="M236" s="2">
        <v>1.2100000000000002</v>
      </c>
      <c r="O236" s="2">
        <f t="shared" si="23"/>
        <v>1.1350000000000002</v>
      </c>
      <c r="P236" s="2">
        <f t="shared" si="24"/>
        <v>55.974960380348655</v>
      </c>
      <c r="Q236" s="2">
        <f t="shared" si="25"/>
        <v>0.22099999999999531</v>
      </c>
      <c r="R236" s="2">
        <f t="shared" si="26"/>
        <v>0.27989104595878961</v>
      </c>
      <c r="S236" s="2">
        <f t="shared" si="27"/>
        <v>-5.8891045958794297E-2</v>
      </c>
    </row>
    <row r="237" spans="2:19" x14ac:dyDescent="0.25">
      <c r="B237" s="1">
        <f t="shared" si="28"/>
        <v>231</v>
      </c>
      <c r="C237" s="1">
        <v>420</v>
      </c>
      <c r="D237" s="13">
        <v>44.2</v>
      </c>
      <c r="E237" s="1" t="s">
        <v>11</v>
      </c>
      <c r="F237" s="2">
        <v>1.365</v>
      </c>
      <c r="G237" s="1" t="s">
        <v>12</v>
      </c>
      <c r="H237" s="1" t="s">
        <v>13</v>
      </c>
      <c r="I237" s="1" t="s">
        <v>14</v>
      </c>
      <c r="J237" s="14">
        <v>0.37114583333333334</v>
      </c>
      <c r="K237" s="15">
        <v>45537</v>
      </c>
      <c r="M237" s="2">
        <v>1.2150000000000001</v>
      </c>
      <c r="O237" s="2">
        <f t="shared" si="23"/>
        <v>1.1400000000000001</v>
      </c>
      <c r="P237" s="2">
        <f t="shared" si="24"/>
        <v>55.981458003169571</v>
      </c>
      <c r="Q237" s="2">
        <f t="shared" si="25"/>
        <v>0.22125000000000511</v>
      </c>
      <c r="R237" s="2">
        <f t="shared" si="26"/>
        <v>0.27992353407290665</v>
      </c>
      <c r="S237" s="2">
        <f t="shared" si="27"/>
        <v>-5.8673534072901545E-2</v>
      </c>
    </row>
    <row r="238" spans="2:19" x14ac:dyDescent="0.25">
      <c r="B238" s="1">
        <f t="shared" si="28"/>
        <v>232</v>
      </c>
      <c r="C238" s="1">
        <v>421</v>
      </c>
      <c r="D238" s="13">
        <v>44.3</v>
      </c>
      <c r="E238" s="1" t="s">
        <v>11</v>
      </c>
      <c r="F238" s="2">
        <v>1.37</v>
      </c>
      <c r="G238" s="1" t="s">
        <v>12</v>
      </c>
      <c r="H238" s="1" t="s">
        <v>13</v>
      </c>
      <c r="I238" s="1" t="s">
        <v>14</v>
      </c>
      <c r="J238" s="14">
        <v>0.37114583333333334</v>
      </c>
      <c r="K238" s="15">
        <v>45537</v>
      </c>
      <c r="M238" s="2">
        <v>1.2200000000000002</v>
      </c>
      <c r="O238" s="2">
        <f t="shared" si="23"/>
        <v>1.1450000000000002</v>
      </c>
      <c r="P238" s="2">
        <f t="shared" si="24"/>
        <v>55.987955625990494</v>
      </c>
      <c r="Q238" s="2">
        <f t="shared" si="25"/>
        <v>0.22149999999999526</v>
      </c>
      <c r="R238" s="2">
        <f t="shared" si="26"/>
        <v>0.27995602218699878</v>
      </c>
      <c r="S238" s="2">
        <f t="shared" si="27"/>
        <v>-5.845602218700352E-2</v>
      </c>
    </row>
    <row r="239" spans="2:19" x14ac:dyDescent="0.25">
      <c r="B239" s="1">
        <f t="shared" si="28"/>
        <v>233</v>
      </c>
      <c r="C239" s="1">
        <v>422</v>
      </c>
      <c r="D239" s="13">
        <v>44.3</v>
      </c>
      <c r="E239" s="1" t="s">
        <v>11</v>
      </c>
      <c r="F239" s="2">
        <v>1.375</v>
      </c>
      <c r="G239" s="1" t="s">
        <v>12</v>
      </c>
      <c r="H239" s="1" t="s">
        <v>13</v>
      </c>
      <c r="I239" s="1" t="s">
        <v>14</v>
      </c>
      <c r="J239" s="14">
        <v>0.37114583333333334</v>
      </c>
      <c r="K239" s="15">
        <v>45537</v>
      </c>
      <c r="M239" s="2">
        <v>1.2250000000000001</v>
      </c>
      <c r="O239" s="2">
        <f t="shared" si="23"/>
        <v>1.1500000000000001</v>
      </c>
      <c r="P239" s="2">
        <f t="shared" si="24"/>
        <v>55.994453248811411</v>
      </c>
      <c r="Q239" s="2">
        <f t="shared" si="25"/>
        <v>0.22124999999999528</v>
      </c>
      <c r="R239" s="2">
        <f t="shared" si="26"/>
        <v>0.27998851030110339</v>
      </c>
      <c r="S239" s="2">
        <f t="shared" si="27"/>
        <v>-5.8738510301108104E-2</v>
      </c>
    </row>
    <row r="240" spans="2:19" x14ac:dyDescent="0.25">
      <c r="B240" s="1">
        <f t="shared" si="28"/>
        <v>234</v>
      </c>
      <c r="C240" s="1">
        <v>423</v>
      </c>
      <c r="D240" s="13">
        <v>44.2</v>
      </c>
      <c r="E240" s="1" t="s">
        <v>11</v>
      </c>
      <c r="F240" s="2">
        <v>1.38</v>
      </c>
      <c r="G240" s="1" t="s">
        <v>12</v>
      </c>
      <c r="H240" s="1" t="s">
        <v>13</v>
      </c>
      <c r="I240" s="1" t="s">
        <v>14</v>
      </c>
      <c r="J240" s="14">
        <v>0.37114583333333334</v>
      </c>
      <c r="K240" s="15">
        <v>45537</v>
      </c>
      <c r="M240" s="2">
        <v>1.23</v>
      </c>
      <c r="O240" s="2">
        <f t="shared" si="23"/>
        <v>1.155</v>
      </c>
      <c r="P240" s="2">
        <f t="shared" si="24"/>
        <v>56.000950871632327</v>
      </c>
      <c r="Q240" s="2">
        <f t="shared" si="25"/>
        <v>0.22125000000000511</v>
      </c>
      <c r="R240" s="2">
        <f t="shared" si="26"/>
        <v>0.28002099841522038</v>
      </c>
      <c r="S240" s="2">
        <f t="shared" si="27"/>
        <v>-5.877099841521527E-2</v>
      </c>
    </row>
    <row r="241" spans="2:19" x14ac:dyDescent="0.25">
      <c r="B241" s="1">
        <f t="shared" si="28"/>
        <v>235</v>
      </c>
      <c r="C241" s="1">
        <v>424</v>
      </c>
      <c r="D241" s="13">
        <v>44.3</v>
      </c>
      <c r="E241" s="1" t="s">
        <v>11</v>
      </c>
      <c r="F241" s="2">
        <v>1.385</v>
      </c>
      <c r="G241" s="1" t="s">
        <v>12</v>
      </c>
      <c r="H241" s="1" t="s">
        <v>13</v>
      </c>
      <c r="I241" s="1" t="s">
        <v>14</v>
      </c>
      <c r="J241" s="14">
        <v>0.37115740740740738</v>
      </c>
      <c r="K241" s="15">
        <v>45537</v>
      </c>
      <c r="M241" s="2">
        <v>1.2350000000000001</v>
      </c>
      <c r="O241" s="2">
        <f t="shared" si="23"/>
        <v>1.1600000000000001</v>
      </c>
      <c r="P241" s="2">
        <f t="shared" si="24"/>
        <v>56.00744849445325</v>
      </c>
      <c r="Q241" s="2">
        <f t="shared" si="25"/>
        <v>0.22099999999999531</v>
      </c>
      <c r="R241" s="2">
        <f t="shared" si="26"/>
        <v>0.28005348652931256</v>
      </c>
      <c r="S241" s="2">
        <f t="shared" si="27"/>
        <v>-5.9053486529317245E-2</v>
      </c>
    </row>
    <row r="242" spans="2:19" x14ac:dyDescent="0.25">
      <c r="B242" s="1">
        <f t="shared" si="28"/>
        <v>236</v>
      </c>
      <c r="C242" s="1">
        <v>425</v>
      </c>
      <c r="D242" s="13">
        <v>44.1</v>
      </c>
      <c r="E242" s="1" t="s">
        <v>11</v>
      </c>
      <c r="F242" s="2">
        <v>1.39</v>
      </c>
      <c r="G242" s="1" t="s">
        <v>12</v>
      </c>
      <c r="H242" s="1" t="s">
        <v>13</v>
      </c>
      <c r="I242" s="1" t="s">
        <v>14</v>
      </c>
      <c r="J242" s="14">
        <v>0.37115740740740738</v>
      </c>
      <c r="K242" s="15">
        <v>45537</v>
      </c>
      <c r="M242" s="2">
        <v>1.24</v>
      </c>
      <c r="O242" s="2">
        <f t="shared" si="23"/>
        <v>1.165</v>
      </c>
      <c r="P242" s="2">
        <f t="shared" si="24"/>
        <v>56.013946117274166</v>
      </c>
      <c r="Q242" s="2">
        <f t="shared" si="25"/>
        <v>0.22000000000000508</v>
      </c>
      <c r="R242" s="2">
        <f t="shared" si="26"/>
        <v>0.2800859746434296</v>
      </c>
      <c r="S242" s="2">
        <f t="shared" si="27"/>
        <v>-6.0085974643424522E-2</v>
      </c>
    </row>
    <row r="243" spans="2:19" x14ac:dyDescent="0.25">
      <c r="B243" s="1">
        <f t="shared" si="28"/>
        <v>237</v>
      </c>
      <c r="C243" s="1">
        <v>426</v>
      </c>
      <c r="D243" s="13">
        <v>43.9</v>
      </c>
      <c r="E243" s="1" t="s">
        <v>11</v>
      </c>
      <c r="F243" s="2">
        <v>1.395</v>
      </c>
      <c r="G243" s="1" t="s">
        <v>12</v>
      </c>
      <c r="H243" s="1" t="s">
        <v>13</v>
      </c>
      <c r="I243" s="1" t="s">
        <v>14</v>
      </c>
      <c r="J243" s="14">
        <v>0.37115740740740738</v>
      </c>
      <c r="K243" s="15">
        <v>45537</v>
      </c>
      <c r="M243" s="2">
        <v>1.2450000000000001</v>
      </c>
      <c r="O243" s="2">
        <f t="shared" si="23"/>
        <v>1.1700000000000002</v>
      </c>
      <c r="P243" s="2">
        <f t="shared" si="24"/>
        <v>56.020443740095089</v>
      </c>
      <c r="Q243" s="2">
        <f t="shared" si="25"/>
        <v>0.43850000000000033</v>
      </c>
      <c r="R243" s="2">
        <f t="shared" si="26"/>
        <v>0.56026941362916061</v>
      </c>
      <c r="S243" s="2">
        <f t="shared" si="27"/>
        <v>-0.12176941362916027</v>
      </c>
    </row>
    <row r="244" spans="2:19" x14ac:dyDescent="0.25">
      <c r="B244" s="1">
        <f t="shared" si="28"/>
        <v>238</v>
      </c>
      <c r="C244" s="1">
        <v>427</v>
      </c>
      <c r="D244" s="13">
        <v>43.8</v>
      </c>
      <c r="E244" s="1" t="s">
        <v>11</v>
      </c>
      <c r="F244" s="2">
        <v>1.405</v>
      </c>
      <c r="G244" s="1" t="s">
        <v>12</v>
      </c>
      <c r="H244" s="1" t="s">
        <v>13</v>
      </c>
      <c r="I244" s="1" t="s">
        <v>14</v>
      </c>
      <c r="J244" s="14">
        <v>0.37115740740740738</v>
      </c>
      <c r="K244" s="15">
        <v>45537</v>
      </c>
      <c r="M244" s="2">
        <v>1.2550000000000001</v>
      </c>
      <c r="O244" s="2">
        <f t="shared" si="23"/>
        <v>1.1800000000000002</v>
      </c>
      <c r="P244" s="2">
        <f t="shared" si="24"/>
        <v>56.033438985736929</v>
      </c>
      <c r="Q244" s="2">
        <f t="shared" si="25"/>
        <v>0.21924999999999531</v>
      </c>
      <c r="R244" s="2">
        <f t="shared" si="26"/>
        <v>0.28018343898573095</v>
      </c>
      <c r="S244" s="2">
        <f t="shared" si="27"/>
        <v>-6.0933438985735638E-2</v>
      </c>
    </row>
    <row r="245" spans="2:19" x14ac:dyDescent="0.25">
      <c r="B245" s="1">
        <f t="shared" si="28"/>
        <v>239</v>
      </c>
      <c r="C245" s="1">
        <v>428</v>
      </c>
      <c r="D245" s="13">
        <v>43.9</v>
      </c>
      <c r="E245" s="1" t="s">
        <v>11</v>
      </c>
      <c r="F245" s="2">
        <v>1.41</v>
      </c>
      <c r="G245" s="1" t="s">
        <v>12</v>
      </c>
      <c r="H245" s="1" t="s">
        <v>13</v>
      </c>
      <c r="I245" s="1" t="s">
        <v>14</v>
      </c>
      <c r="J245" s="14">
        <v>0.37115740740740738</v>
      </c>
      <c r="K245" s="15">
        <v>45537</v>
      </c>
      <c r="M245" s="2">
        <v>1.26</v>
      </c>
      <c r="O245" s="2">
        <f t="shared" si="23"/>
        <v>1.1850000000000001</v>
      </c>
      <c r="P245" s="2">
        <f t="shared" si="24"/>
        <v>56.039936608557845</v>
      </c>
      <c r="Q245" s="2">
        <f t="shared" si="25"/>
        <v>0.21925000000000502</v>
      </c>
      <c r="R245" s="2">
        <f t="shared" si="26"/>
        <v>0.28021592709984799</v>
      </c>
      <c r="S245" s="2">
        <f t="shared" si="27"/>
        <v>-6.096592709984297E-2</v>
      </c>
    </row>
    <row r="246" spans="2:19" x14ac:dyDescent="0.25">
      <c r="B246" s="1">
        <f t="shared" si="28"/>
        <v>240</v>
      </c>
      <c r="C246" s="1">
        <v>429</v>
      </c>
      <c r="D246" s="13">
        <v>43.8</v>
      </c>
      <c r="E246" s="1" t="s">
        <v>11</v>
      </c>
      <c r="F246" s="2">
        <v>1.415</v>
      </c>
      <c r="G246" s="1" t="s">
        <v>12</v>
      </c>
      <c r="H246" s="1" t="s">
        <v>13</v>
      </c>
      <c r="I246" s="1" t="s">
        <v>14</v>
      </c>
      <c r="J246" s="14">
        <v>0.37115740740740738</v>
      </c>
      <c r="K246" s="15">
        <v>45537</v>
      </c>
      <c r="M246" s="2">
        <v>1.2650000000000001</v>
      </c>
      <c r="O246" s="2">
        <f t="shared" si="23"/>
        <v>1.1900000000000002</v>
      </c>
      <c r="P246" s="2">
        <f t="shared" si="24"/>
        <v>56.046434231378768</v>
      </c>
      <c r="Q246" s="2">
        <f t="shared" si="25"/>
        <v>0.21824999999999534</v>
      </c>
      <c r="R246" s="2">
        <f t="shared" si="26"/>
        <v>0.28024841521394017</v>
      </c>
      <c r="S246" s="2">
        <f t="shared" si="27"/>
        <v>-6.1998415213944835E-2</v>
      </c>
    </row>
    <row r="247" spans="2:19" x14ac:dyDescent="0.25">
      <c r="B247" s="1">
        <f t="shared" si="28"/>
        <v>241</v>
      </c>
      <c r="C247" s="1">
        <v>430</v>
      </c>
      <c r="D247" s="13">
        <v>43.5</v>
      </c>
      <c r="E247" s="1" t="s">
        <v>11</v>
      </c>
      <c r="F247" s="2">
        <v>1.42</v>
      </c>
      <c r="G247" s="1" t="s">
        <v>12</v>
      </c>
      <c r="H247" s="1" t="s">
        <v>13</v>
      </c>
      <c r="I247" s="1" t="s">
        <v>14</v>
      </c>
      <c r="J247" s="14">
        <v>0.37115740740740738</v>
      </c>
      <c r="K247" s="15">
        <v>45537</v>
      </c>
      <c r="M247" s="2">
        <v>1.27</v>
      </c>
      <c r="O247" s="2">
        <f t="shared" si="23"/>
        <v>1.1950000000000001</v>
      </c>
      <c r="P247" s="2">
        <f t="shared" si="24"/>
        <v>56.052931854199684</v>
      </c>
      <c r="Q247" s="2">
        <f t="shared" si="25"/>
        <v>0.21725000000000502</v>
      </c>
      <c r="R247" s="2">
        <f t="shared" si="26"/>
        <v>0.28028090332805716</v>
      </c>
      <c r="S247" s="2">
        <f t="shared" si="27"/>
        <v>-6.303090332805214E-2</v>
      </c>
    </row>
    <row r="248" spans="2:19" x14ac:dyDescent="0.25">
      <c r="B248" s="1">
        <f t="shared" si="28"/>
        <v>242</v>
      </c>
      <c r="C248" s="1">
        <v>431</v>
      </c>
      <c r="D248" s="13">
        <v>43.4</v>
      </c>
      <c r="E248" s="1" t="s">
        <v>11</v>
      </c>
      <c r="F248" s="2">
        <v>1.425</v>
      </c>
      <c r="G248" s="1" t="s">
        <v>12</v>
      </c>
      <c r="H248" s="1" t="s">
        <v>13</v>
      </c>
      <c r="I248" s="1" t="s">
        <v>14</v>
      </c>
      <c r="J248" s="14">
        <v>0.37115740740740738</v>
      </c>
      <c r="K248" s="15">
        <v>45537</v>
      </c>
      <c r="M248" s="2">
        <v>1.2750000000000001</v>
      </c>
      <c r="O248" s="2">
        <f t="shared" si="23"/>
        <v>1.2000000000000002</v>
      </c>
      <c r="P248" s="2">
        <f t="shared" si="24"/>
        <v>56.059429477020601</v>
      </c>
      <c r="Q248" s="2">
        <f t="shared" si="25"/>
        <v>0.21724999999999539</v>
      </c>
      <c r="R248" s="2">
        <f t="shared" si="26"/>
        <v>0.28031339144214934</v>
      </c>
      <c r="S248" s="2">
        <f t="shared" si="27"/>
        <v>-6.3063391442153949E-2</v>
      </c>
    </row>
    <row r="249" spans="2:19" x14ac:dyDescent="0.25">
      <c r="B249" s="1">
        <f t="shared" si="28"/>
        <v>243</v>
      </c>
      <c r="C249" s="1">
        <v>432</v>
      </c>
      <c r="D249" s="13">
        <v>43.5</v>
      </c>
      <c r="E249" s="1" t="s">
        <v>11</v>
      </c>
      <c r="F249" s="2">
        <v>1.43</v>
      </c>
      <c r="G249" s="1" t="s">
        <v>12</v>
      </c>
      <c r="H249" s="1" t="s">
        <v>13</v>
      </c>
      <c r="I249" s="1" t="s">
        <v>14</v>
      </c>
      <c r="J249" s="14">
        <v>0.37115740740740738</v>
      </c>
      <c r="K249" s="15">
        <v>45537</v>
      </c>
      <c r="M249" s="2">
        <v>1.28</v>
      </c>
      <c r="O249" s="2">
        <f t="shared" si="23"/>
        <v>1.2050000000000001</v>
      </c>
      <c r="P249" s="2">
        <f t="shared" si="24"/>
        <v>56.065927099841524</v>
      </c>
      <c r="Q249" s="2">
        <f t="shared" si="25"/>
        <v>0.21725000000000502</v>
      </c>
      <c r="R249" s="2">
        <f t="shared" si="26"/>
        <v>0.28034587955626639</v>
      </c>
      <c r="S249" s="2">
        <f t="shared" si="27"/>
        <v>-6.3095879556261364E-2</v>
      </c>
    </row>
    <row r="250" spans="2:19" x14ac:dyDescent="0.25">
      <c r="B250" s="1">
        <f t="shared" si="28"/>
        <v>244</v>
      </c>
      <c r="C250" s="1">
        <v>433</v>
      </c>
      <c r="D250" s="13">
        <v>43.4</v>
      </c>
      <c r="E250" s="1" t="s">
        <v>11</v>
      </c>
      <c r="F250" s="2">
        <v>1.4350000000000001</v>
      </c>
      <c r="G250" s="1" t="s">
        <v>12</v>
      </c>
      <c r="H250" s="1" t="s">
        <v>13</v>
      </c>
      <c r="I250" s="1" t="s">
        <v>14</v>
      </c>
      <c r="J250" s="14">
        <v>0.37115740740740738</v>
      </c>
      <c r="K250" s="15">
        <v>45537</v>
      </c>
      <c r="M250" s="2">
        <v>1.2850000000000001</v>
      </c>
      <c r="O250" s="2">
        <f t="shared" si="23"/>
        <v>1.2100000000000002</v>
      </c>
      <c r="P250" s="2">
        <f t="shared" si="24"/>
        <v>56.07242472266244</v>
      </c>
      <c r="Q250" s="2">
        <f t="shared" si="25"/>
        <v>0.21724999999999539</v>
      </c>
      <c r="R250" s="2">
        <f t="shared" si="26"/>
        <v>0.28037836767035856</v>
      </c>
      <c r="S250" s="2">
        <f t="shared" si="27"/>
        <v>-6.3128367670363172E-2</v>
      </c>
    </row>
    <row r="251" spans="2:19" x14ac:dyDescent="0.25">
      <c r="B251" s="1">
        <f t="shared" si="28"/>
        <v>245</v>
      </c>
      <c r="C251" s="1">
        <v>435</v>
      </c>
      <c r="D251" s="13">
        <v>43.5</v>
      </c>
      <c r="E251" s="1" t="s">
        <v>11</v>
      </c>
      <c r="F251" s="2">
        <v>1.44</v>
      </c>
      <c r="G251" s="1" t="s">
        <v>12</v>
      </c>
      <c r="H251" s="1" t="s">
        <v>13</v>
      </c>
      <c r="I251" s="1" t="s">
        <v>14</v>
      </c>
      <c r="J251" s="14">
        <v>0.37116898148148147</v>
      </c>
      <c r="K251" s="15">
        <v>45537</v>
      </c>
      <c r="M251" s="2">
        <v>1.29</v>
      </c>
      <c r="O251" s="2">
        <f t="shared" si="23"/>
        <v>1.2150000000000001</v>
      </c>
      <c r="P251" s="2">
        <f t="shared" si="24"/>
        <v>56.078922345483363</v>
      </c>
      <c r="Q251" s="2">
        <f t="shared" si="25"/>
        <v>0.21775000000000502</v>
      </c>
      <c r="R251" s="2">
        <f t="shared" si="26"/>
        <v>0.28041085578447555</v>
      </c>
      <c r="S251" s="2">
        <f t="shared" si="27"/>
        <v>-6.2660855784470532E-2</v>
      </c>
    </row>
    <row r="252" spans="2:19" x14ac:dyDescent="0.25">
      <c r="B252" s="1">
        <f t="shared" si="28"/>
        <v>246</v>
      </c>
      <c r="C252" s="1">
        <v>437</v>
      </c>
      <c r="D252" s="13">
        <v>43.6</v>
      </c>
      <c r="E252" s="1" t="s">
        <v>11</v>
      </c>
      <c r="F252" s="2">
        <v>1.4450000000000001</v>
      </c>
      <c r="G252" s="1" t="s">
        <v>12</v>
      </c>
      <c r="H252" s="1" t="s">
        <v>13</v>
      </c>
      <c r="I252" s="1" t="s">
        <v>14</v>
      </c>
      <c r="J252" s="14">
        <v>0.37116898148148147</v>
      </c>
      <c r="K252" s="15">
        <v>45537</v>
      </c>
      <c r="M252" s="2">
        <v>1.2950000000000002</v>
      </c>
      <c r="O252" s="2">
        <f t="shared" si="23"/>
        <v>1.2200000000000002</v>
      </c>
      <c r="P252" s="2">
        <f t="shared" si="24"/>
        <v>56.085419968304279</v>
      </c>
      <c r="Q252" s="2">
        <f t="shared" si="25"/>
        <v>0.21749999999999536</v>
      </c>
      <c r="R252" s="2">
        <f t="shared" si="26"/>
        <v>0.28044334389856773</v>
      </c>
      <c r="S252" s="2">
        <f t="shared" si="27"/>
        <v>-6.2943343898572368E-2</v>
      </c>
    </row>
    <row r="253" spans="2:19" x14ac:dyDescent="0.25">
      <c r="B253" s="1">
        <f t="shared" si="28"/>
        <v>247</v>
      </c>
      <c r="C253" s="1">
        <v>438</v>
      </c>
      <c r="D253" s="13">
        <v>43.4</v>
      </c>
      <c r="E253" s="1" t="s">
        <v>11</v>
      </c>
      <c r="F253" s="2">
        <v>1.45</v>
      </c>
      <c r="G253" s="1" t="s">
        <v>12</v>
      </c>
      <c r="H253" s="1" t="s">
        <v>13</v>
      </c>
      <c r="I253" s="1" t="s">
        <v>14</v>
      </c>
      <c r="J253" s="14">
        <v>0.37116898148148147</v>
      </c>
      <c r="K253" s="15">
        <v>45537</v>
      </c>
      <c r="M253" s="2">
        <v>1.3</v>
      </c>
      <c r="O253" s="2">
        <f t="shared" si="23"/>
        <v>1.2250000000000001</v>
      </c>
      <c r="P253" s="2">
        <f t="shared" si="24"/>
        <v>56.091917591125195</v>
      </c>
      <c r="Q253" s="2">
        <f t="shared" si="25"/>
        <v>0.21725000000000502</v>
      </c>
      <c r="R253" s="2">
        <f t="shared" si="26"/>
        <v>0.28047583201268472</v>
      </c>
      <c r="S253" s="2">
        <f t="shared" si="27"/>
        <v>-6.32258320126797E-2</v>
      </c>
    </row>
    <row r="254" spans="2:19" x14ac:dyDescent="0.25">
      <c r="B254" s="1">
        <f t="shared" si="28"/>
        <v>248</v>
      </c>
      <c r="C254" s="1">
        <v>439</v>
      </c>
      <c r="D254" s="13">
        <v>43.5</v>
      </c>
      <c r="E254" s="1" t="s">
        <v>11</v>
      </c>
      <c r="F254" s="2">
        <v>1.4550000000000001</v>
      </c>
      <c r="G254" s="1" t="s">
        <v>12</v>
      </c>
      <c r="H254" s="1" t="s">
        <v>13</v>
      </c>
      <c r="I254" s="1" t="s">
        <v>14</v>
      </c>
      <c r="J254" s="14">
        <v>0.37116898148148147</v>
      </c>
      <c r="K254" s="15">
        <v>45537</v>
      </c>
      <c r="M254" s="2">
        <v>1.3050000000000002</v>
      </c>
      <c r="O254" s="2">
        <f t="shared" si="23"/>
        <v>1.2300000000000002</v>
      </c>
      <c r="P254" s="2">
        <f t="shared" si="24"/>
        <v>56.098415213946119</v>
      </c>
      <c r="Q254" s="2">
        <f t="shared" si="25"/>
        <v>0.21724999999999539</v>
      </c>
      <c r="R254" s="2">
        <f t="shared" si="26"/>
        <v>0.2805083201267769</v>
      </c>
      <c r="S254" s="2">
        <f t="shared" si="27"/>
        <v>-6.3258320126781509E-2</v>
      </c>
    </row>
    <row r="255" spans="2:19" x14ac:dyDescent="0.25">
      <c r="B255" s="1">
        <f t="shared" si="28"/>
        <v>249</v>
      </c>
      <c r="C255" s="1">
        <v>440</v>
      </c>
      <c r="D255" s="13">
        <v>43.4</v>
      </c>
      <c r="E255" s="1" t="s">
        <v>11</v>
      </c>
      <c r="F255" s="2">
        <v>1.46</v>
      </c>
      <c r="G255" s="1" t="s">
        <v>12</v>
      </c>
      <c r="H255" s="1" t="s">
        <v>13</v>
      </c>
      <c r="I255" s="1" t="s">
        <v>14</v>
      </c>
      <c r="J255" s="14">
        <v>0.37116898148148147</v>
      </c>
      <c r="K255" s="15">
        <v>45537</v>
      </c>
      <c r="M255" s="2">
        <v>1.31</v>
      </c>
      <c r="O255" s="2">
        <f t="shared" si="23"/>
        <v>1.2350000000000001</v>
      </c>
      <c r="P255" s="2">
        <f t="shared" si="24"/>
        <v>56.104912836767035</v>
      </c>
      <c r="Q255" s="2">
        <f t="shared" si="25"/>
        <v>0.21725000000000502</v>
      </c>
      <c r="R255" s="2">
        <f t="shared" si="26"/>
        <v>0.280540808240894</v>
      </c>
      <c r="S255" s="2">
        <f t="shared" si="27"/>
        <v>-6.3290808240888979E-2</v>
      </c>
    </row>
    <row r="256" spans="2:19" x14ac:dyDescent="0.25">
      <c r="B256" s="1">
        <f t="shared" si="28"/>
        <v>250</v>
      </c>
      <c r="C256" s="1">
        <v>442</v>
      </c>
      <c r="D256" s="13">
        <v>43.5</v>
      </c>
      <c r="E256" s="1" t="s">
        <v>11</v>
      </c>
      <c r="F256" s="2">
        <v>1.4650000000000001</v>
      </c>
      <c r="G256" s="1" t="s">
        <v>12</v>
      </c>
      <c r="H256" s="1" t="s">
        <v>13</v>
      </c>
      <c r="I256" s="1" t="s">
        <v>14</v>
      </c>
      <c r="J256" s="14">
        <v>0.37116898148148147</v>
      </c>
      <c r="K256" s="15">
        <v>45537</v>
      </c>
      <c r="M256" s="2">
        <v>1.3150000000000002</v>
      </c>
      <c r="O256" s="2">
        <f t="shared" si="23"/>
        <v>1.2400000000000002</v>
      </c>
      <c r="P256" s="2">
        <f t="shared" si="24"/>
        <v>56.111410459587958</v>
      </c>
      <c r="Q256" s="2">
        <f t="shared" si="25"/>
        <v>0.21799999999999536</v>
      </c>
      <c r="R256" s="2">
        <f t="shared" si="26"/>
        <v>0.28057329635498612</v>
      </c>
      <c r="S256" s="2">
        <f t="shared" si="27"/>
        <v>-6.2573296354990759E-2</v>
      </c>
    </row>
    <row r="257" spans="2:19" x14ac:dyDescent="0.25">
      <c r="B257" s="1">
        <f t="shared" si="28"/>
        <v>251</v>
      </c>
      <c r="C257" s="1">
        <v>444</v>
      </c>
      <c r="D257" s="13">
        <v>43.7</v>
      </c>
      <c r="E257" s="1" t="s">
        <v>11</v>
      </c>
      <c r="F257" s="2">
        <v>1.47</v>
      </c>
      <c r="G257" s="1" t="s">
        <v>12</v>
      </c>
      <c r="H257" s="1" t="s">
        <v>13</v>
      </c>
      <c r="I257" s="1" t="s">
        <v>14</v>
      </c>
      <c r="J257" s="14">
        <v>0.37118055555555557</v>
      </c>
      <c r="K257" s="15">
        <v>45537</v>
      </c>
      <c r="M257" s="2">
        <v>1.32</v>
      </c>
      <c r="O257" s="2">
        <f t="shared" si="23"/>
        <v>1.2450000000000001</v>
      </c>
      <c r="P257" s="2">
        <f t="shared" si="24"/>
        <v>56.117908082408874</v>
      </c>
      <c r="Q257" s="2">
        <f t="shared" si="25"/>
        <v>0.21875000000000505</v>
      </c>
      <c r="R257" s="2">
        <f t="shared" si="26"/>
        <v>0.28060578446910311</v>
      </c>
      <c r="S257" s="2">
        <f t="shared" si="27"/>
        <v>-6.1855784469098063E-2</v>
      </c>
    </row>
    <row r="258" spans="2:19" x14ac:dyDescent="0.25">
      <c r="B258" s="1">
        <f t="shared" si="28"/>
        <v>252</v>
      </c>
      <c r="C258" s="1">
        <v>447</v>
      </c>
      <c r="D258" s="13">
        <v>43.8</v>
      </c>
      <c r="E258" s="1" t="s">
        <v>11</v>
      </c>
      <c r="F258" s="2">
        <v>1.4750000000000001</v>
      </c>
      <c r="G258" s="1" t="s">
        <v>12</v>
      </c>
      <c r="H258" s="1" t="s">
        <v>13</v>
      </c>
      <c r="I258" s="1" t="s">
        <v>14</v>
      </c>
      <c r="J258" s="14">
        <v>0.37118055555555557</v>
      </c>
      <c r="K258" s="15">
        <v>45537</v>
      </c>
      <c r="M258" s="2">
        <v>1.3250000000000002</v>
      </c>
      <c r="O258" s="2">
        <f t="shared" si="23"/>
        <v>1.2500000000000002</v>
      </c>
      <c r="P258" s="2">
        <f t="shared" si="24"/>
        <v>56.124405705229798</v>
      </c>
      <c r="Q258" s="2">
        <f t="shared" si="25"/>
        <v>0.21949999999999531</v>
      </c>
      <c r="R258" s="2">
        <f t="shared" si="26"/>
        <v>0.28063827258319529</v>
      </c>
      <c r="S258" s="2">
        <f t="shared" si="27"/>
        <v>-6.1138272583199982E-2</v>
      </c>
    </row>
    <row r="259" spans="2:19" x14ac:dyDescent="0.25">
      <c r="B259" s="1">
        <f t="shared" si="28"/>
        <v>253</v>
      </c>
      <c r="C259" s="1">
        <v>450</v>
      </c>
      <c r="D259" s="13">
        <v>44</v>
      </c>
      <c r="E259" s="1" t="s">
        <v>11</v>
      </c>
      <c r="F259" s="2">
        <v>1.48</v>
      </c>
      <c r="G259" s="1" t="s">
        <v>12</v>
      </c>
      <c r="H259" s="1" t="s">
        <v>13</v>
      </c>
      <c r="I259" s="1" t="s">
        <v>14</v>
      </c>
      <c r="J259" s="14">
        <v>0.37118055555555557</v>
      </c>
      <c r="K259" s="15">
        <v>45537</v>
      </c>
      <c r="M259" s="2">
        <v>1.33</v>
      </c>
      <c r="O259" s="2">
        <f t="shared" si="23"/>
        <v>1.2550000000000001</v>
      </c>
      <c r="P259" s="2">
        <f t="shared" si="24"/>
        <v>56.130903328050714</v>
      </c>
      <c r="Q259" s="2">
        <f t="shared" si="25"/>
        <v>0.22000000000000508</v>
      </c>
      <c r="R259" s="2">
        <f t="shared" si="26"/>
        <v>0.28067076069731239</v>
      </c>
      <c r="S259" s="2">
        <f t="shared" si="27"/>
        <v>-6.0670760697307313E-2</v>
      </c>
    </row>
    <row r="260" spans="2:19" x14ac:dyDescent="0.25">
      <c r="B260" s="1">
        <f t="shared" si="28"/>
        <v>254</v>
      </c>
      <c r="C260" s="1">
        <v>451</v>
      </c>
      <c r="D260" s="13">
        <v>44</v>
      </c>
      <c r="E260" s="1" t="s">
        <v>11</v>
      </c>
      <c r="F260" s="2">
        <v>1.4850000000000001</v>
      </c>
      <c r="G260" s="1" t="s">
        <v>12</v>
      </c>
      <c r="H260" s="1" t="s">
        <v>13</v>
      </c>
      <c r="I260" s="1" t="s">
        <v>14</v>
      </c>
      <c r="J260" s="14">
        <v>0.37118055555555557</v>
      </c>
      <c r="K260" s="15">
        <v>45537</v>
      </c>
      <c r="M260" s="2">
        <v>1.3350000000000002</v>
      </c>
      <c r="O260" s="2">
        <f t="shared" si="23"/>
        <v>1.2600000000000002</v>
      </c>
      <c r="P260" s="2">
        <f t="shared" si="24"/>
        <v>56.137400950871637</v>
      </c>
      <c r="Q260" s="2">
        <f t="shared" si="25"/>
        <v>0.21999999999999531</v>
      </c>
      <c r="R260" s="2">
        <f t="shared" si="26"/>
        <v>0.28070324881140452</v>
      </c>
      <c r="S260" s="2">
        <f t="shared" si="27"/>
        <v>-6.0703248811409205E-2</v>
      </c>
    </row>
    <row r="261" spans="2:19" x14ac:dyDescent="0.25">
      <c r="B261" s="1">
        <f t="shared" si="28"/>
        <v>255</v>
      </c>
      <c r="C261" s="1">
        <v>453</v>
      </c>
      <c r="D261" s="13">
        <v>44</v>
      </c>
      <c r="E261" s="1" t="s">
        <v>11</v>
      </c>
      <c r="F261" s="2">
        <v>1.49</v>
      </c>
      <c r="G261" s="1" t="s">
        <v>12</v>
      </c>
      <c r="H261" s="1" t="s">
        <v>13</v>
      </c>
      <c r="I261" s="1" t="s">
        <v>14</v>
      </c>
      <c r="J261" s="14">
        <v>0.37118055555555557</v>
      </c>
      <c r="K261" s="15">
        <v>45537</v>
      </c>
      <c r="M261" s="2">
        <v>1.34</v>
      </c>
      <c r="O261" s="2">
        <f t="shared" si="23"/>
        <v>1.2650000000000001</v>
      </c>
      <c r="P261" s="2">
        <f t="shared" si="24"/>
        <v>56.143898573692553</v>
      </c>
      <c r="Q261" s="2">
        <f t="shared" si="25"/>
        <v>0.22000000000000508</v>
      </c>
      <c r="R261" s="2">
        <f t="shared" si="26"/>
        <v>0.28073573692552156</v>
      </c>
      <c r="S261" s="2">
        <f t="shared" si="27"/>
        <v>-6.0735736925516481E-2</v>
      </c>
    </row>
    <row r="262" spans="2:19" x14ac:dyDescent="0.25">
      <c r="B262" s="1">
        <f t="shared" si="28"/>
        <v>256</v>
      </c>
      <c r="C262" s="1">
        <v>454</v>
      </c>
      <c r="D262" s="13">
        <v>44</v>
      </c>
      <c r="E262" s="1" t="s">
        <v>11</v>
      </c>
      <c r="F262" s="2">
        <v>1.4950000000000001</v>
      </c>
      <c r="G262" s="1" t="s">
        <v>12</v>
      </c>
      <c r="H262" s="1" t="s">
        <v>13</v>
      </c>
      <c r="I262" s="1" t="s">
        <v>14</v>
      </c>
      <c r="J262" s="14">
        <v>0.37119212962962961</v>
      </c>
      <c r="K262" s="15">
        <v>45537</v>
      </c>
      <c r="M262" s="2">
        <v>1.3450000000000002</v>
      </c>
      <c r="O262" s="2">
        <f t="shared" si="23"/>
        <v>1.2700000000000002</v>
      </c>
      <c r="P262" s="2">
        <f t="shared" si="24"/>
        <v>56.150396196513469</v>
      </c>
      <c r="Q262" s="2">
        <f t="shared" si="25"/>
        <v>0.22049999999999531</v>
      </c>
      <c r="R262" s="2">
        <f t="shared" si="26"/>
        <v>0.28076822503961363</v>
      </c>
      <c r="S262" s="2">
        <f t="shared" si="27"/>
        <v>-6.0268225039618317E-2</v>
      </c>
    </row>
    <row r="263" spans="2:19" x14ac:dyDescent="0.25">
      <c r="B263" s="1">
        <f t="shared" si="28"/>
        <v>257</v>
      </c>
      <c r="C263" s="1">
        <v>455</v>
      </c>
      <c r="D263" s="13">
        <v>44.2</v>
      </c>
      <c r="E263" s="1" t="s">
        <v>11</v>
      </c>
      <c r="F263" s="2">
        <v>1.5</v>
      </c>
      <c r="G263" s="1" t="s">
        <v>12</v>
      </c>
      <c r="H263" s="1" t="s">
        <v>13</v>
      </c>
      <c r="I263" s="1" t="s">
        <v>14</v>
      </c>
      <c r="J263" s="14">
        <v>0.37119212962962961</v>
      </c>
      <c r="K263" s="15">
        <v>45537</v>
      </c>
      <c r="M263" s="2">
        <v>1.35</v>
      </c>
      <c r="O263" s="2">
        <f t="shared" si="23"/>
        <v>1.2750000000000001</v>
      </c>
      <c r="P263" s="2">
        <f t="shared" si="24"/>
        <v>56.156893819334393</v>
      </c>
      <c r="Q263" s="2">
        <f t="shared" si="25"/>
        <v>0.44100000000000039</v>
      </c>
      <c r="R263" s="2">
        <f t="shared" si="26"/>
        <v>0.56163391442155364</v>
      </c>
      <c r="S263" s="2">
        <f t="shared" si="27"/>
        <v>-0.12063391442155325</v>
      </c>
    </row>
    <row r="264" spans="2:19" x14ac:dyDescent="0.25">
      <c r="B264" s="1">
        <f t="shared" si="28"/>
        <v>258</v>
      </c>
      <c r="C264" s="1">
        <v>456</v>
      </c>
      <c r="D264" s="13">
        <v>44</v>
      </c>
      <c r="E264" s="1" t="s">
        <v>11</v>
      </c>
      <c r="F264" s="2">
        <v>1.51</v>
      </c>
      <c r="G264" s="1" t="s">
        <v>12</v>
      </c>
      <c r="H264" s="1" t="s">
        <v>13</v>
      </c>
      <c r="I264" s="1" t="s">
        <v>14</v>
      </c>
      <c r="J264" s="14">
        <v>0.37119212962962961</v>
      </c>
      <c r="K264" s="15">
        <v>45537</v>
      </c>
      <c r="M264" s="2">
        <v>1.36</v>
      </c>
      <c r="O264" s="2">
        <f t="shared" ref="O264:O327" si="29">M264-$X$23</f>
        <v>1.2850000000000001</v>
      </c>
      <c r="P264" s="2">
        <f t="shared" ref="P264:P327" si="30">O264*$AC$21+$Y$23</f>
        <v>56.169889064976232</v>
      </c>
      <c r="Q264" s="2">
        <f t="shared" ref="Q264:Q327" si="31">((D264+D265)/2)*(M265-M264)</f>
        <v>0.22024999999999528</v>
      </c>
      <c r="R264" s="2">
        <f t="shared" ref="R264:R327" si="32">((P264+P265)/2)*(O265-O264)</f>
        <v>0.28086568938192746</v>
      </c>
      <c r="S264" s="2">
        <f t="shared" ref="S264:S327" si="33">Q264-R264</f>
        <v>-6.0615689381932181E-2</v>
      </c>
    </row>
    <row r="265" spans="2:19" x14ac:dyDescent="0.25">
      <c r="B265" s="1">
        <f t="shared" ref="B265:B328" si="34">B264+1</f>
        <v>259</v>
      </c>
      <c r="C265" s="1">
        <v>457</v>
      </c>
      <c r="D265" s="13">
        <v>44.1</v>
      </c>
      <c r="E265" s="1" t="s">
        <v>11</v>
      </c>
      <c r="F265" s="2">
        <v>1.5149999999999999</v>
      </c>
      <c r="G265" s="1" t="s">
        <v>12</v>
      </c>
      <c r="H265" s="1" t="s">
        <v>13</v>
      </c>
      <c r="I265" s="1" t="s">
        <v>14</v>
      </c>
      <c r="J265" s="14">
        <v>0.37119212962962961</v>
      </c>
      <c r="K265" s="15">
        <v>45537</v>
      </c>
      <c r="M265" s="2">
        <v>1.365</v>
      </c>
      <c r="O265" s="2">
        <f t="shared" si="29"/>
        <v>1.29</v>
      </c>
      <c r="P265" s="2">
        <f t="shared" si="30"/>
        <v>56.176386687797148</v>
      </c>
      <c r="Q265" s="2">
        <f t="shared" si="31"/>
        <v>0.22050000000000511</v>
      </c>
      <c r="R265" s="2">
        <f t="shared" si="32"/>
        <v>0.28089817749604451</v>
      </c>
      <c r="S265" s="2">
        <f t="shared" si="33"/>
        <v>-6.0398177496039401E-2</v>
      </c>
    </row>
    <row r="266" spans="2:19" x14ac:dyDescent="0.25">
      <c r="B266" s="1">
        <f t="shared" si="34"/>
        <v>260</v>
      </c>
      <c r="C266" s="1">
        <v>458</v>
      </c>
      <c r="D266" s="13">
        <v>44.1</v>
      </c>
      <c r="E266" s="1" t="s">
        <v>11</v>
      </c>
      <c r="F266" s="2">
        <v>1.52</v>
      </c>
      <c r="G266" s="1" t="s">
        <v>12</v>
      </c>
      <c r="H266" s="1" t="s">
        <v>13</v>
      </c>
      <c r="I266" s="1" t="s">
        <v>14</v>
      </c>
      <c r="J266" s="14">
        <v>0.37119212962962961</v>
      </c>
      <c r="K266" s="15">
        <v>45537</v>
      </c>
      <c r="M266" s="2">
        <v>1.37</v>
      </c>
      <c r="O266" s="2">
        <f t="shared" si="29"/>
        <v>1.2950000000000002</v>
      </c>
      <c r="P266" s="2">
        <f t="shared" si="30"/>
        <v>56.182884310618064</v>
      </c>
      <c r="Q266" s="2">
        <f t="shared" si="31"/>
        <v>0.44100000000000039</v>
      </c>
      <c r="R266" s="2">
        <f t="shared" si="32"/>
        <v>0.56189381933439031</v>
      </c>
      <c r="S266" s="2">
        <f t="shared" si="33"/>
        <v>-0.12089381933438992</v>
      </c>
    </row>
    <row r="267" spans="2:19" x14ac:dyDescent="0.25">
      <c r="B267" s="1">
        <f t="shared" si="34"/>
        <v>261</v>
      </c>
      <c r="C267" s="1">
        <v>459</v>
      </c>
      <c r="D267" s="13">
        <v>44.1</v>
      </c>
      <c r="E267" s="1" t="s">
        <v>11</v>
      </c>
      <c r="F267" s="2">
        <v>1.53</v>
      </c>
      <c r="G267" s="1" t="s">
        <v>12</v>
      </c>
      <c r="H267" s="1" t="s">
        <v>13</v>
      </c>
      <c r="I267" s="1" t="s">
        <v>14</v>
      </c>
      <c r="J267" s="14">
        <v>0.37119212962962961</v>
      </c>
      <c r="K267" s="15">
        <v>45537</v>
      </c>
      <c r="M267" s="2">
        <v>1.3800000000000001</v>
      </c>
      <c r="O267" s="2">
        <f t="shared" si="29"/>
        <v>1.3050000000000002</v>
      </c>
      <c r="P267" s="2">
        <f t="shared" si="30"/>
        <v>56.195879556259904</v>
      </c>
      <c r="Q267" s="2">
        <f t="shared" si="31"/>
        <v>0.22074999999999531</v>
      </c>
      <c r="R267" s="2">
        <f t="shared" si="32"/>
        <v>0.28099564183834586</v>
      </c>
      <c r="S267" s="2">
        <f t="shared" si="33"/>
        <v>-6.0245641838350544E-2</v>
      </c>
    </row>
    <row r="268" spans="2:19" x14ac:dyDescent="0.25">
      <c r="B268" s="1">
        <f t="shared" si="34"/>
        <v>262</v>
      </c>
      <c r="C268" s="1">
        <v>460</v>
      </c>
      <c r="D268" s="13">
        <v>44.2</v>
      </c>
      <c r="E268" s="1" t="s">
        <v>11</v>
      </c>
      <c r="F268" s="2">
        <v>1.5349999999999999</v>
      </c>
      <c r="G268" s="1" t="s">
        <v>12</v>
      </c>
      <c r="H268" s="1" t="s">
        <v>13</v>
      </c>
      <c r="I268" s="1" t="s">
        <v>14</v>
      </c>
      <c r="J268" s="14">
        <v>0.37119212962962961</v>
      </c>
      <c r="K268" s="15">
        <v>45537</v>
      </c>
      <c r="M268" s="2">
        <v>1.385</v>
      </c>
      <c r="O268" s="2">
        <f t="shared" si="29"/>
        <v>1.31</v>
      </c>
      <c r="P268" s="2">
        <f t="shared" si="30"/>
        <v>56.202377179080827</v>
      </c>
      <c r="Q268" s="2">
        <f t="shared" si="31"/>
        <v>0.22075000000000514</v>
      </c>
      <c r="R268" s="2">
        <f t="shared" si="32"/>
        <v>0.2810281299524629</v>
      </c>
      <c r="S268" s="2">
        <f t="shared" si="33"/>
        <v>-6.0278129952457765E-2</v>
      </c>
    </row>
    <row r="269" spans="2:19" x14ac:dyDescent="0.25">
      <c r="B269" s="1">
        <f t="shared" si="34"/>
        <v>263</v>
      </c>
      <c r="C269" s="1">
        <v>461</v>
      </c>
      <c r="D269" s="13">
        <v>44.1</v>
      </c>
      <c r="E269" s="1" t="s">
        <v>11</v>
      </c>
      <c r="F269" s="2">
        <v>1.54</v>
      </c>
      <c r="G269" s="1" t="s">
        <v>12</v>
      </c>
      <c r="H269" s="1" t="s">
        <v>13</v>
      </c>
      <c r="I269" s="1" t="s">
        <v>14</v>
      </c>
      <c r="J269" s="14">
        <v>0.37119212962962961</v>
      </c>
      <c r="K269" s="15">
        <v>45537</v>
      </c>
      <c r="M269" s="2">
        <v>1.3900000000000001</v>
      </c>
      <c r="O269" s="2">
        <f t="shared" si="29"/>
        <v>1.3150000000000002</v>
      </c>
      <c r="P269" s="2">
        <f t="shared" si="30"/>
        <v>56.208874801901743</v>
      </c>
      <c r="Q269" s="2">
        <f t="shared" si="31"/>
        <v>0.22049999999999531</v>
      </c>
      <c r="R269" s="2">
        <f t="shared" si="32"/>
        <v>0.28106061806655502</v>
      </c>
      <c r="S269" s="2">
        <f t="shared" si="33"/>
        <v>-6.0560618066559713E-2</v>
      </c>
    </row>
    <row r="270" spans="2:19" x14ac:dyDescent="0.25">
      <c r="B270" s="1">
        <f t="shared" si="34"/>
        <v>264</v>
      </c>
      <c r="C270" s="1">
        <v>462</v>
      </c>
      <c r="D270" s="13">
        <v>44.1</v>
      </c>
      <c r="E270" s="1" t="s">
        <v>11</v>
      </c>
      <c r="F270" s="2">
        <v>1.5449999999999999</v>
      </c>
      <c r="G270" s="1" t="s">
        <v>12</v>
      </c>
      <c r="H270" s="1" t="s">
        <v>13</v>
      </c>
      <c r="I270" s="1" t="s">
        <v>14</v>
      </c>
      <c r="J270" s="14">
        <v>0.37119212962962961</v>
      </c>
      <c r="K270" s="15">
        <v>45537</v>
      </c>
      <c r="M270" s="2">
        <v>1.395</v>
      </c>
      <c r="O270" s="2">
        <f t="shared" si="29"/>
        <v>1.32</v>
      </c>
      <c r="P270" s="2">
        <f t="shared" si="30"/>
        <v>56.215372424722666</v>
      </c>
      <c r="Q270" s="2">
        <f t="shared" si="31"/>
        <v>0.22075000000000514</v>
      </c>
      <c r="R270" s="2">
        <f t="shared" si="32"/>
        <v>0.28109310618067213</v>
      </c>
      <c r="S270" s="2">
        <f t="shared" si="33"/>
        <v>-6.0343106180666989E-2</v>
      </c>
    </row>
    <row r="271" spans="2:19" x14ac:dyDescent="0.25">
      <c r="B271" s="1">
        <f t="shared" si="34"/>
        <v>265</v>
      </c>
      <c r="C271" s="1">
        <v>464</v>
      </c>
      <c r="D271" s="13">
        <v>44.2</v>
      </c>
      <c r="E271" s="1" t="s">
        <v>11</v>
      </c>
      <c r="F271" s="2">
        <v>1.55</v>
      </c>
      <c r="G271" s="1" t="s">
        <v>12</v>
      </c>
      <c r="H271" s="1" t="s">
        <v>13</v>
      </c>
      <c r="I271" s="1" t="s">
        <v>14</v>
      </c>
      <c r="J271" s="14">
        <v>0.3712037037037037</v>
      </c>
      <c r="K271" s="15">
        <v>45537</v>
      </c>
      <c r="M271" s="2">
        <v>1.4000000000000001</v>
      </c>
      <c r="O271" s="2">
        <f t="shared" si="29"/>
        <v>1.3250000000000002</v>
      </c>
      <c r="P271" s="2">
        <f t="shared" si="30"/>
        <v>56.221870047543582</v>
      </c>
      <c r="Q271" s="2">
        <f t="shared" si="31"/>
        <v>0.22174999999999528</v>
      </c>
      <c r="R271" s="2">
        <f t="shared" si="32"/>
        <v>0.28112559429476419</v>
      </c>
      <c r="S271" s="2">
        <f t="shared" si="33"/>
        <v>-5.9375594294768907E-2</v>
      </c>
    </row>
    <row r="272" spans="2:19" x14ac:dyDescent="0.25">
      <c r="B272" s="1">
        <f t="shared" si="34"/>
        <v>266</v>
      </c>
      <c r="C272" s="1">
        <v>466</v>
      </c>
      <c r="D272" s="13">
        <v>44.5</v>
      </c>
      <c r="E272" s="1" t="s">
        <v>11</v>
      </c>
      <c r="F272" s="2">
        <v>1.5549999999999999</v>
      </c>
      <c r="G272" s="1" t="s">
        <v>12</v>
      </c>
      <c r="H272" s="1" t="s">
        <v>13</v>
      </c>
      <c r="I272" s="1" t="s">
        <v>14</v>
      </c>
      <c r="J272" s="14">
        <v>0.3712037037037037</v>
      </c>
      <c r="K272" s="15">
        <v>45537</v>
      </c>
      <c r="M272" s="2">
        <v>1.405</v>
      </c>
      <c r="O272" s="2">
        <f t="shared" si="29"/>
        <v>1.33</v>
      </c>
      <c r="P272" s="2">
        <f t="shared" si="30"/>
        <v>56.228367670364499</v>
      </c>
      <c r="Q272" s="2">
        <f t="shared" si="31"/>
        <v>0.22325000000000514</v>
      </c>
      <c r="R272" s="2">
        <f t="shared" si="32"/>
        <v>0.28115808240888129</v>
      </c>
      <c r="S272" s="2">
        <f t="shared" si="33"/>
        <v>-5.7908082408876155E-2</v>
      </c>
    </row>
    <row r="273" spans="2:19" x14ac:dyDescent="0.25">
      <c r="B273" s="1">
        <f t="shared" si="34"/>
        <v>267</v>
      </c>
      <c r="C273" s="1">
        <v>468</v>
      </c>
      <c r="D273" s="13">
        <v>44.8</v>
      </c>
      <c r="E273" s="1" t="s">
        <v>11</v>
      </c>
      <c r="F273" s="2">
        <v>1.56</v>
      </c>
      <c r="G273" s="1" t="s">
        <v>12</v>
      </c>
      <c r="H273" s="1" t="s">
        <v>13</v>
      </c>
      <c r="I273" s="1" t="s">
        <v>14</v>
      </c>
      <c r="J273" s="14">
        <v>0.3712037037037037</v>
      </c>
      <c r="K273" s="15">
        <v>45537</v>
      </c>
      <c r="M273" s="2">
        <v>1.4100000000000001</v>
      </c>
      <c r="O273" s="2">
        <f t="shared" si="29"/>
        <v>1.3350000000000002</v>
      </c>
      <c r="P273" s="2">
        <f t="shared" si="30"/>
        <v>56.234865293185422</v>
      </c>
      <c r="Q273" s="2">
        <f t="shared" si="31"/>
        <v>0.22324999999999523</v>
      </c>
      <c r="R273" s="2">
        <f t="shared" si="32"/>
        <v>0.28119057052297342</v>
      </c>
      <c r="S273" s="2">
        <f t="shared" si="33"/>
        <v>-5.7940570522978185E-2</v>
      </c>
    </row>
    <row r="274" spans="2:19" x14ac:dyDescent="0.25">
      <c r="B274" s="1">
        <f t="shared" si="34"/>
        <v>268</v>
      </c>
      <c r="C274" s="1">
        <v>469</v>
      </c>
      <c r="D274" s="13">
        <v>44.5</v>
      </c>
      <c r="E274" s="1" t="s">
        <v>11</v>
      </c>
      <c r="F274" s="2">
        <v>1.5649999999999999</v>
      </c>
      <c r="G274" s="1" t="s">
        <v>12</v>
      </c>
      <c r="H274" s="1" t="s">
        <v>13</v>
      </c>
      <c r="I274" s="1" t="s">
        <v>14</v>
      </c>
      <c r="J274" s="14">
        <v>0.3712037037037037</v>
      </c>
      <c r="K274" s="15">
        <v>45537</v>
      </c>
      <c r="M274" s="2">
        <v>1.415</v>
      </c>
      <c r="O274" s="2">
        <f t="shared" si="29"/>
        <v>1.34</v>
      </c>
      <c r="P274" s="2">
        <f t="shared" si="30"/>
        <v>56.241362916006338</v>
      </c>
      <c r="Q274" s="2">
        <f t="shared" si="31"/>
        <v>0.22250000000000514</v>
      </c>
      <c r="R274" s="2">
        <f t="shared" si="32"/>
        <v>0.28122305863709046</v>
      </c>
      <c r="S274" s="2">
        <f t="shared" si="33"/>
        <v>-5.8723058637085324E-2</v>
      </c>
    </row>
    <row r="275" spans="2:19" x14ac:dyDescent="0.25">
      <c r="B275" s="1">
        <f t="shared" si="34"/>
        <v>269</v>
      </c>
      <c r="C275" s="1">
        <v>470</v>
      </c>
      <c r="D275" s="13">
        <v>44.5</v>
      </c>
      <c r="E275" s="1" t="s">
        <v>11</v>
      </c>
      <c r="F275" s="2">
        <v>1.57</v>
      </c>
      <c r="G275" s="1" t="s">
        <v>12</v>
      </c>
      <c r="H275" s="1" t="s">
        <v>13</v>
      </c>
      <c r="I275" s="1" t="s">
        <v>14</v>
      </c>
      <c r="J275" s="14">
        <v>0.3712037037037037</v>
      </c>
      <c r="K275" s="15">
        <v>45537</v>
      </c>
      <c r="M275" s="2">
        <v>1.4200000000000002</v>
      </c>
      <c r="O275" s="2">
        <f t="shared" si="29"/>
        <v>1.3450000000000002</v>
      </c>
      <c r="P275" s="2">
        <f t="shared" si="30"/>
        <v>56.247860538827261</v>
      </c>
      <c r="Q275" s="2">
        <f t="shared" si="31"/>
        <v>0.22274999999999523</v>
      </c>
      <c r="R275" s="2">
        <f t="shared" si="32"/>
        <v>0.28125554675118258</v>
      </c>
      <c r="S275" s="2">
        <f t="shared" si="33"/>
        <v>-5.8505546751187354E-2</v>
      </c>
    </row>
    <row r="276" spans="2:19" x14ac:dyDescent="0.25">
      <c r="B276" s="1">
        <f t="shared" si="34"/>
        <v>270</v>
      </c>
      <c r="C276" s="1">
        <v>471</v>
      </c>
      <c r="D276" s="13">
        <v>44.6</v>
      </c>
      <c r="E276" s="1" t="s">
        <v>11</v>
      </c>
      <c r="F276" s="2">
        <v>1.575</v>
      </c>
      <c r="G276" s="1" t="s">
        <v>12</v>
      </c>
      <c r="H276" s="1" t="s">
        <v>13</v>
      </c>
      <c r="I276" s="1" t="s">
        <v>14</v>
      </c>
      <c r="J276" s="14">
        <v>0.3712037037037037</v>
      </c>
      <c r="K276" s="15">
        <v>45537</v>
      </c>
      <c r="M276" s="2">
        <v>1.425</v>
      </c>
      <c r="O276" s="2">
        <f t="shared" si="29"/>
        <v>1.35</v>
      </c>
      <c r="P276" s="2">
        <f t="shared" si="30"/>
        <v>56.254358161648177</v>
      </c>
      <c r="Q276" s="2">
        <f t="shared" si="31"/>
        <v>0.44700000000000045</v>
      </c>
      <c r="R276" s="2">
        <f t="shared" si="32"/>
        <v>0.56260855784469155</v>
      </c>
      <c r="S276" s="2">
        <f t="shared" si="33"/>
        <v>-0.1156085578446911</v>
      </c>
    </row>
    <row r="277" spans="2:19" x14ac:dyDescent="0.25">
      <c r="B277" s="1">
        <f t="shared" si="34"/>
        <v>271</v>
      </c>
      <c r="C277" s="1">
        <v>472</v>
      </c>
      <c r="D277" s="13">
        <v>44.8</v>
      </c>
      <c r="E277" s="1" t="s">
        <v>11</v>
      </c>
      <c r="F277" s="2">
        <v>1.585</v>
      </c>
      <c r="G277" s="1" t="s">
        <v>12</v>
      </c>
      <c r="H277" s="1" t="s">
        <v>13</v>
      </c>
      <c r="I277" s="1" t="s">
        <v>14</v>
      </c>
      <c r="J277" s="14">
        <v>0.3712037037037037</v>
      </c>
      <c r="K277" s="15">
        <v>45537</v>
      </c>
      <c r="M277" s="2">
        <v>1.4350000000000001</v>
      </c>
      <c r="O277" s="2">
        <f t="shared" si="29"/>
        <v>1.36</v>
      </c>
      <c r="P277" s="2">
        <f t="shared" si="30"/>
        <v>56.267353407290017</v>
      </c>
      <c r="Q277" s="2">
        <f t="shared" si="31"/>
        <v>0.22375000000000517</v>
      </c>
      <c r="R277" s="2">
        <f t="shared" si="32"/>
        <v>0.28135301109350885</v>
      </c>
      <c r="S277" s="2">
        <f t="shared" si="33"/>
        <v>-5.7603011093503687E-2</v>
      </c>
    </row>
    <row r="278" spans="2:19" x14ac:dyDescent="0.25">
      <c r="B278" s="1">
        <f t="shared" si="34"/>
        <v>272</v>
      </c>
      <c r="C278" s="1">
        <v>473</v>
      </c>
      <c r="D278" s="13">
        <v>44.7</v>
      </c>
      <c r="E278" s="1" t="s">
        <v>11</v>
      </c>
      <c r="F278" s="2">
        <v>1.59</v>
      </c>
      <c r="G278" s="1" t="s">
        <v>12</v>
      </c>
      <c r="H278" s="1" t="s">
        <v>13</v>
      </c>
      <c r="I278" s="1" t="s">
        <v>14</v>
      </c>
      <c r="J278" s="14">
        <v>0.3712037037037037</v>
      </c>
      <c r="K278" s="15">
        <v>45537</v>
      </c>
      <c r="M278" s="2">
        <v>1.4400000000000002</v>
      </c>
      <c r="O278" s="2">
        <f t="shared" si="29"/>
        <v>1.3650000000000002</v>
      </c>
      <c r="P278" s="2">
        <f t="shared" si="30"/>
        <v>56.273851030110933</v>
      </c>
      <c r="Q278" s="2">
        <f t="shared" si="31"/>
        <v>0.2239999999999952</v>
      </c>
      <c r="R278" s="2">
        <f t="shared" si="32"/>
        <v>0.28138549920760098</v>
      </c>
      <c r="S278" s="2">
        <f t="shared" si="33"/>
        <v>-5.7385499207605772E-2</v>
      </c>
    </row>
    <row r="279" spans="2:19" x14ac:dyDescent="0.25">
      <c r="B279" s="1">
        <f t="shared" si="34"/>
        <v>273</v>
      </c>
      <c r="C279" s="1">
        <v>474</v>
      </c>
      <c r="D279" s="13">
        <v>44.9</v>
      </c>
      <c r="E279" s="1" t="s">
        <v>11</v>
      </c>
      <c r="F279" s="2">
        <v>1.595</v>
      </c>
      <c r="G279" s="1" t="s">
        <v>12</v>
      </c>
      <c r="H279" s="1" t="s">
        <v>13</v>
      </c>
      <c r="I279" s="1" t="s">
        <v>14</v>
      </c>
      <c r="J279" s="14">
        <v>0.3712152777777778</v>
      </c>
      <c r="K279" s="15">
        <v>45537</v>
      </c>
      <c r="M279" s="2">
        <v>1.4450000000000001</v>
      </c>
      <c r="O279" s="2">
        <f t="shared" si="29"/>
        <v>1.37</v>
      </c>
      <c r="P279" s="2">
        <f t="shared" si="30"/>
        <v>56.280348652931856</v>
      </c>
      <c r="Q279" s="2">
        <f t="shared" si="31"/>
        <v>0.22450000000000517</v>
      </c>
      <c r="R279" s="2">
        <f t="shared" si="32"/>
        <v>0.28141798732171808</v>
      </c>
      <c r="S279" s="2">
        <f t="shared" si="33"/>
        <v>-5.691798732171291E-2</v>
      </c>
    </row>
    <row r="280" spans="2:19" x14ac:dyDescent="0.25">
      <c r="B280" s="1">
        <f t="shared" si="34"/>
        <v>274</v>
      </c>
      <c r="C280" s="1">
        <v>475</v>
      </c>
      <c r="D280" s="13">
        <v>44.9</v>
      </c>
      <c r="E280" s="1" t="s">
        <v>11</v>
      </c>
      <c r="F280" s="2">
        <v>1.6</v>
      </c>
      <c r="G280" s="1" t="s">
        <v>12</v>
      </c>
      <c r="H280" s="1" t="s">
        <v>13</v>
      </c>
      <c r="I280" s="1" t="s">
        <v>14</v>
      </c>
      <c r="J280" s="14">
        <v>0.3712152777777778</v>
      </c>
      <c r="K280" s="15">
        <v>45537</v>
      </c>
      <c r="M280" s="2">
        <v>1.4500000000000002</v>
      </c>
      <c r="O280" s="2">
        <f t="shared" si="29"/>
        <v>1.3750000000000002</v>
      </c>
      <c r="P280" s="2">
        <f t="shared" si="30"/>
        <v>56.286846275752772</v>
      </c>
      <c r="Q280" s="2">
        <f t="shared" si="31"/>
        <v>0.22474999999999523</v>
      </c>
      <c r="R280" s="2">
        <f t="shared" si="32"/>
        <v>0.2814504754358102</v>
      </c>
      <c r="S280" s="2">
        <f t="shared" si="33"/>
        <v>-5.6700475435814968E-2</v>
      </c>
    </row>
    <row r="281" spans="2:19" x14ac:dyDescent="0.25">
      <c r="B281" s="1">
        <f t="shared" si="34"/>
        <v>275</v>
      </c>
      <c r="C281" s="1">
        <v>476</v>
      </c>
      <c r="D281" s="13">
        <v>45</v>
      </c>
      <c r="E281" s="1" t="s">
        <v>11</v>
      </c>
      <c r="F281" s="2">
        <v>1.605</v>
      </c>
      <c r="G281" s="1" t="s">
        <v>12</v>
      </c>
      <c r="H281" s="1" t="s">
        <v>13</v>
      </c>
      <c r="I281" s="1" t="s">
        <v>14</v>
      </c>
      <c r="J281" s="14">
        <v>0.3712152777777778</v>
      </c>
      <c r="K281" s="15">
        <v>45537</v>
      </c>
      <c r="M281" s="2">
        <v>1.4550000000000001</v>
      </c>
      <c r="O281" s="2">
        <f t="shared" si="29"/>
        <v>1.3800000000000001</v>
      </c>
      <c r="P281" s="2">
        <f t="shared" si="30"/>
        <v>56.293343898573696</v>
      </c>
      <c r="Q281" s="2">
        <f t="shared" si="31"/>
        <v>0.2252500000000052</v>
      </c>
      <c r="R281" s="2">
        <f t="shared" si="32"/>
        <v>0.28148296354992725</v>
      </c>
      <c r="S281" s="2">
        <f t="shared" si="33"/>
        <v>-5.6232963549922049E-2</v>
      </c>
    </row>
    <row r="282" spans="2:19" x14ac:dyDescent="0.25">
      <c r="B282" s="1">
        <f t="shared" si="34"/>
        <v>276</v>
      </c>
      <c r="C282" s="1">
        <v>477</v>
      </c>
      <c r="D282" s="13">
        <v>45.1</v>
      </c>
      <c r="E282" s="1" t="s">
        <v>11</v>
      </c>
      <c r="F282" s="2">
        <v>1.61</v>
      </c>
      <c r="G282" s="1" t="s">
        <v>12</v>
      </c>
      <c r="H282" s="1" t="s">
        <v>13</v>
      </c>
      <c r="I282" s="1" t="s">
        <v>14</v>
      </c>
      <c r="J282" s="14">
        <v>0.3712152777777778</v>
      </c>
      <c r="K282" s="15">
        <v>45537</v>
      </c>
      <c r="M282" s="2">
        <v>1.4600000000000002</v>
      </c>
      <c r="O282" s="2">
        <f t="shared" si="29"/>
        <v>1.3850000000000002</v>
      </c>
      <c r="P282" s="2">
        <f t="shared" si="30"/>
        <v>56.299841521394612</v>
      </c>
      <c r="Q282" s="2">
        <f t="shared" si="31"/>
        <v>0.2254999999999952</v>
      </c>
      <c r="R282" s="2">
        <f t="shared" si="32"/>
        <v>0.28151545166401937</v>
      </c>
      <c r="S282" s="2">
        <f t="shared" si="33"/>
        <v>-5.6015451664024163E-2</v>
      </c>
    </row>
    <row r="283" spans="2:19" x14ac:dyDescent="0.25">
      <c r="B283" s="1">
        <f t="shared" si="34"/>
        <v>277</v>
      </c>
      <c r="C283" s="1">
        <v>479</v>
      </c>
      <c r="D283" s="13">
        <v>45.1</v>
      </c>
      <c r="E283" s="1" t="s">
        <v>11</v>
      </c>
      <c r="F283" s="2">
        <v>1.615</v>
      </c>
      <c r="G283" s="1" t="s">
        <v>12</v>
      </c>
      <c r="H283" s="1" t="s">
        <v>13</v>
      </c>
      <c r="I283" s="1" t="s">
        <v>14</v>
      </c>
      <c r="J283" s="14">
        <v>0.3712152777777778</v>
      </c>
      <c r="K283" s="15">
        <v>45537</v>
      </c>
      <c r="M283" s="2">
        <v>1.4650000000000001</v>
      </c>
      <c r="O283" s="2">
        <f t="shared" si="29"/>
        <v>1.3900000000000001</v>
      </c>
      <c r="P283" s="2">
        <f t="shared" si="30"/>
        <v>56.306339144215535</v>
      </c>
      <c r="Q283" s="2">
        <f t="shared" si="31"/>
        <v>0.22550000000000522</v>
      </c>
      <c r="R283" s="2">
        <f t="shared" si="32"/>
        <v>0.28154793977813647</v>
      </c>
      <c r="S283" s="2">
        <f t="shared" si="33"/>
        <v>-5.6047939778131245E-2</v>
      </c>
    </row>
    <row r="284" spans="2:19" x14ac:dyDescent="0.25">
      <c r="B284" s="1">
        <f t="shared" si="34"/>
        <v>278</v>
      </c>
      <c r="C284" s="1">
        <v>480</v>
      </c>
      <c r="D284" s="13">
        <v>45.1</v>
      </c>
      <c r="E284" s="1" t="s">
        <v>11</v>
      </c>
      <c r="F284" s="2">
        <v>1.62</v>
      </c>
      <c r="G284" s="1" t="s">
        <v>12</v>
      </c>
      <c r="H284" s="1" t="s">
        <v>13</v>
      </c>
      <c r="I284" s="1" t="s">
        <v>14</v>
      </c>
      <c r="J284" s="14">
        <v>0.3712152777777778</v>
      </c>
      <c r="K284" s="15">
        <v>45537</v>
      </c>
      <c r="M284" s="2">
        <v>1.4700000000000002</v>
      </c>
      <c r="O284" s="2">
        <f t="shared" si="29"/>
        <v>1.3950000000000002</v>
      </c>
      <c r="P284" s="2">
        <f t="shared" si="30"/>
        <v>56.312836767036451</v>
      </c>
      <c r="Q284" s="2">
        <f t="shared" si="31"/>
        <v>0.2259999999999952</v>
      </c>
      <c r="R284" s="2">
        <f t="shared" si="32"/>
        <v>0.28158042789222854</v>
      </c>
      <c r="S284" s="2">
        <f t="shared" si="33"/>
        <v>-5.5580427892233331E-2</v>
      </c>
    </row>
    <row r="285" spans="2:19" x14ac:dyDescent="0.25">
      <c r="B285" s="1">
        <f t="shared" si="34"/>
        <v>279</v>
      </c>
      <c r="C285" s="1">
        <v>482</v>
      </c>
      <c r="D285" s="13">
        <v>45.3</v>
      </c>
      <c r="E285" s="1" t="s">
        <v>11</v>
      </c>
      <c r="F285" s="2">
        <v>1.625</v>
      </c>
      <c r="G285" s="1" t="s">
        <v>12</v>
      </c>
      <c r="H285" s="1" t="s">
        <v>13</v>
      </c>
      <c r="I285" s="1" t="s">
        <v>14</v>
      </c>
      <c r="J285" s="14">
        <v>0.3712152777777778</v>
      </c>
      <c r="K285" s="15">
        <v>45537</v>
      </c>
      <c r="M285" s="2">
        <v>1.4750000000000001</v>
      </c>
      <c r="O285" s="2">
        <f t="shared" si="29"/>
        <v>1.4000000000000001</v>
      </c>
      <c r="P285" s="2">
        <f t="shared" si="30"/>
        <v>56.319334389857367</v>
      </c>
      <c r="Q285" s="2">
        <f t="shared" si="31"/>
        <v>0.22649999999999515</v>
      </c>
      <c r="R285" s="2">
        <f t="shared" si="32"/>
        <v>0.28161291600633315</v>
      </c>
      <c r="S285" s="2">
        <f t="shared" si="33"/>
        <v>-5.5112916006337997E-2</v>
      </c>
    </row>
    <row r="286" spans="2:19" x14ac:dyDescent="0.25">
      <c r="B286" s="1">
        <f t="shared" si="34"/>
        <v>280</v>
      </c>
      <c r="C286" s="1">
        <v>483</v>
      </c>
      <c r="D286" s="13">
        <v>45.3</v>
      </c>
      <c r="E286" s="1" t="s">
        <v>11</v>
      </c>
      <c r="F286" s="2">
        <v>1.63</v>
      </c>
      <c r="G286" s="1" t="s">
        <v>12</v>
      </c>
      <c r="H286" s="1" t="s">
        <v>13</v>
      </c>
      <c r="I286" s="1" t="s">
        <v>14</v>
      </c>
      <c r="J286" s="14">
        <v>0.3712152777777778</v>
      </c>
      <c r="K286" s="15">
        <v>45537</v>
      </c>
      <c r="M286" s="2">
        <v>1.48</v>
      </c>
      <c r="O286" s="2">
        <f t="shared" si="29"/>
        <v>1.405</v>
      </c>
      <c r="P286" s="2">
        <f t="shared" si="30"/>
        <v>56.325832012678291</v>
      </c>
      <c r="Q286" s="2">
        <f t="shared" si="31"/>
        <v>0.22625000000000522</v>
      </c>
      <c r="R286" s="2">
        <f t="shared" si="32"/>
        <v>0.28164540412045025</v>
      </c>
      <c r="S286" s="2">
        <f t="shared" si="33"/>
        <v>-5.5395404120445024E-2</v>
      </c>
    </row>
    <row r="287" spans="2:19" x14ac:dyDescent="0.25">
      <c r="B287" s="1">
        <f t="shared" si="34"/>
        <v>281</v>
      </c>
      <c r="C287" s="1">
        <v>485</v>
      </c>
      <c r="D287" s="13">
        <v>45.2</v>
      </c>
      <c r="E287" s="1" t="s">
        <v>11</v>
      </c>
      <c r="F287" s="2">
        <v>1.635</v>
      </c>
      <c r="G287" s="1" t="s">
        <v>12</v>
      </c>
      <c r="H287" s="1" t="s">
        <v>13</v>
      </c>
      <c r="I287" s="1" t="s">
        <v>14</v>
      </c>
      <c r="J287" s="14">
        <v>0.37122685185185184</v>
      </c>
      <c r="K287" s="15">
        <v>45537</v>
      </c>
      <c r="M287" s="2">
        <v>1.4850000000000001</v>
      </c>
      <c r="O287" s="2">
        <f t="shared" si="29"/>
        <v>1.4100000000000001</v>
      </c>
      <c r="P287" s="2">
        <f t="shared" si="30"/>
        <v>56.332329635499207</v>
      </c>
      <c r="Q287" s="2">
        <f t="shared" si="31"/>
        <v>0.22624999999999518</v>
      </c>
      <c r="R287" s="2">
        <f t="shared" si="32"/>
        <v>0.28167789223454232</v>
      </c>
      <c r="S287" s="2">
        <f t="shared" si="33"/>
        <v>-5.5427892234547138E-2</v>
      </c>
    </row>
    <row r="288" spans="2:19" x14ac:dyDescent="0.25">
      <c r="B288" s="1">
        <f t="shared" si="34"/>
        <v>282</v>
      </c>
      <c r="C288" s="1">
        <v>487</v>
      </c>
      <c r="D288" s="13">
        <v>45.3</v>
      </c>
      <c r="E288" s="1" t="s">
        <v>11</v>
      </c>
      <c r="F288" s="2">
        <v>1.64</v>
      </c>
      <c r="G288" s="1" t="s">
        <v>12</v>
      </c>
      <c r="H288" s="1" t="s">
        <v>13</v>
      </c>
      <c r="I288" s="1" t="s">
        <v>14</v>
      </c>
      <c r="J288" s="14">
        <v>0.37122685185185184</v>
      </c>
      <c r="K288" s="15">
        <v>45537</v>
      </c>
      <c r="M288" s="2">
        <v>1.49</v>
      </c>
      <c r="O288" s="2">
        <f t="shared" si="29"/>
        <v>1.415</v>
      </c>
      <c r="P288" s="2">
        <f t="shared" si="30"/>
        <v>56.33882725832013</v>
      </c>
      <c r="Q288" s="2">
        <f t="shared" si="31"/>
        <v>0.22650000000000522</v>
      </c>
      <c r="R288" s="2">
        <f t="shared" si="32"/>
        <v>0.28171038034865947</v>
      </c>
      <c r="S288" s="2">
        <f t="shared" si="33"/>
        <v>-5.5210380348654248E-2</v>
      </c>
    </row>
    <row r="289" spans="2:19" x14ac:dyDescent="0.25">
      <c r="B289" s="1">
        <f t="shared" si="34"/>
        <v>283</v>
      </c>
      <c r="C289" s="1">
        <v>489</v>
      </c>
      <c r="D289" s="13">
        <v>45.3</v>
      </c>
      <c r="E289" s="1" t="s">
        <v>11</v>
      </c>
      <c r="F289" s="2">
        <v>1.645</v>
      </c>
      <c r="G289" s="1" t="s">
        <v>12</v>
      </c>
      <c r="H289" s="1" t="s">
        <v>13</v>
      </c>
      <c r="I289" s="1" t="s">
        <v>14</v>
      </c>
      <c r="J289" s="14">
        <v>0.37122685185185184</v>
      </c>
      <c r="K289" s="15">
        <v>45537</v>
      </c>
      <c r="M289" s="2">
        <v>1.4950000000000001</v>
      </c>
      <c r="O289" s="2">
        <f t="shared" si="29"/>
        <v>1.4200000000000002</v>
      </c>
      <c r="P289" s="2">
        <f t="shared" si="30"/>
        <v>56.345324881141046</v>
      </c>
      <c r="Q289" s="2">
        <f t="shared" si="31"/>
        <v>0.2259999999999952</v>
      </c>
      <c r="R289" s="2">
        <f t="shared" si="32"/>
        <v>0.28174286846275154</v>
      </c>
      <c r="S289" s="2">
        <f t="shared" si="33"/>
        <v>-5.5742868462756334E-2</v>
      </c>
    </row>
    <row r="290" spans="2:19" x14ac:dyDescent="0.25">
      <c r="B290" s="1">
        <f t="shared" si="34"/>
        <v>284</v>
      </c>
      <c r="C290" s="1">
        <v>490</v>
      </c>
      <c r="D290" s="13">
        <v>45.1</v>
      </c>
      <c r="E290" s="1" t="s">
        <v>11</v>
      </c>
      <c r="F290" s="2">
        <v>1.65</v>
      </c>
      <c r="G290" s="1" t="s">
        <v>12</v>
      </c>
      <c r="H290" s="1" t="s">
        <v>13</v>
      </c>
      <c r="I290" s="1" t="s">
        <v>14</v>
      </c>
      <c r="J290" s="14">
        <v>0.37122685185185184</v>
      </c>
      <c r="K290" s="15">
        <v>45537</v>
      </c>
      <c r="M290" s="2">
        <v>1.5</v>
      </c>
      <c r="O290" s="2">
        <f t="shared" si="29"/>
        <v>1.425</v>
      </c>
      <c r="P290" s="2">
        <f t="shared" si="30"/>
        <v>56.351822503961969</v>
      </c>
      <c r="Q290" s="2">
        <f t="shared" si="31"/>
        <v>0.22550000000000522</v>
      </c>
      <c r="R290" s="2">
        <f t="shared" si="32"/>
        <v>0.28177535657686864</v>
      </c>
      <c r="S290" s="2">
        <f t="shared" si="33"/>
        <v>-5.6275356576863417E-2</v>
      </c>
    </row>
    <row r="291" spans="2:19" x14ac:dyDescent="0.25">
      <c r="B291" s="1">
        <f t="shared" si="34"/>
        <v>285</v>
      </c>
      <c r="C291" s="1">
        <v>492</v>
      </c>
      <c r="D291" s="13">
        <v>45.1</v>
      </c>
      <c r="E291" s="1" t="s">
        <v>11</v>
      </c>
      <c r="F291" s="2">
        <v>1.655</v>
      </c>
      <c r="G291" s="1" t="s">
        <v>12</v>
      </c>
      <c r="H291" s="1" t="s">
        <v>13</v>
      </c>
      <c r="I291" s="1" t="s">
        <v>14</v>
      </c>
      <c r="J291" s="14">
        <v>0.37122685185185184</v>
      </c>
      <c r="K291" s="15">
        <v>45537</v>
      </c>
      <c r="M291" s="2">
        <v>1.5050000000000001</v>
      </c>
      <c r="O291" s="2">
        <f t="shared" si="29"/>
        <v>1.4300000000000002</v>
      </c>
      <c r="P291" s="2">
        <f t="shared" si="30"/>
        <v>56.358320126782885</v>
      </c>
      <c r="Q291" s="2">
        <f t="shared" si="31"/>
        <v>0.22524999999999518</v>
      </c>
      <c r="R291" s="2">
        <f t="shared" si="32"/>
        <v>0.28180784469096071</v>
      </c>
      <c r="S291" s="2">
        <f t="shared" si="33"/>
        <v>-5.6557844690965531E-2</v>
      </c>
    </row>
    <row r="292" spans="2:19" x14ac:dyDescent="0.25">
      <c r="B292" s="1">
        <f t="shared" si="34"/>
        <v>286</v>
      </c>
      <c r="C292" s="1">
        <v>494</v>
      </c>
      <c r="D292" s="13">
        <v>45</v>
      </c>
      <c r="E292" s="1" t="s">
        <v>11</v>
      </c>
      <c r="F292" s="2">
        <v>1.66</v>
      </c>
      <c r="G292" s="1" t="s">
        <v>12</v>
      </c>
      <c r="H292" s="1" t="s">
        <v>13</v>
      </c>
      <c r="I292" s="1" t="s">
        <v>14</v>
      </c>
      <c r="J292" s="14">
        <v>0.37123842592592593</v>
      </c>
      <c r="K292" s="15">
        <v>45537</v>
      </c>
      <c r="M292" s="2">
        <v>1.51</v>
      </c>
      <c r="O292" s="2">
        <f t="shared" si="29"/>
        <v>1.4350000000000001</v>
      </c>
      <c r="P292" s="2">
        <f t="shared" si="30"/>
        <v>56.364817749603802</v>
      </c>
      <c r="Q292" s="2">
        <f t="shared" si="31"/>
        <v>0.22550000000000522</v>
      </c>
      <c r="R292" s="2">
        <f t="shared" si="32"/>
        <v>0.28184033280507781</v>
      </c>
      <c r="S292" s="2">
        <f t="shared" si="33"/>
        <v>-5.6340332805072585E-2</v>
      </c>
    </row>
    <row r="293" spans="2:19" x14ac:dyDescent="0.25">
      <c r="B293" s="1">
        <f t="shared" si="34"/>
        <v>287</v>
      </c>
      <c r="C293" s="1">
        <v>496</v>
      </c>
      <c r="D293" s="13">
        <v>45.2</v>
      </c>
      <c r="E293" s="1" t="s">
        <v>11</v>
      </c>
      <c r="F293" s="2">
        <v>1.665</v>
      </c>
      <c r="G293" s="1" t="s">
        <v>12</v>
      </c>
      <c r="H293" s="1" t="s">
        <v>13</v>
      </c>
      <c r="I293" s="1" t="s">
        <v>14</v>
      </c>
      <c r="J293" s="14">
        <v>0.37123842592592593</v>
      </c>
      <c r="K293" s="15">
        <v>45537</v>
      </c>
      <c r="M293" s="2">
        <v>1.5150000000000001</v>
      </c>
      <c r="O293" s="2">
        <f t="shared" si="29"/>
        <v>1.4400000000000002</v>
      </c>
      <c r="P293" s="2">
        <f t="shared" si="30"/>
        <v>56.371315372424725</v>
      </c>
      <c r="Q293" s="2">
        <f t="shared" si="31"/>
        <v>0.2257499999999952</v>
      </c>
      <c r="R293" s="2">
        <f t="shared" si="32"/>
        <v>0.28187282091916993</v>
      </c>
      <c r="S293" s="2">
        <f t="shared" si="33"/>
        <v>-5.6122820919174726E-2</v>
      </c>
    </row>
    <row r="294" spans="2:19" x14ac:dyDescent="0.25">
      <c r="B294" s="1">
        <f t="shared" si="34"/>
        <v>288</v>
      </c>
      <c r="C294" s="1">
        <v>497</v>
      </c>
      <c r="D294" s="13">
        <v>45.1</v>
      </c>
      <c r="E294" s="1" t="s">
        <v>11</v>
      </c>
      <c r="F294" s="2">
        <v>1.67</v>
      </c>
      <c r="G294" s="1" t="s">
        <v>12</v>
      </c>
      <c r="H294" s="1" t="s">
        <v>13</v>
      </c>
      <c r="I294" s="1" t="s">
        <v>14</v>
      </c>
      <c r="J294" s="14">
        <v>0.37123842592592593</v>
      </c>
      <c r="K294" s="15">
        <v>45537</v>
      </c>
      <c r="M294" s="2">
        <v>1.52</v>
      </c>
      <c r="O294" s="2">
        <f t="shared" si="29"/>
        <v>1.4450000000000001</v>
      </c>
      <c r="P294" s="2">
        <f t="shared" si="30"/>
        <v>56.377812995245641</v>
      </c>
      <c r="Q294" s="2">
        <f t="shared" si="31"/>
        <v>0.2252500000000052</v>
      </c>
      <c r="R294" s="2">
        <f t="shared" si="32"/>
        <v>0.28190530903328703</v>
      </c>
      <c r="S294" s="2">
        <f t="shared" si="33"/>
        <v>-5.6655309033281837E-2</v>
      </c>
    </row>
    <row r="295" spans="2:19" x14ac:dyDescent="0.25">
      <c r="B295" s="1">
        <f t="shared" si="34"/>
        <v>289</v>
      </c>
      <c r="C295" s="1">
        <v>498</v>
      </c>
      <c r="D295" s="13">
        <v>45</v>
      </c>
      <c r="E295" s="1" t="s">
        <v>11</v>
      </c>
      <c r="F295" s="2">
        <v>1.675</v>
      </c>
      <c r="G295" s="1" t="s">
        <v>12</v>
      </c>
      <c r="H295" s="1" t="s">
        <v>13</v>
      </c>
      <c r="I295" s="1" t="s">
        <v>14</v>
      </c>
      <c r="J295" s="14">
        <v>0.37123842592592593</v>
      </c>
      <c r="K295" s="15">
        <v>45537</v>
      </c>
      <c r="M295" s="2">
        <v>1.5250000000000001</v>
      </c>
      <c r="O295" s="2">
        <f t="shared" si="29"/>
        <v>1.4500000000000002</v>
      </c>
      <c r="P295" s="2">
        <f t="shared" si="30"/>
        <v>56.384310618066564</v>
      </c>
      <c r="Q295" s="2">
        <f t="shared" si="31"/>
        <v>0.2249999999999952</v>
      </c>
      <c r="R295" s="2">
        <f t="shared" si="32"/>
        <v>0.2819377971473791</v>
      </c>
      <c r="S295" s="2">
        <f t="shared" si="33"/>
        <v>-5.6937797147383895E-2</v>
      </c>
    </row>
    <row r="296" spans="2:19" x14ac:dyDescent="0.25">
      <c r="B296" s="1">
        <f t="shared" si="34"/>
        <v>290</v>
      </c>
      <c r="C296" s="1">
        <v>500</v>
      </c>
      <c r="D296" s="13">
        <v>45</v>
      </c>
      <c r="E296" s="1" t="s">
        <v>11</v>
      </c>
      <c r="F296" s="2">
        <v>1.68</v>
      </c>
      <c r="G296" s="1" t="s">
        <v>12</v>
      </c>
      <c r="H296" s="1" t="s">
        <v>13</v>
      </c>
      <c r="I296" s="1" t="s">
        <v>14</v>
      </c>
      <c r="J296" s="14">
        <v>0.37123842592592593</v>
      </c>
      <c r="K296" s="15">
        <v>45537</v>
      </c>
      <c r="M296" s="2">
        <v>1.53</v>
      </c>
      <c r="O296" s="2">
        <f t="shared" si="29"/>
        <v>1.4550000000000001</v>
      </c>
      <c r="P296" s="2">
        <f t="shared" si="30"/>
        <v>56.39080824088748</v>
      </c>
      <c r="Q296" s="2">
        <f t="shared" si="31"/>
        <v>0.2257500000000052</v>
      </c>
      <c r="R296" s="2">
        <f t="shared" si="32"/>
        <v>0.2819702852614962</v>
      </c>
      <c r="S296" s="2">
        <f t="shared" si="33"/>
        <v>-5.6220285261491004E-2</v>
      </c>
    </row>
    <row r="297" spans="2:19" x14ac:dyDescent="0.25">
      <c r="B297" s="1">
        <f t="shared" si="34"/>
        <v>291</v>
      </c>
      <c r="C297" s="1">
        <v>506</v>
      </c>
      <c r="D297" s="13">
        <v>45.3</v>
      </c>
      <c r="E297" s="1" t="s">
        <v>11</v>
      </c>
      <c r="F297" s="2">
        <v>1.6850000000000001</v>
      </c>
      <c r="G297" s="1" t="s">
        <v>12</v>
      </c>
      <c r="H297" s="1" t="s">
        <v>13</v>
      </c>
      <c r="I297" s="1" t="s">
        <v>14</v>
      </c>
      <c r="J297" s="14">
        <v>0.37125000000000002</v>
      </c>
      <c r="K297" s="15">
        <v>45537</v>
      </c>
      <c r="M297" s="2">
        <v>1.5350000000000001</v>
      </c>
      <c r="O297" s="2">
        <f t="shared" si="29"/>
        <v>1.4600000000000002</v>
      </c>
      <c r="P297" s="2">
        <f t="shared" si="30"/>
        <v>56.397305863708404</v>
      </c>
      <c r="Q297" s="2">
        <f t="shared" si="31"/>
        <v>0.22724999999999518</v>
      </c>
      <c r="R297" s="2">
        <f t="shared" si="32"/>
        <v>0.28200277337558832</v>
      </c>
      <c r="S297" s="2">
        <f t="shared" si="33"/>
        <v>-5.4752773375593145E-2</v>
      </c>
    </row>
    <row r="298" spans="2:19" x14ac:dyDescent="0.25">
      <c r="B298" s="1">
        <f t="shared" si="34"/>
        <v>292</v>
      </c>
      <c r="C298" s="1">
        <v>510</v>
      </c>
      <c r="D298" s="13">
        <v>45.6</v>
      </c>
      <c r="E298" s="1" t="s">
        <v>11</v>
      </c>
      <c r="F298" s="2">
        <v>1.69</v>
      </c>
      <c r="G298" s="1" t="s">
        <v>12</v>
      </c>
      <c r="H298" s="1" t="s">
        <v>13</v>
      </c>
      <c r="I298" s="1" t="s">
        <v>14</v>
      </c>
      <c r="J298" s="14">
        <v>0.37125000000000002</v>
      </c>
      <c r="K298" s="15">
        <v>45537</v>
      </c>
      <c r="M298" s="2">
        <v>1.54</v>
      </c>
      <c r="O298" s="2">
        <f t="shared" si="29"/>
        <v>1.4650000000000001</v>
      </c>
      <c r="P298" s="2">
        <f t="shared" si="30"/>
        <v>56.40380348652932</v>
      </c>
      <c r="Q298" s="2">
        <f t="shared" si="31"/>
        <v>0.22775000000000525</v>
      </c>
      <c r="R298" s="2">
        <f t="shared" si="32"/>
        <v>0.28203526148970542</v>
      </c>
      <c r="S298" s="2">
        <f t="shared" si="33"/>
        <v>-5.4285261489700171E-2</v>
      </c>
    </row>
    <row r="299" spans="2:19" x14ac:dyDescent="0.25">
      <c r="B299" s="1">
        <f t="shared" si="34"/>
        <v>293</v>
      </c>
      <c r="C299" s="1">
        <v>511</v>
      </c>
      <c r="D299" s="13">
        <v>45.5</v>
      </c>
      <c r="E299" s="1" t="s">
        <v>11</v>
      </c>
      <c r="F299" s="2">
        <v>1.6950000000000001</v>
      </c>
      <c r="G299" s="1" t="s">
        <v>12</v>
      </c>
      <c r="H299" s="1" t="s">
        <v>13</v>
      </c>
      <c r="I299" s="1" t="s">
        <v>14</v>
      </c>
      <c r="J299" s="14">
        <v>0.37125000000000002</v>
      </c>
      <c r="K299" s="15">
        <v>45537</v>
      </c>
      <c r="M299" s="2">
        <v>1.5450000000000002</v>
      </c>
      <c r="O299" s="2">
        <f t="shared" si="29"/>
        <v>1.4700000000000002</v>
      </c>
      <c r="P299" s="2">
        <f t="shared" si="30"/>
        <v>56.410301109350236</v>
      </c>
      <c r="Q299" s="2">
        <f t="shared" si="31"/>
        <v>0.22749999999999515</v>
      </c>
      <c r="R299" s="2">
        <f t="shared" si="32"/>
        <v>0.28206774960379749</v>
      </c>
      <c r="S299" s="2">
        <f t="shared" si="33"/>
        <v>-5.456774960380234E-2</v>
      </c>
    </row>
    <row r="300" spans="2:19" x14ac:dyDescent="0.25">
      <c r="B300" s="1">
        <f t="shared" si="34"/>
        <v>294</v>
      </c>
      <c r="C300" s="1">
        <v>512</v>
      </c>
      <c r="D300" s="13">
        <v>45.5</v>
      </c>
      <c r="E300" s="1" t="s">
        <v>11</v>
      </c>
      <c r="F300" s="2">
        <v>1.7</v>
      </c>
      <c r="G300" s="1" t="s">
        <v>12</v>
      </c>
      <c r="H300" s="1" t="s">
        <v>13</v>
      </c>
      <c r="I300" s="1" t="s">
        <v>14</v>
      </c>
      <c r="J300" s="14">
        <v>0.37125000000000002</v>
      </c>
      <c r="K300" s="15">
        <v>45537</v>
      </c>
      <c r="M300" s="2">
        <v>1.55</v>
      </c>
      <c r="O300" s="2">
        <f t="shared" si="29"/>
        <v>1.4750000000000001</v>
      </c>
      <c r="P300" s="2">
        <f t="shared" si="30"/>
        <v>56.416798732171159</v>
      </c>
      <c r="Q300" s="2">
        <f t="shared" si="31"/>
        <v>0.22725000000000525</v>
      </c>
      <c r="R300" s="2">
        <f t="shared" si="32"/>
        <v>0.28210023771791459</v>
      </c>
      <c r="S300" s="2">
        <f t="shared" si="33"/>
        <v>-5.4850237717909339E-2</v>
      </c>
    </row>
    <row r="301" spans="2:19" x14ac:dyDescent="0.25">
      <c r="B301" s="1">
        <f t="shared" si="34"/>
        <v>295</v>
      </c>
      <c r="C301" s="1">
        <v>513</v>
      </c>
      <c r="D301" s="13">
        <v>45.4</v>
      </c>
      <c r="E301" s="1" t="s">
        <v>11</v>
      </c>
      <c r="F301" s="2">
        <v>1.7050000000000001</v>
      </c>
      <c r="G301" s="1" t="s">
        <v>12</v>
      </c>
      <c r="H301" s="1" t="s">
        <v>13</v>
      </c>
      <c r="I301" s="1" t="s">
        <v>14</v>
      </c>
      <c r="J301" s="14">
        <v>0.37125000000000002</v>
      </c>
      <c r="K301" s="15">
        <v>45537</v>
      </c>
      <c r="M301" s="2">
        <v>1.5550000000000002</v>
      </c>
      <c r="O301" s="2">
        <f t="shared" si="29"/>
        <v>1.4800000000000002</v>
      </c>
      <c r="P301" s="2">
        <f t="shared" si="30"/>
        <v>56.423296354992075</v>
      </c>
      <c r="Q301" s="2">
        <f t="shared" si="31"/>
        <v>0.45350000000000035</v>
      </c>
      <c r="R301" s="2">
        <f t="shared" si="32"/>
        <v>0.56429793977813036</v>
      </c>
      <c r="S301" s="2">
        <f t="shared" si="33"/>
        <v>-0.11079793977813002</v>
      </c>
    </row>
    <row r="302" spans="2:19" x14ac:dyDescent="0.25">
      <c r="B302" s="1">
        <f t="shared" si="34"/>
        <v>296</v>
      </c>
      <c r="C302" s="1">
        <v>514</v>
      </c>
      <c r="D302" s="13">
        <v>45.3</v>
      </c>
      <c r="E302" s="1" t="s">
        <v>11</v>
      </c>
      <c r="F302" s="2">
        <v>1.7150000000000001</v>
      </c>
      <c r="G302" s="1" t="s">
        <v>12</v>
      </c>
      <c r="H302" s="1" t="s">
        <v>13</v>
      </c>
      <c r="I302" s="1" t="s">
        <v>14</v>
      </c>
      <c r="J302" s="14">
        <v>0.37126157407407406</v>
      </c>
      <c r="K302" s="15">
        <v>45537</v>
      </c>
      <c r="M302" s="2">
        <v>1.5650000000000002</v>
      </c>
      <c r="O302" s="2">
        <f t="shared" si="29"/>
        <v>1.4900000000000002</v>
      </c>
      <c r="P302" s="2">
        <f t="shared" si="30"/>
        <v>56.436291600633915</v>
      </c>
      <c r="Q302" s="2">
        <f t="shared" si="31"/>
        <v>0.45200000000000046</v>
      </c>
      <c r="R302" s="2">
        <f t="shared" si="32"/>
        <v>0.56442789223454892</v>
      </c>
      <c r="S302" s="2">
        <f t="shared" si="33"/>
        <v>-0.11242789223454847</v>
      </c>
    </row>
    <row r="303" spans="2:19" x14ac:dyDescent="0.25">
      <c r="B303" s="1">
        <f t="shared" si="34"/>
        <v>297</v>
      </c>
      <c r="C303" s="1">
        <v>515</v>
      </c>
      <c r="D303" s="13">
        <v>45.1</v>
      </c>
      <c r="E303" s="1" t="s">
        <v>11</v>
      </c>
      <c r="F303" s="2">
        <v>1.7250000000000001</v>
      </c>
      <c r="G303" s="1" t="s">
        <v>12</v>
      </c>
      <c r="H303" s="1" t="s">
        <v>13</v>
      </c>
      <c r="I303" s="1" t="s">
        <v>14</v>
      </c>
      <c r="J303" s="14">
        <v>0.37126157407407406</v>
      </c>
      <c r="K303" s="15">
        <v>45537</v>
      </c>
      <c r="M303" s="2">
        <v>1.5750000000000002</v>
      </c>
      <c r="O303" s="2">
        <f t="shared" si="29"/>
        <v>1.5000000000000002</v>
      </c>
      <c r="P303" s="2">
        <f t="shared" si="30"/>
        <v>56.449286846275754</v>
      </c>
      <c r="Q303" s="2">
        <f t="shared" si="31"/>
        <v>0.4510000000000004</v>
      </c>
      <c r="R303" s="2">
        <f t="shared" si="32"/>
        <v>0.56455784469096726</v>
      </c>
      <c r="S303" s="2">
        <f t="shared" si="33"/>
        <v>-0.11355784469096686</v>
      </c>
    </row>
    <row r="304" spans="2:19" x14ac:dyDescent="0.25">
      <c r="B304" s="1">
        <f t="shared" si="34"/>
        <v>298</v>
      </c>
      <c r="C304" s="1">
        <v>516</v>
      </c>
      <c r="D304" s="13">
        <v>45.1</v>
      </c>
      <c r="E304" s="1" t="s">
        <v>11</v>
      </c>
      <c r="F304" s="2">
        <v>1.7350000000000001</v>
      </c>
      <c r="G304" s="1" t="s">
        <v>12</v>
      </c>
      <c r="H304" s="1" t="s">
        <v>13</v>
      </c>
      <c r="I304" s="1" t="s">
        <v>14</v>
      </c>
      <c r="J304" s="14">
        <v>0.37126157407407406</v>
      </c>
      <c r="K304" s="15">
        <v>45537</v>
      </c>
      <c r="M304" s="2">
        <v>1.5850000000000002</v>
      </c>
      <c r="O304" s="2">
        <f t="shared" si="29"/>
        <v>1.5100000000000002</v>
      </c>
      <c r="P304" s="2">
        <f t="shared" si="30"/>
        <v>56.462282091917594</v>
      </c>
      <c r="Q304" s="2">
        <f t="shared" si="31"/>
        <v>0.45150000000000046</v>
      </c>
      <c r="R304" s="2">
        <f t="shared" si="32"/>
        <v>0.56468779714738571</v>
      </c>
      <c r="S304" s="2">
        <f t="shared" si="33"/>
        <v>-0.11318779714738525</v>
      </c>
    </row>
    <row r="305" spans="2:19" x14ac:dyDescent="0.25">
      <c r="B305" s="1">
        <f t="shared" si="34"/>
        <v>299</v>
      </c>
      <c r="C305" s="1">
        <v>518</v>
      </c>
      <c r="D305" s="13">
        <v>45.2</v>
      </c>
      <c r="E305" s="1" t="s">
        <v>11</v>
      </c>
      <c r="F305" s="2">
        <v>1.7450000000000001</v>
      </c>
      <c r="G305" s="1" t="s">
        <v>12</v>
      </c>
      <c r="H305" s="1" t="s">
        <v>13</v>
      </c>
      <c r="I305" s="1" t="s">
        <v>14</v>
      </c>
      <c r="J305" s="14">
        <v>0.37126157407407406</v>
      </c>
      <c r="K305" s="15">
        <v>45537</v>
      </c>
      <c r="M305" s="2">
        <v>1.5950000000000002</v>
      </c>
      <c r="O305" s="2">
        <f t="shared" si="29"/>
        <v>1.5200000000000002</v>
      </c>
      <c r="P305" s="2">
        <f t="shared" si="30"/>
        <v>56.475277337559433</v>
      </c>
      <c r="Q305" s="2">
        <f t="shared" si="31"/>
        <v>0.2259999999999952</v>
      </c>
      <c r="R305" s="2">
        <f t="shared" si="32"/>
        <v>0.28239263074484344</v>
      </c>
      <c r="S305" s="2">
        <f t="shared" si="33"/>
        <v>-5.6392630744848238E-2</v>
      </c>
    </row>
    <row r="306" spans="2:19" x14ac:dyDescent="0.25">
      <c r="B306" s="1">
        <f t="shared" si="34"/>
        <v>300</v>
      </c>
      <c r="C306" s="1">
        <v>519</v>
      </c>
      <c r="D306" s="13">
        <v>45.2</v>
      </c>
      <c r="E306" s="1" t="s">
        <v>11</v>
      </c>
      <c r="F306" s="2">
        <v>1.75</v>
      </c>
      <c r="G306" s="1" t="s">
        <v>12</v>
      </c>
      <c r="H306" s="1" t="s">
        <v>13</v>
      </c>
      <c r="I306" s="1" t="s">
        <v>14</v>
      </c>
      <c r="J306" s="14">
        <v>0.37126157407407406</v>
      </c>
      <c r="K306" s="15">
        <v>45537</v>
      </c>
      <c r="M306" s="2">
        <v>1.6</v>
      </c>
      <c r="O306" s="2">
        <f t="shared" si="29"/>
        <v>1.5250000000000001</v>
      </c>
      <c r="P306" s="2">
        <f t="shared" si="30"/>
        <v>56.481774960380349</v>
      </c>
      <c r="Q306" s="2">
        <f t="shared" si="31"/>
        <v>0.2259999999999952</v>
      </c>
      <c r="R306" s="2">
        <f t="shared" si="32"/>
        <v>0.282425118858948</v>
      </c>
      <c r="S306" s="2">
        <f t="shared" si="33"/>
        <v>-5.6425118858952794E-2</v>
      </c>
    </row>
    <row r="307" spans="2:19" x14ac:dyDescent="0.25">
      <c r="B307" s="1">
        <f t="shared" si="34"/>
        <v>301</v>
      </c>
      <c r="C307" s="1">
        <v>520</v>
      </c>
      <c r="D307" s="13">
        <v>45.2</v>
      </c>
      <c r="E307" s="1" t="s">
        <v>11</v>
      </c>
      <c r="F307" s="2">
        <v>1.7549999999999999</v>
      </c>
      <c r="G307" s="1" t="s">
        <v>12</v>
      </c>
      <c r="H307" s="1" t="s">
        <v>13</v>
      </c>
      <c r="I307" s="1" t="s">
        <v>14</v>
      </c>
      <c r="J307" s="14">
        <v>0.37126157407407406</v>
      </c>
      <c r="K307" s="15">
        <v>45537</v>
      </c>
      <c r="M307" s="2">
        <v>1.605</v>
      </c>
      <c r="O307" s="2">
        <f t="shared" si="29"/>
        <v>1.53</v>
      </c>
      <c r="P307" s="2">
        <f t="shared" si="30"/>
        <v>56.488272583201265</v>
      </c>
      <c r="Q307" s="2">
        <f t="shared" si="31"/>
        <v>0.22625000000000522</v>
      </c>
      <c r="R307" s="2">
        <f t="shared" si="32"/>
        <v>0.28245760697306516</v>
      </c>
      <c r="S307" s="2">
        <f t="shared" si="33"/>
        <v>-5.6207606973059931E-2</v>
      </c>
    </row>
    <row r="308" spans="2:19" x14ac:dyDescent="0.25">
      <c r="B308" s="1">
        <f t="shared" si="34"/>
        <v>302</v>
      </c>
      <c r="C308" s="1">
        <v>521</v>
      </c>
      <c r="D308" s="13">
        <v>45.3</v>
      </c>
      <c r="E308" s="1" t="s">
        <v>11</v>
      </c>
      <c r="F308" s="2">
        <v>1.76</v>
      </c>
      <c r="G308" s="1" t="s">
        <v>12</v>
      </c>
      <c r="H308" s="1" t="s">
        <v>13</v>
      </c>
      <c r="I308" s="1" t="s">
        <v>14</v>
      </c>
      <c r="J308" s="14">
        <v>0.37126157407407406</v>
      </c>
      <c r="K308" s="15">
        <v>45537</v>
      </c>
      <c r="M308" s="2">
        <v>1.61</v>
      </c>
      <c r="O308" s="2">
        <f t="shared" si="29"/>
        <v>1.5350000000000001</v>
      </c>
      <c r="P308" s="2">
        <f t="shared" si="30"/>
        <v>56.494770206022189</v>
      </c>
      <c r="Q308" s="2">
        <f t="shared" si="31"/>
        <v>0.22649999999999515</v>
      </c>
      <c r="R308" s="2">
        <f t="shared" si="32"/>
        <v>0.28249009508715722</v>
      </c>
      <c r="S308" s="2">
        <f t="shared" si="33"/>
        <v>-5.5990095087162073E-2</v>
      </c>
    </row>
    <row r="309" spans="2:19" x14ac:dyDescent="0.25">
      <c r="B309" s="1">
        <f t="shared" si="34"/>
        <v>303</v>
      </c>
      <c r="C309" s="1">
        <v>522</v>
      </c>
      <c r="D309" s="13">
        <v>45.3</v>
      </c>
      <c r="E309" s="1" t="s">
        <v>11</v>
      </c>
      <c r="F309" s="2">
        <v>1.7649999999999999</v>
      </c>
      <c r="G309" s="1" t="s">
        <v>12</v>
      </c>
      <c r="H309" s="1" t="s">
        <v>13</v>
      </c>
      <c r="I309" s="1" t="s">
        <v>14</v>
      </c>
      <c r="J309" s="14">
        <v>0.37126157407407406</v>
      </c>
      <c r="K309" s="15">
        <v>45537</v>
      </c>
      <c r="M309" s="2">
        <v>1.615</v>
      </c>
      <c r="O309" s="2">
        <f t="shared" si="29"/>
        <v>1.54</v>
      </c>
      <c r="P309" s="2">
        <f t="shared" si="30"/>
        <v>56.501267828843105</v>
      </c>
      <c r="Q309" s="2">
        <f t="shared" si="31"/>
        <v>0.22650000000000522</v>
      </c>
      <c r="R309" s="2">
        <f t="shared" si="32"/>
        <v>0.28252258320127438</v>
      </c>
      <c r="S309" s="2">
        <f t="shared" si="33"/>
        <v>-5.6022583201269155E-2</v>
      </c>
    </row>
    <row r="310" spans="2:19" x14ac:dyDescent="0.25">
      <c r="B310" s="1">
        <f t="shared" si="34"/>
        <v>304</v>
      </c>
      <c r="C310" s="1">
        <v>523</v>
      </c>
      <c r="D310" s="13">
        <v>45.3</v>
      </c>
      <c r="E310" s="1" t="s">
        <v>11</v>
      </c>
      <c r="F310" s="2">
        <v>1.77</v>
      </c>
      <c r="G310" s="1" t="s">
        <v>12</v>
      </c>
      <c r="H310" s="1" t="s">
        <v>13</v>
      </c>
      <c r="I310" s="1" t="s">
        <v>14</v>
      </c>
      <c r="J310" s="14">
        <v>0.37126157407407406</v>
      </c>
      <c r="K310" s="15">
        <v>45537</v>
      </c>
      <c r="M310" s="2">
        <v>1.62</v>
      </c>
      <c r="O310" s="2">
        <f t="shared" si="29"/>
        <v>1.5450000000000002</v>
      </c>
      <c r="P310" s="2">
        <f t="shared" si="30"/>
        <v>56.507765451664028</v>
      </c>
      <c r="Q310" s="2">
        <f t="shared" si="31"/>
        <v>0.22649999999999515</v>
      </c>
      <c r="R310" s="2">
        <f t="shared" si="32"/>
        <v>0.28255507131536639</v>
      </c>
      <c r="S310" s="2">
        <f t="shared" si="33"/>
        <v>-5.6055071315371241E-2</v>
      </c>
    </row>
    <row r="311" spans="2:19" x14ac:dyDescent="0.25">
      <c r="B311" s="1">
        <f t="shared" si="34"/>
        <v>305</v>
      </c>
      <c r="C311" s="1">
        <v>524</v>
      </c>
      <c r="D311" s="13">
        <v>45.3</v>
      </c>
      <c r="E311" s="1" t="s">
        <v>11</v>
      </c>
      <c r="F311" s="2">
        <v>1.7749999999999999</v>
      </c>
      <c r="G311" s="1" t="s">
        <v>12</v>
      </c>
      <c r="H311" s="1" t="s">
        <v>13</v>
      </c>
      <c r="I311" s="1" t="s">
        <v>14</v>
      </c>
      <c r="J311" s="14">
        <v>0.37127314814814816</v>
      </c>
      <c r="K311" s="15">
        <v>45537</v>
      </c>
      <c r="M311" s="2">
        <v>1.625</v>
      </c>
      <c r="O311" s="2">
        <f t="shared" si="29"/>
        <v>1.55</v>
      </c>
      <c r="P311" s="2">
        <f t="shared" si="30"/>
        <v>56.514263074484944</v>
      </c>
      <c r="Q311" s="2">
        <f t="shared" si="31"/>
        <v>0.22650000000000522</v>
      </c>
      <c r="R311" s="2">
        <f t="shared" si="32"/>
        <v>0.28258755942948355</v>
      </c>
      <c r="S311" s="2">
        <f t="shared" si="33"/>
        <v>-5.6087559429478323E-2</v>
      </c>
    </row>
    <row r="312" spans="2:19" x14ac:dyDescent="0.25">
      <c r="B312" s="1">
        <f t="shared" si="34"/>
        <v>306</v>
      </c>
      <c r="C312" s="1">
        <v>525</v>
      </c>
      <c r="D312" s="13">
        <v>45.3</v>
      </c>
      <c r="E312" s="1" t="s">
        <v>11</v>
      </c>
      <c r="F312" s="2">
        <v>1.78</v>
      </c>
      <c r="G312" s="1" t="s">
        <v>12</v>
      </c>
      <c r="H312" s="1" t="s">
        <v>13</v>
      </c>
      <c r="I312" s="1" t="s">
        <v>14</v>
      </c>
      <c r="J312" s="14">
        <v>0.37127314814814816</v>
      </c>
      <c r="K312" s="15">
        <v>45537</v>
      </c>
      <c r="M312" s="2">
        <v>1.6300000000000001</v>
      </c>
      <c r="O312" s="2">
        <f t="shared" si="29"/>
        <v>1.5550000000000002</v>
      </c>
      <c r="P312" s="2">
        <f t="shared" si="30"/>
        <v>56.520760697305867</v>
      </c>
      <c r="Q312" s="2">
        <f t="shared" si="31"/>
        <v>0.22649999999999515</v>
      </c>
      <c r="R312" s="2">
        <f t="shared" si="32"/>
        <v>0.28262004754357561</v>
      </c>
      <c r="S312" s="2">
        <f t="shared" si="33"/>
        <v>-5.6120047543580465E-2</v>
      </c>
    </row>
    <row r="313" spans="2:19" x14ac:dyDescent="0.25">
      <c r="B313" s="1">
        <f t="shared" si="34"/>
        <v>307</v>
      </c>
      <c r="C313" s="1">
        <v>526</v>
      </c>
      <c r="D313" s="13">
        <v>45.3</v>
      </c>
      <c r="E313" s="1" t="s">
        <v>11</v>
      </c>
      <c r="F313" s="2">
        <v>1.7849999999999999</v>
      </c>
      <c r="G313" s="1" t="s">
        <v>12</v>
      </c>
      <c r="H313" s="1" t="s">
        <v>13</v>
      </c>
      <c r="I313" s="1" t="s">
        <v>14</v>
      </c>
      <c r="J313" s="14">
        <v>0.37127314814814816</v>
      </c>
      <c r="K313" s="15">
        <v>45537</v>
      </c>
      <c r="M313" s="2">
        <v>1.635</v>
      </c>
      <c r="O313" s="2">
        <f t="shared" si="29"/>
        <v>1.56</v>
      </c>
      <c r="P313" s="2">
        <f t="shared" si="30"/>
        <v>56.527258320126784</v>
      </c>
      <c r="Q313" s="2">
        <f t="shared" si="31"/>
        <v>0.2267500000000052</v>
      </c>
      <c r="R313" s="2">
        <f t="shared" si="32"/>
        <v>0.28265253565769277</v>
      </c>
      <c r="S313" s="2">
        <f t="shared" si="33"/>
        <v>-5.5902535657687574E-2</v>
      </c>
    </row>
    <row r="314" spans="2:19" x14ac:dyDescent="0.25">
      <c r="B314" s="1">
        <f t="shared" si="34"/>
        <v>308</v>
      </c>
      <c r="C314" s="1">
        <v>527</v>
      </c>
      <c r="D314" s="13">
        <v>45.4</v>
      </c>
      <c r="E314" s="1" t="s">
        <v>11</v>
      </c>
      <c r="F314" s="2">
        <v>1.79</v>
      </c>
      <c r="G314" s="1" t="s">
        <v>12</v>
      </c>
      <c r="H314" s="1" t="s">
        <v>13</v>
      </c>
      <c r="I314" s="1" t="s">
        <v>14</v>
      </c>
      <c r="J314" s="14">
        <v>0.37127314814814816</v>
      </c>
      <c r="K314" s="15">
        <v>45537</v>
      </c>
      <c r="M314" s="2">
        <v>1.6400000000000001</v>
      </c>
      <c r="O314" s="2">
        <f t="shared" si="29"/>
        <v>1.5650000000000002</v>
      </c>
      <c r="P314" s="2">
        <f t="shared" si="30"/>
        <v>56.533755942947707</v>
      </c>
      <c r="Q314" s="2">
        <f t="shared" si="31"/>
        <v>0.22699999999999515</v>
      </c>
      <c r="R314" s="2">
        <f t="shared" si="32"/>
        <v>0.28268502377178478</v>
      </c>
      <c r="S314" s="2">
        <f t="shared" si="33"/>
        <v>-5.5685023771789632E-2</v>
      </c>
    </row>
    <row r="315" spans="2:19" x14ac:dyDescent="0.25">
      <c r="B315" s="1">
        <f t="shared" si="34"/>
        <v>309</v>
      </c>
      <c r="C315" s="1">
        <v>528</v>
      </c>
      <c r="D315" s="13">
        <v>45.4</v>
      </c>
      <c r="E315" s="1" t="s">
        <v>11</v>
      </c>
      <c r="F315" s="2">
        <v>1.7949999999999999</v>
      </c>
      <c r="G315" s="1" t="s">
        <v>12</v>
      </c>
      <c r="H315" s="1" t="s">
        <v>13</v>
      </c>
      <c r="I315" s="1" t="s">
        <v>14</v>
      </c>
      <c r="J315" s="14">
        <v>0.37127314814814816</v>
      </c>
      <c r="K315" s="15">
        <v>45537</v>
      </c>
      <c r="M315" s="2">
        <v>1.645</v>
      </c>
      <c r="O315" s="2">
        <f t="shared" si="29"/>
        <v>1.57</v>
      </c>
      <c r="P315" s="2">
        <f t="shared" si="30"/>
        <v>56.540253565768623</v>
      </c>
      <c r="Q315" s="2">
        <f t="shared" si="31"/>
        <v>0.2267500000000052</v>
      </c>
      <c r="R315" s="2">
        <f t="shared" si="32"/>
        <v>0.28271751188590194</v>
      </c>
      <c r="S315" s="2">
        <f t="shared" si="33"/>
        <v>-5.5967511885896742E-2</v>
      </c>
    </row>
    <row r="316" spans="2:19" x14ac:dyDescent="0.25">
      <c r="B316" s="1">
        <f t="shared" si="34"/>
        <v>310</v>
      </c>
      <c r="C316" s="1">
        <v>531</v>
      </c>
      <c r="D316" s="13">
        <v>45.3</v>
      </c>
      <c r="E316" s="1" t="s">
        <v>11</v>
      </c>
      <c r="F316" s="2">
        <v>1.8</v>
      </c>
      <c r="G316" s="1" t="s">
        <v>12</v>
      </c>
      <c r="H316" s="1" t="s">
        <v>13</v>
      </c>
      <c r="I316" s="1" t="s">
        <v>14</v>
      </c>
      <c r="J316" s="14">
        <v>0.37127314814814816</v>
      </c>
      <c r="K316" s="15">
        <v>45537</v>
      </c>
      <c r="M316" s="2">
        <v>1.6500000000000001</v>
      </c>
      <c r="O316" s="2">
        <f t="shared" si="29"/>
        <v>1.5750000000000002</v>
      </c>
      <c r="P316" s="2">
        <f t="shared" si="30"/>
        <v>56.546751188589539</v>
      </c>
      <c r="Q316" s="2">
        <f t="shared" si="31"/>
        <v>0.22699999999999515</v>
      </c>
      <c r="R316" s="2">
        <f t="shared" si="32"/>
        <v>0.28274999999999395</v>
      </c>
      <c r="S316" s="2">
        <f t="shared" si="33"/>
        <v>-5.5749999999998801E-2</v>
      </c>
    </row>
    <row r="317" spans="2:19" x14ac:dyDescent="0.25">
      <c r="B317" s="1">
        <f t="shared" si="34"/>
        <v>311</v>
      </c>
      <c r="C317" s="1">
        <v>534</v>
      </c>
      <c r="D317" s="13">
        <v>45.5</v>
      </c>
      <c r="E317" s="1" t="s">
        <v>11</v>
      </c>
      <c r="F317" s="2">
        <v>1.8049999999999999</v>
      </c>
      <c r="G317" s="1" t="s">
        <v>12</v>
      </c>
      <c r="H317" s="1" t="s">
        <v>13</v>
      </c>
      <c r="I317" s="1" t="s">
        <v>14</v>
      </c>
      <c r="J317" s="14">
        <v>0.3712847222222222</v>
      </c>
      <c r="K317" s="15">
        <v>45537</v>
      </c>
      <c r="M317" s="2">
        <v>1.655</v>
      </c>
      <c r="O317" s="2">
        <f t="shared" si="29"/>
        <v>1.58</v>
      </c>
      <c r="P317" s="2">
        <f t="shared" si="30"/>
        <v>56.553248811410462</v>
      </c>
      <c r="Q317" s="2">
        <f t="shared" si="31"/>
        <v>0.22775000000000525</v>
      </c>
      <c r="R317" s="2">
        <f t="shared" si="32"/>
        <v>0.28278248811411111</v>
      </c>
      <c r="S317" s="2">
        <f t="shared" si="33"/>
        <v>-5.5032488114105854E-2</v>
      </c>
    </row>
    <row r="318" spans="2:19" x14ac:dyDescent="0.25">
      <c r="B318" s="1">
        <f t="shared" si="34"/>
        <v>312</v>
      </c>
      <c r="C318" s="1">
        <v>536</v>
      </c>
      <c r="D318" s="13">
        <v>45.6</v>
      </c>
      <c r="E318" s="1" t="s">
        <v>11</v>
      </c>
      <c r="F318" s="2">
        <v>1.81</v>
      </c>
      <c r="G318" s="1" t="s">
        <v>12</v>
      </c>
      <c r="H318" s="1" t="s">
        <v>13</v>
      </c>
      <c r="I318" s="1" t="s">
        <v>14</v>
      </c>
      <c r="J318" s="14">
        <v>0.3712847222222222</v>
      </c>
      <c r="K318" s="15">
        <v>45537</v>
      </c>
      <c r="M318" s="2">
        <v>1.6600000000000001</v>
      </c>
      <c r="O318" s="2">
        <f t="shared" si="29"/>
        <v>1.5850000000000002</v>
      </c>
      <c r="P318" s="2">
        <f t="shared" si="30"/>
        <v>56.559746434231378</v>
      </c>
      <c r="Q318" s="2">
        <f t="shared" si="31"/>
        <v>0.22774999999999512</v>
      </c>
      <c r="R318" s="2">
        <f t="shared" si="32"/>
        <v>0.28281497622820317</v>
      </c>
      <c r="S318" s="2">
        <f t="shared" si="33"/>
        <v>-5.5064976228208051E-2</v>
      </c>
    </row>
    <row r="319" spans="2:19" x14ac:dyDescent="0.25">
      <c r="B319" s="1">
        <f t="shared" si="34"/>
        <v>313</v>
      </c>
      <c r="C319" s="1">
        <v>538</v>
      </c>
      <c r="D319" s="13">
        <v>45.5</v>
      </c>
      <c r="E319" s="1" t="s">
        <v>11</v>
      </c>
      <c r="F319" s="2">
        <v>1.8149999999999999</v>
      </c>
      <c r="G319" s="1" t="s">
        <v>12</v>
      </c>
      <c r="H319" s="1" t="s">
        <v>13</v>
      </c>
      <c r="I319" s="1" t="s">
        <v>14</v>
      </c>
      <c r="J319" s="14">
        <v>0.3712847222222222</v>
      </c>
      <c r="K319" s="15">
        <v>45537</v>
      </c>
      <c r="M319" s="2">
        <v>1.665</v>
      </c>
      <c r="O319" s="2">
        <f t="shared" si="29"/>
        <v>1.59</v>
      </c>
      <c r="P319" s="2">
        <f t="shared" si="30"/>
        <v>56.566244057052302</v>
      </c>
      <c r="Q319" s="2">
        <f t="shared" si="31"/>
        <v>0.22725000000000525</v>
      </c>
      <c r="R319" s="2">
        <f t="shared" si="32"/>
        <v>0.28284746434232033</v>
      </c>
      <c r="S319" s="2">
        <f t="shared" si="33"/>
        <v>-5.5597464342315078E-2</v>
      </c>
    </row>
    <row r="320" spans="2:19" x14ac:dyDescent="0.25">
      <c r="B320" s="1">
        <f t="shared" si="34"/>
        <v>314</v>
      </c>
      <c r="C320" s="1">
        <v>539</v>
      </c>
      <c r="D320" s="13">
        <v>45.4</v>
      </c>
      <c r="E320" s="1" t="s">
        <v>11</v>
      </c>
      <c r="F320" s="2">
        <v>1.82</v>
      </c>
      <c r="G320" s="1" t="s">
        <v>12</v>
      </c>
      <c r="H320" s="1" t="s">
        <v>13</v>
      </c>
      <c r="I320" s="1" t="s">
        <v>14</v>
      </c>
      <c r="J320" s="14">
        <v>0.3712847222222222</v>
      </c>
      <c r="K320" s="15">
        <v>45537</v>
      </c>
      <c r="M320" s="2">
        <v>1.6700000000000002</v>
      </c>
      <c r="O320" s="2">
        <f t="shared" si="29"/>
        <v>1.5950000000000002</v>
      </c>
      <c r="P320" s="2">
        <f t="shared" si="30"/>
        <v>56.572741679873218</v>
      </c>
      <c r="Q320" s="2">
        <f t="shared" si="31"/>
        <v>0.22674999999999515</v>
      </c>
      <c r="R320" s="2">
        <f t="shared" si="32"/>
        <v>0.28287995245641234</v>
      </c>
      <c r="S320" s="2">
        <f t="shared" si="33"/>
        <v>-5.6129952456417193E-2</v>
      </c>
    </row>
    <row r="321" spans="2:19" x14ac:dyDescent="0.25">
      <c r="B321" s="1">
        <f t="shared" si="34"/>
        <v>315</v>
      </c>
      <c r="C321" s="1">
        <v>540</v>
      </c>
      <c r="D321" s="13">
        <v>45.3</v>
      </c>
      <c r="E321" s="1" t="s">
        <v>11</v>
      </c>
      <c r="F321" s="2">
        <v>1.825</v>
      </c>
      <c r="G321" s="1" t="s">
        <v>12</v>
      </c>
      <c r="H321" s="1" t="s">
        <v>13</v>
      </c>
      <c r="I321" s="1" t="s">
        <v>14</v>
      </c>
      <c r="J321" s="14">
        <v>0.3712847222222222</v>
      </c>
      <c r="K321" s="15">
        <v>45537</v>
      </c>
      <c r="M321" s="2">
        <v>1.675</v>
      </c>
      <c r="O321" s="2">
        <f t="shared" si="29"/>
        <v>1.6</v>
      </c>
      <c r="P321" s="2">
        <f t="shared" si="30"/>
        <v>56.579239302694134</v>
      </c>
      <c r="Q321" s="2">
        <f t="shared" si="31"/>
        <v>0.22650000000000522</v>
      </c>
      <c r="R321" s="2">
        <f t="shared" si="32"/>
        <v>0.2829124405705295</v>
      </c>
      <c r="S321" s="2">
        <f t="shared" si="33"/>
        <v>-5.6412440570524275E-2</v>
      </c>
    </row>
    <row r="322" spans="2:19" x14ac:dyDescent="0.25">
      <c r="B322" s="1">
        <f t="shared" si="34"/>
        <v>316</v>
      </c>
      <c r="C322" s="1">
        <v>541</v>
      </c>
      <c r="D322" s="13">
        <v>45.3</v>
      </c>
      <c r="E322" s="1" t="s">
        <v>11</v>
      </c>
      <c r="F322" s="2">
        <v>1.83</v>
      </c>
      <c r="G322" s="1" t="s">
        <v>12</v>
      </c>
      <c r="H322" s="1" t="s">
        <v>13</v>
      </c>
      <c r="I322" s="1" t="s">
        <v>14</v>
      </c>
      <c r="J322" s="14">
        <v>0.3712847222222222</v>
      </c>
      <c r="K322" s="15">
        <v>45537</v>
      </c>
      <c r="M322" s="2">
        <v>1.6800000000000002</v>
      </c>
      <c r="O322" s="2">
        <f t="shared" si="29"/>
        <v>1.6050000000000002</v>
      </c>
      <c r="P322" s="2">
        <f t="shared" si="30"/>
        <v>56.585736925515057</v>
      </c>
      <c r="Q322" s="2">
        <f t="shared" si="31"/>
        <v>0.22699999999999515</v>
      </c>
      <c r="R322" s="2">
        <f t="shared" si="32"/>
        <v>0.28294492868462157</v>
      </c>
      <c r="S322" s="2">
        <f t="shared" si="33"/>
        <v>-5.5944928684626416E-2</v>
      </c>
    </row>
    <row r="323" spans="2:19" x14ac:dyDescent="0.25">
      <c r="B323" s="1">
        <f t="shared" si="34"/>
        <v>317</v>
      </c>
      <c r="C323" s="1">
        <v>544</v>
      </c>
      <c r="D323" s="13">
        <v>45.5</v>
      </c>
      <c r="E323" s="1" t="s">
        <v>11</v>
      </c>
      <c r="F323" s="2">
        <v>1.835</v>
      </c>
      <c r="G323" s="1" t="s">
        <v>12</v>
      </c>
      <c r="H323" s="1" t="s">
        <v>13</v>
      </c>
      <c r="I323" s="1" t="s">
        <v>14</v>
      </c>
      <c r="J323" s="14">
        <v>0.37129629629629629</v>
      </c>
      <c r="K323" s="15">
        <v>45537</v>
      </c>
      <c r="M323" s="2">
        <v>1.6850000000000001</v>
      </c>
      <c r="O323" s="2">
        <f t="shared" si="29"/>
        <v>1.61</v>
      </c>
      <c r="P323" s="2">
        <f t="shared" si="30"/>
        <v>56.592234548335973</v>
      </c>
      <c r="Q323" s="2">
        <f t="shared" si="31"/>
        <v>0.22775000000000525</v>
      </c>
      <c r="R323" s="2">
        <f t="shared" si="32"/>
        <v>0.28297741679873872</v>
      </c>
      <c r="S323" s="2">
        <f t="shared" si="33"/>
        <v>-5.522741679873347E-2</v>
      </c>
    </row>
    <row r="324" spans="2:19" x14ac:dyDescent="0.25">
      <c r="B324" s="1">
        <f t="shared" si="34"/>
        <v>318</v>
      </c>
      <c r="C324" s="1">
        <v>546</v>
      </c>
      <c r="D324" s="13">
        <v>45.6</v>
      </c>
      <c r="E324" s="1" t="s">
        <v>11</v>
      </c>
      <c r="F324" s="2">
        <v>1.84</v>
      </c>
      <c r="G324" s="1" t="s">
        <v>12</v>
      </c>
      <c r="H324" s="1" t="s">
        <v>13</v>
      </c>
      <c r="I324" s="1" t="s">
        <v>14</v>
      </c>
      <c r="J324" s="14">
        <v>0.37129629629629629</v>
      </c>
      <c r="K324" s="15">
        <v>45537</v>
      </c>
      <c r="M324" s="2">
        <v>1.6900000000000002</v>
      </c>
      <c r="O324" s="2">
        <f t="shared" si="29"/>
        <v>1.6150000000000002</v>
      </c>
      <c r="P324" s="2">
        <f t="shared" si="30"/>
        <v>56.598732171156897</v>
      </c>
      <c r="Q324" s="2">
        <f t="shared" si="31"/>
        <v>0.22799999999999515</v>
      </c>
      <c r="R324" s="2">
        <f t="shared" si="32"/>
        <v>0.28300990491283073</v>
      </c>
      <c r="S324" s="2">
        <f t="shared" si="33"/>
        <v>-5.5009904912835583E-2</v>
      </c>
    </row>
    <row r="325" spans="2:19" x14ac:dyDescent="0.25">
      <c r="B325" s="1">
        <f t="shared" si="34"/>
        <v>319</v>
      </c>
      <c r="C325" s="1">
        <v>547</v>
      </c>
      <c r="D325" s="13">
        <v>45.6</v>
      </c>
      <c r="E325" s="1" t="s">
        <v>11</v>
      </c>
      <c r="F325" s="2">
        <v>1.845</v>
      </c>
      <c r="G325" s="1" t="s">
        <v>12</v>
      </c>
      <c r="H325" s="1" t="s">
        <v>13</v>
      </c>
      <c r="I325" s="1" t="s">
        <v>14</v>
      </c>
      <c r="J325" s="14">
        <v>0.37129629629629629</v>
      </c>
      <c r="K325" s="15">
        <v>45537</v>
      </c>
      <c r="M325" s="2">
        <v>1.6950000000000001</v>
      </c>
      <c r="O325" s="2">
        <f t="shared" si="29"/>
        <v>1.62</v>
      </c>
      <c r="P325" s="2">
        <f t="shared" si="30"/>
        <v>56.605229793977813</v>
      </c>
      <c r="Q325" s="2">
        <f t="shared" si="31"/>
        <v>0.22825000000000531</v>
      </c>
      <c r="R325" s="2">
        <f t="shared" si="32"/>
        <v>0.28304239302694789</v>
      </c>
      <c r="S325" s="2">
        <f t="shared" si="33"/>
        <v>-5.4792393026942582E-2</v>
      </c>
    </row>
    <row r="326" spans="2:19" x14ac:dyDescent="0.25">
      <c r="B326" s="1">
        <f t="shared" si="34"/>
        <v>320</v>
      </c>
      <c r="C326" s="1">
        <v>549</v>
      </c>
      <c r="D326" s="13">
        <v>45.7</v>
      </c>
      <c r="E326" s="1" t="s">
        <v>11</v>
      </c>
      <c r="F326" s="2">
        <v>1.85</v>
      </c>
      <c r="G326" s="1" t="s">
        <v>12</v>
      </c>
      <c r="H326" s="1" t="s">
        <v>13</v>
      </c>
      <c r="I326" s="1" t="s">
        <v>14</v>
      </c>
      <c r="J326" s="14">
        <v>0.37129629629629629</v>
      </c>
      <c r="K326" s="15">
        <v>45537</v>
      </c>
      <c r="M326" s="2">
        <v>1.7000000000000002</v>
      </c>
      <c r="O326" s="2">
        <f t="shared" si="29"/>
        <v>1.6250000000000002</v>
      </c>
      <c r="P326" s="2">
        <f t="shared" si="30"/>
        <v>56.611727416798736</v>
      </c>
      <c r="Q326" s="2">
        <f t="shared" si="31"/>
        <v>0.22874999999999512</v>
      </c>
      <c r="R326" s="2">
        <f t="shared" si="32"/>
        <v>0.28307488114103996</v>
      </c>
      <c r="S326" s="2">
        <f t="shared" si="33"/>
        <v>-5.4324881141044834E-2</v>
      </c>
    </row>
    <row r="327" spans="2:19" x14ac:dyDescent="0.25">
      <c r="B327" s="1">
        <f t="shared" si="34"/>
        <v>321</v>
      </c>
      <c r="C327" s="1">
        <v>551</v>
      </c>
      <c r="D327" s="13">
        <v>45.8</v>
      </c>
      <c r="E327" s="1" t="s">
        <v>11</v>
      </c>
      <c r="F327" s="2">
        <v>1.855</v>
      </c>
      <c r="G327" s="1" t="s">
        <v>12</v>
      </c>
      <c r="H327" s="1" t="s">
        <v>13</v>
      </c>
      <c r="I327" s="1" t="s">
        <v>14</v>
      </c>
      <c r="J327" s="14">
        <v>0.37129629629629629</v>
      </c>
      <c r="K327" s="15">
        <v>45537</v>
      </c>
      <c r="M327" s="2">
        <v>1.7050000000000001</v>
      </c>
      <c r="O327" s="2">
        <f t="shared" si="29"/>
        <v>1.6300000000000001</v>
      </c>
      <c r="P327" s="2">
        <f t="shared" si="30"/>
        <v>56.618225039619652</v>
      </c>
      <c r="Q327" s="2">
        <f t="shared" si="31"/>
        <v>0.22925000000000526</v>
      </c>
      <c r="R327" s="2">
        <f t="shared" si="32"/>
        <v>0.28310736925515712</v>
      </c>
      <c r="S327" s="2">
        <f t="shared" si="33"/>
        <v>-5.385736925515186E-2</v>
      </c>
    </row>
    <row r="328" spans="2:19" x14ac:dyDescent="0.25">
      <c r="B328" s="1">
        <f t="shared" si="34"/>
        <v>322</v>
      </c>
      <c r="C328" s="1">
        <v>553</v>
      </c>
      <c r="D328" s="13">
        <v>45.9</v>
      </c>
      <c r="E328" s="1" t="s">
        <v>11</v>
      </c>
      <c r="F328" s="2">
        <v>1.86</v>
      </c>
      <c r="G328" s="1" t="s">
        <v>12</v>
      </c>
      <c r="H328" s="1" t="s">
        <v>13</v>
      </c>
      <c r="I328" s="1" t="s">
        <v>14</v>
      </c>
      <c r="J328" s="14">
        <v>0.37129629629629629</v>
      </c>
      <c r="K328" s="15">
        <v>45537</v>
      </c>
      <c r="M328" s="2">
        <v>1.7100000000000002</v>
      </c>
      <c r="O328" s="2">
        <f t="shared" ref="O328:O391" si="35">M328-$X$23</f>
        <v>1.6350000000000002</v>
      </c>
      <c r="P328" s="2">
        <f t="shared" ref="P328:P391" si="36">O328*$AC$21+$Y$23</f>
        <v>56.624722662440576</v>
      </c>
      <c r="Q328" s="2">
        <f t="shared" ref="Q328:Q391" si="37">((D328+D329)/2)*(M329-M328)</f>
        <v>0.2294999999999951</v>
      </c>
      <c r="R328" s="2">
        <f t="shared" ref="R328:R391" si="38">((P328+P329)/2)*(O329-O328)</f>
        <v>0.28313985736924913</v>
      </c>
      <c r="S328" s="2">
        <f t="shared" ref="S328:S391" si="39">Q328-R328</f>
        <v>-5.3639857369254029E-2</v>
      </c>
    </row>
    <row r="329" spans="2:19" x14ac:dyDescent="0.25">
      <c r="B329" s="1">
        <f t="shared" ref="B329:B392" si="40">B328+1</f>
        <v>323</v>
      </c>
      <c r="C329" s="1">
        <v>554</v>
      </c>
      <c r="D329" s="13">
        <v>45.9</v>
      </c>
      <c r="E329" s="1" t="s">
        <v>11</v>
      </c>
      <c r="F329" s="2">
        <v>1.865</v>
      </c>
      <c r="G329" s="1" t="s">
        <v>12</v>
      </c>
      <c r="H329" s="1" t="s">
        <v>13</v>
      </c>
      <c r="I329" s="1" t="s">
        <v>14</v>
      </c>
      <c r="J329" s="14">
        <v>0.37130787037037039</v>
      </c>
      <c r="K329" s="15">
        <v>45537</v>
      </c>
      <c r="M329" s="2">
        <v>1.7150000000000001</v>
      </c>
      <c r="O329" s="2">
        <f t="shared" si="35"/>
        <v>1.6400000000000001</v>
      </c>
      <c r="P329" s="2">
        <f t="shared" si="36"/>
        <v>56.631220285261492</v>
      </c>
      <c r="Q329" s="2">
        <f t="shared" si="37"/>
        <v>0.45900000000000041</v>
      </c>
      <c r="R329" s="2">
        <f t="shared" si="38"/>
        <v>0.56637717908082463</v>
      </c>
      <c r="S329" s="2">
        <f t="shared" si="39"/>
        <v>-0.10737717908082423</v>
      </c>
    </row>
    <row r="330" spans="2:19" x14ac:dyDescent="0.25">
      <c r="B330" s="1">
        <f t="shared" si="40"/>
        <v>324</v>
      </c>
      <c r="C330" s="1">
        <v>555</v>
      </c>
      <c r="D330" s="13">
        <v>45.9</v>
      </c>
      <c r="E330" s="1" t="s">
        <v>11</v>
      </c>
      <c r="F330" s="2">
        <v>1.875</v>
      </c>
      <c r="G330" s="1" t="s">
        <v>12</v>
      </c>
      <c r="H330" s="1" t="s">
        <v>13</v>
      </c>
      <c r="I330" s="1" t="s">
        <v>14</v>
      </c>
      <c r="J330" s="14">
        <v>0.37130787037037039</v>
      </c>
      <c r="K330" s="15">
        <v>45537</v>
      </c>
      <c r="M330" s="2">
        <v>1.7250000000000001</v>
      </c>
      <c r="O330" s="2">
        <f t="shared" si="35"/>
        <v>1.6500000000000001</v>
      </c>
      <c r="P330" s="2">
        <f t="shared" si="36"/>
        <v>56.644215530903331</v>
      </c>
      <c r="Q330" s="2">
        <f t="shared" si="37"/>
        <v>0.2294999999999951</v>
      </c>
      <c r="R330" s="2">
        <f t="shared" si="38"/>
        <v>0.28323732171156291</v>
      </c>
      <c r="S330" s="2">
        <f t="shared" si="39"/>
        <v>-5.3737321711567809E-2</v>
      </c>
    </row>
    <row r="331" spans="2:19" x14ac:dyDescent="0.25">
      <c r="B331" s="1">
        <f t="shared" si="40"/>
        <v>325</v>
      </c>
      <c r="C331" s="1">
        <v>556</v>
      </c>
      <c r="D331" s="13">
        <v>45.9</v>
      </c>
      <c r="E331" s="1" t="s">
        <v>11</v>
      </c>
      <c r="F331" s="2">
        <v>1.88</v>
      </c>
      <c r="G331" s="1" t="s">
        <v>12</v>
      </c>
      <c r="H331" s="1" t="s">
        <v>13</v>
      </c>
      <c r="I331" s="1" t="s">
        <v>14</v>
      </c>
      <c r="J331" s="14">
        <v>0.37130787037037039</v>
      </c>
      <c r="K331" s="15">
        <v>45537</v>
      </c>
      <c r="M331" s="2">
        <v>1.73</v>
      </c>
      <c r="O331" s="2">
        <f t="shared" si="35"/>
        <v>1.655</v>
      </c>
      <c r="P331" s="2">
        <f t="shared" si="36"/>
        <v>56.650713153724247</v>
      </c>
      <c r="Q331" s="2">
        <f t="shared" si="37"/>
        <v>0.22950000000000528</v>
      </c>
      <c r="R331" s="2">
        <f t="shared" si="38"/>
        <v>0.28326980982568012</v>
      </c>
      <c r="S331" s="2">
        <f t="shared" si="39"/>
        <v>-5.3769809825674836E-2</v>
      </c>
    </row>
    <row r="332" spans="2:19" x14ac:dyDescent="0.25">
      <c r="B332" s="1">
        <f t="shared" si="40"/>
        <v>326</v>
      </c>
      <c r="C332" s="1">
        <v>557</v>
      </c>
      <c r="D332" s="13">
        <v>45.9</v>
      </c>
      <c r="E332" s="1" t="s">
        <v>11</v>
      </c>
      <c r="F332" s="2">
        <v>1.885</v>
      </c>
      <c r="G332" s="1" t="s">
        <v>12</v>
      </c>
      <c r="H332" s="1" t="s">
        <v>13</v>
      </c>
      <c r="I332" s="1" t="s">
        <v>14</v>
      </c>
      <c r="J332" s="14">
        <v>0.37130787037037039</v>
      </c>
      <c r="K332" s="15">
        <v>45537</v>
      </c>
      <c r="M332" s="2">
        <v>1.7350000000000001</v>
      </c>
      <c r="O332" s="2">
        <f t="shared" si="35"/>
        <v>1.6600000000000001</v>
      </c>
      <c r="P332" s="2">
        <f t="shared" si="36"/>
        <v>56.65721077654517</v>
      </c>
      <c r="Q332" s="2">
        <f t="shared" si="37"/>
        <v>0.2294999999999951</v>
      </c>
      <c r="R332" s="2">
        <f t="shared" si="38"/>
        <v>0.28330229793977213</v>
      </c>
      <c r="S332" s="2">
        <f t="shared" si="39"/>
        <v>-5.3802297939777033E-2</v>
      </c>
    </row>
    <row r="333" spans="2:19" x14ac:dyDescent="0.25">
      <c r="B333" s="1">
        <f t="shared" si="40"/>
        <v>327</v>
      </c>
      <c r="C333" s="1">
        <v>558</v>
      </c>
      <c r="D333" s="13">
        <v>45.9</v>
      </c>
      <c r="E333" s="1" t="s">
        <v>11</v>
      </c>
      <c r="F333" s="2">
        <v>1.89</v>
      </c>
      <c r="G333" s="1" t="s">
        <v>12</v>
      </c>
      <c r="H333" s="1" t="s">
        <v>13</v>
      </c>
      <c r="I333" s="1" t="s">
        <v>14</v>
      </c>
      <c r="J333" s="14">
        <v>0.37130787037037039</v>
      </c>
      <c r="K333" s="15">
        <v>45537</v>
      </c>
      <c r="M333" s="2">
        <v>1.74</v>
      </c>
      <c r="O333" s="2">
        <f t="shared" si="35"/>
        <v>1.665</v>
      </c>
      <c r="P333" s="2">
        <f t="shared" si="36"/>
        <v>56.663708399366087</v>
      </c>
      <c r="Q333" s="2">
        <f t="shared" si="37"/>
        <v>0.22950000000000528</v>
      </c>
      <c r="R333" s="2">
        <f t="shared" si="38"/>
        <v>0.28333478605388929</v>
      </c>
      <c r="S333" s="2">
        <f t="shared" si="39"/>
        <v>-5.3834786053884004E-2</v>
      </c>
    </row>
    <row r="334" spans="2:19" x14ac:dyDescent="0.25">
      <c r="B334" s="1">
        <f t="shared" si="40"/>
        <v>328</v>
      </c>
      <c r="C334" s="1">
        <v>560</v>
      </c>
      <c r="D334" s="13">
        <v>45.9</v>
      </c>
      <c r="E334" s="1" t="s">
        <v>11</v>
      </c>
      <c r="F334" s="2">
        <v>1.895</v>
      </c>
      <c r="G334" s="1" t="s">
        <v>12</v>
      </c>
      <c r="H334" s="1" t="s">
        <v>13</v>
      </c>
      <c r="I334" s="1" t="s">
        <v>14</v>
      </c>
      <c r="J334" s="14">
        <v>0.37130787037037039</v>
      </c>
      <c r="K334" s="15">
        <v>45537</v>
      </c>
      <c r="M334" s="2">
        <v>1.7450000000000001</v>
      </c>
      <c r="O334" s="2">
        <f t="shared" si="35"/>
        <v>1.6700000000000002</v>
      </c>
      <c r="P334" s="2">
        <f t="shared" si="36"/>
        <v>56.670206022187003</v>
      </c>
      <c r="Q334" s="2">
        <f t="shared" si="37"/>
        <v>0.2294999999999951</v>
      </c>
      <c r="R334" s="2">
        <f t="shared" si="38"/>
        <v>0.28336727416798124</v>
      </c>
      <c r="S334" s="2">
        <f t="shared" si="39"/>
        <v>-5.3867274167986146E-2</v>
      </c>
    </row>
    <row r="335" spans="2:19" x14ac:dyDescent="0.25">
      <c r="B335" s="1">
        <f t="shared" si="40"/>
        <v>329</v>
      </c>
      <c r="C335" s="1">
        <v>562</v>
      </c>
      <c r="D335" s="13">
        <v>45.9</v>
      </c>
      <c r="E335" s="1" t="s">
        <v>11</v>
      </c>
      <c r="F335" s="2">
        <v>1.9</v>
      </c>
      <c r="G335" s="1" t="s">
        <v>12</v>
      </c>
      <c r="H335" s="1" t="s">
        <v>13</v>
      </c>
      <c r="I335" s="1" t="s">
        <v>14</v>
      </c>
      <c r="J335" s="14">
        <v>0.37130787037037039</v>
      </c>
      <c r="K335" s="15">
        <v>45537</v>
      </c>
      <c r="M335" s="2">
        <v>1.75</v>
      </c>
      <c r="O335" s="2">
        <f t="shared" si="35"/>
        <v>1.675</v>
      </c>
      <c r="P335" s="2">
        <f t="shared" si="36"/>
        <v>56.676703645007926</v>
      </c>
      <c r="Q335" s="2">
        <f t="shared" si="37"/>
        <v>0.23000000000000531</v>
      </c>
      <c r="R335" s="2">
        <f t="shared" si="38"/>
        <v>0.28339976228209846</v>
      </c>
      <c r="S335" s="2">
        <f t="shared" si="39"/>
        <v>-5.3399762282093144E-2</v>
      </c>
    </row>
    <row r="336" spans="2:19" x14ac:dyDescent="0.25">
      <c r="B336" s="1">
        <f t="shared" si="40"/>
        <v>330</v>
      </c>
      <c r="C336" s="1">
        <v>564</v>
      </c>
      <c r="D336" s="13">
        <v>46.1</v>
      </c>
      <c r="E336" s="1" t="s">
        <v>11</v>
      </c>
      <c r="F336" s="2">
        <v>1.905</v>
      </c>
      <c r="G336" s="1" t="s">
        <v>12</v>
      </c>
      <c r="H336" s="1" t="s">
        <v>13</v>
      </c>
      <c r="I336" s="1" t="s">
        <v>14</v>
      </c>
      <c r="J336" s="14">
        <v>0.37131944444444442</v>
      </c>
      <c r="K336" s="15">
        <v>45537</v>
      </c>
      <c r="M336" s="2">
        <v>1.7550000000000001</v>
      </c>
      <c r="O336" s="2">
        <f t="shared" si="35"/>
        <v>1.6800000000000002</v>
      </c>
      <c r="P336" s="2">
        <f t="shared" si="36"/>
        <v>56.683201267828842</v>
      </c>
      <c r="Q336" s="2">
        <f t="shared" si="37"/>
        <v>0.2304999999999951</v>
      </c>
      <c r="R336" s="2">
        <f t="shared" si="38"/>
        <v>0.28343225039619052</v>
      </c>
      <c r="S336" s="2">
        <f t="shared" si="39"/>
        <v>-5.2932250396195424E-2</v>
      </c>
    </row>
    <row r="337" spans="2:19" x14ac:dyDescent="0.25">
      <c r="B337" s="1">
        <f t="shared" si="40"/>
        <v>331</v>
      </c>
      <c r="C337" s="1">
        <v>566</v>
      </c>
      <c r="D337" s="13">
        <v>46.1</v>
      </c>
      <c r="E337" s="1" t="s">
        <v>11</v>
      </c>
      <c r="F337" s="2">
        <v>1.91</v>
      </c>
      <c r="G337" s="1" t="s">
        <v>12</v>
      </c>
      <c r="H337" s="1" t="s">
        <v>13</v>
      </c>
      <c r="I337" s="1" t="s">
        <v>14</v>
      </c>
      <c r="J337" s="14">
        <v>0.37131944444444442</v>
      </c>
      <c r="K337" s="15">
        <v>45537</v>
      </c>
      <c r="M337" s="2">
        <v>1.76</v>
      </c>
      <c r="O337" s="2">
        <f t="shared" si="35"/>
        <v>1.6850000000000001</v>
      </c>
      <c r="P337" s="2">
        <f t="shared" si="36"/>
        <v>56.689698890649765</v>
      </c>
      <c r="Q337" s="2">
        <f t="shared" si="37"/>
        <v>0.23075000000000537</v>
      </c>
      <c r="R337" s="2">
        <f t="shared" si="38"/>
        <v>0.28346473851030768</v>
      </c>
      <c r="S337" s="2">
        <f t="shared" si="39"/>
        <v>-5.2714738510302311E-2</v>
      </c>
    </row>
    <row r="338" spans="2:19" x14ac:dyDescent="0.25">
      <c r="B338" s="1">
        <f t="shared" si="40"/>
        <v>332</v>
      </c>
      <c r="C338" s="1">
        <v>568</v>
      </c>
      <c r="D338" s="13">
        <v>46.2</v>
      </c>
      <c r="E338" s="1" t="s">
        <v>11</v>
      </c>
      <c r="F338" s="2">
        <v>1.915</v>
      </c>
      <c r="G338" s="1" t="s">
        <v>12</v>
      </c>
      <c r="H338" s="1" t="s">
        <v>13</v>
      </c>
      <c r="I338" s="1" t="s">
        <v>14</v>
      </c>
      <c r="J338" s="14">
        <v>0.37131944444444442</v>
      </c>
      <c r="K338" s="15">
        <v>45537</v>
      </c>
      <c r="M338" s="2">
        <v>1.7650000000000001</v>
      </c>
      <c r="O338" s="2">
        <f t="shared" si="35"/>
        <v>1.6900000000000002</v>
      </c>
      <c r="P338" s="2">
        <f t="shared" si="36"/>
        <v>56.696196513470682</v>
      </c>
      <c r="Q338" s="2">
        <f t="shared" si="37"/>
        <v>0.2307499999999951</v>
      </c>
      <c r="R338" s="2">
        <f t="shared" si="38"/>
        <v>0.28349722662439963</v>
      </c>
      <c r="S338" s="2">
        <f t="shared" si="39"/>
        <v>-5.2747226624404536E-2</v>
      </c>
    </row>
    <row r="339" spans="2:19" x14ac:dyDescent="0.25">
      <c r="B339" s="1">
        <f t="shared" si="40"/>
        <v>333</v>
      </c>
      <c r="C339" s="1">
        <v>570</v>
      </c>
      <c r="D339" s="13">
        <v>46.1</v>
      </c>
      <c r="E339" s="1" t="s">
        <v>11</v>
      </c>
      <c r="F339" s="2">
        <v>1.92</v>
      </c>
      <c r="G339" s="1" t="s">
        <v>12</v>
      </c>
      <c r="H339" s="1" t="s">
        <v>13</v>
      </c>
      <c r="I339" s="1" t="s">
        <v>14</v>
      </c>
      <c r="J339" s="14">
        <v>0.37131944444444442</v>
      </c>
      <c r="K339" s="15">
        <v>45537</v>
      </c>
      <c r="M339" s="2">
        <v>1.77</v>
      </c>
      <c r="O339" s="2">
        <f t="shared" si="35"/>
        <v>1.6950000000000001</v>
      </c>
      <c r="P339" s="2">
        <f t="shared" si="36"/>
        <v>56.702694136291605</v>
      </c>
      <c r="Q339" s="2">
        <f t="shared" si="37"/>
        <v>0.23100000000000534</v>
      </c>
      <c r="R339" s="2">
        <f t="shared" si="38"/>
        <v>0.28352971473851685</v>
      </c>
      <c r="S339" s="2">
        <f t="shared" si="39"/>
        <v>-5.2529714738511507E-2</v>
      </c>
    </row>
    <row r="340" spans="2:19" x14ac:dyDescent="0.25">
      <c r="B340" s="1">
        <f t="shared" si="40"/>
        <v>334</v>
      </c>
      <c r="C340" s="1">
        <v>572</v>
      </c>
      <c r="D340" s="13">
        <v>46.3</v>
      </c>
      <c r="E340" s="1" t="s">
        <v>11</v>
      </c>
      <c r="F340" s="2">
        <v>1.925</v>
      </c>
      <c r="G340" s="1" t="s">
        <v>12</v>
      </c>
      <c r="H340" s="1" t="s">
        <v>13</v>
      </c>
      <c r="I340" s="1" t="s">
        <v>14</v>
      </c>
      <c r="J340" s="14">
        <v>0.37131944444444442</v>
      </c>
      <c r="K340" s="15">
        <v>45537</v>
      </c>
      <c r="M340" s="2">
        <v>1.7750000000000001</v>
      </c>
      <c r="O340" s="2">
        <f t="shared" si="35"/>
        <v>1.7000000000000002</v>
      </c>
      <c r="P340" s="2">
        <f t="shared" si="36"/>
        <v>56.709191759112521</v>
      </c>
      <c r="Q340" s="2">
        <f t="shared" si="37"/>
        <v>0.23149999999999504</v>
      </c>
      <c r="R340" s="2">
        <f t="shared" si="38"/>
        <v>0.28356220285260886</v>
      </c>
      <c r="S340" s="2">
        <f t="shared" si="39"/>
        <v>-5.2062202852613815E-2</v>
      </c>
    </row>
    <row r="341" spans="2:19" x14ac:dyDescent="0.25">
      <c r="B341" s="1">
        <f t="shared" si="40"/>
        <v>335</v>
      </c>
      <c r="C341" s="1">
        <v>573</v>
      </c>
      <c r="D341" s="13">
        <v>46.3</v>
      </c>
      <c r="E341" s="1" t="s">
        <v>11</v>
      </c>
      <c r="F341" s="2">
        <v>1.93</v>
      </c>
      <c r="G341" s="1" t="s">
        <v>12</v>
      </c>
      <c r="H341" s="1" t="s">
        <v>13</v>
      </c>
      <c r="I341" s="1" t="s">
        <v>14</v>
      </c>
      <c r="J341" s="14">
        <v>0.37131944444444442</v>
      </c>
      <c r="K341" s="15">
        <v>45537</v>
      </c>
      <c r="M341" s="2">
        <v>1.78</v>
      </c>
      <c r="O341" s="2">
        <f t="shared" si="35"/>
        <v>1.7050000000000001</v>
      </c>
      <c r="P341" s="2">
        <f t="shared" si="36"/>
        <v>56.715689381933437</v>
      </c>
      <c r="Q341" s="2">
        <f t="shared" si="37"/>
        <v>0.23075000000000531</v>
      </c>
      <c r="R341" s="2">
        <f t="shared" si="38"/>
        <v>0.28359469096672607</v>
      </c>
      <c r="S341" s="2">
        <f t="shared" si="39"/>
        <v>-5.2844690966720759E-2</v>
      </c>
    </row>
    <row r="342" spans="2:19" x14ac:dyDescent="0.25">
      <c r="B342" s="1">
        <f t="shared" si="40"/>
        <v>336</v>
      </c>
      <c r="C342" s="1">
        <v>574</v>
      </c>
      <c r="D342" s="13">
        <v>46</v>
      </c>
      <c r="E342" s="1" t="s">
        <v>11</v>
      </c>
      <c r="F342" s="2">
        <v>1.9350000000000001</v>
      </c>
      <c r="G342" s="1" t="s">
        <v>12</v>
      </c>
      <c r="H342" s="1" t="s">
        <v>13</v>
      </c>
      <c r="I342" s="1" t="s">
        <v>14</v>
      </c>
      <c r="J342" s="14">
        <v>0.37133101851851852</v>
      </c>
      <c r="K342" s="15">
        <v>45537</v>
      </c>
      <c r="M342" s="2">
        <v>1.7850000000000001</v>
      </c>
      <c r="O342" s="2">
        <f t="shared" si="35"/>
        <v>1.7100000000000002</v>
      </c>
      <c r="P342" s="2">
        <f t="shared" si="36"/>
        <v>56.72218700475436</v>
      </c>
      <c r="Q342" s="2">
        <f t="shared" si="37"/>
        <v>0.2304999999999951</v>
      </c>
      <c r="R342" s="2">
        <f t="shared" si="38"/>
        <v>0.28362717908081803</v>
      </c>
      <c r="S342" s="2">
        <f t="shared" si="39"/>
        <v>-5.3127179080822928E-2</v>
      </c>
    </row>
    <row r="343" spans="2:19" x14ac:dyDescent="0.25">
      <c r="B343" s="1">
        <f t="shared" si="40"/>
        <v>337</v>
      </c>
      <c r="C343" s="1">
        <v>576</v>
      </c>
      <c r="D343" s="13">
        <v>46.2</v>
      </c>
      <c r="E343" s="1" t="s">
        <v>11</v>
      </c>
      <c r="F343" s="2">
        <v>1.94</v>
      </c>
      <c r="G343" s="1" t="s">
        <v>12</v>
      </c>
      <c r="H343" s="1" t="s">
        <v>13</v>
      </c>
      <c r="I343" s="1" t="s">
        <v>14</v>
      </c>
      <c r="J343" s="14">
        <v>0.37133101851851852</v>
      </c>
      <c r="K343" s="15">
        <v>45537</v>
      </c>
      <c r="M343" s="2">
        <v>1.79</v>
      </c>
      <c r="O343" s="2">
        <f t="shared" si="35"/>
        <v>1.7150000000000001</v>
      </c>
      <c r="P343" s="2">
        <f t="shared" si="36"/>
        <v>56.728684627575277</v>
      </c>
      <c r="Q343" s="2">
        <f t="shared" si="37"/>
        <v>0.23100000000000534</v>
      </c>
      <c r="R343" s="2">
        <f t="shared" si="38"/>
        <v>0.28365966719493524</v>
      </c>
      <c r="S343" s="2">
        <f t="shared" si="39"/>
        <v>-5.2659667194929899E-2</v>
      </c>
    </row>
    <row r="344" spans="2:19" x14ac:dyDescent="0.25">
      <c r="B344" s="1">
        <f t="shared" si="40"/>
        <v>338</v>
      </c>
      <c r="C344" s="1">
        <v>577</v>
      </c>
      <c r="D344" s="13">
        <v>46.2</v>
      </c>
      <c r="E344" s="1" t="s">
        <v>11</v>
      </c>
      <c r="F344" s="2">
        <v>1.9450000000000001</v>
      </c>
      <c r="G344" s="1" t="s">
        <v>12</v>
      </c>
      <c r="H344" s="1" t="s">
        <v>13</v>
      </c>
      <c r="I344" s="1" t="s">
        <v>14</v>
      </c>
      <c r="J344" s="14">
        <v>0.37133101851851852</v>
      </c>
      <c r="K344" s="15">
        <v>45537</v>
      </c>
      <c r="M344" s="2">
        <v>1.7950000000000002</v>
      </c>
      <c r="O344" s="2">
        <f t="shared" si="35"/>
        <v>1.7200000000000002</v>
      </c>
      <c r="P344" s="2">
        <f t="shared" si="36"/>
        <v>56.7351822503962</v>
      </c>
      <c r="Q344" s="2">
        <f t="shared" si="37"/>
        <v>0.2307499999999951</v>
      </c>
      <c r="R344" s="2">
        <f t="shared" si="38"/>
        <v>0.28369215530902725</v>
      </c>
      <c r="S344" s="2">
        <f t="shared" si="39"/>
        <v>-5.2942155309032152E-2</v>
      </c>
    </row>
    <row r="345" spans="2:19" x14ac:dyDescent="0.25">
      <c r="B345" s="1">
        <f t="shared" si="40"/>
        <v>339</v>
      </c>
      <c r="C345" s="1">
        <v>578</v>
      </c>
      <c r="D345" s="13">
        <v>46.1</v>
      </c>
      <c r="E345" s="1" t="s">
        <v>11</v>
      </c>
      <c r="F345" s="2">
        <v>1.95</v>
      </c>
      <c r="G345" s="1" t="s">
        <v>12</v>
      </c>
      <c r="H345" s="1" t="s">
        <v>13</v>
      </c>
      <c r="I345" s="1" t="s">
        <v>14</v>
      </c>
      <c r="J345" s="14">
        <v>0.37133101851851852</v>
      </c>
      <c r="K345" s="15">
        <v>45537</v>
      </c>
      <c r="M345" s="2">
        <v>1.8</v>
      </c>
      <c r="O345" s="2">
        <f t="shared" si="35"/>
        <v>1.7250000000000001</v>
      </c>
      <c r="P345" s="2">
        <f t="shared" si="36"/>
        <v>56.741679873217116</v>
      </c>
      <c r="Q345" s="2">
        <f t="shared" si="37"/>
        <v>0.23050000000000534</v>
      </c>
      <c r="R345" s="2">
        <f t="shared" si="38"/>
        <v>0.28372464342314446</v>
      </c>
      <c r="S345" s="2">
        <f t="shared" si="39"/>
        <v>-5.3224643423139123E-2</v>
      </c>
    </row>
    <row r="346" spans="2:19" x14ac:dyDescent="0.25">
      <c r="B346" s="1">
        <f t="shared" si="40"/>
        <v>340</v>
      </c>
      <c r="C346" s="1">
        <v>579</v>
      </c>
      <c r="D346" s="13">
        <v>46.1</v>
      </c>
      <c r="E346" s="1" t="s">
        <v>11</v>
      </c>
      <c r="F346" s="2">
        <v>1.9550000000000001</v>
      </c>
      <c r="G346" s="1" t="s">
        <v>12</v>
      </c>
      <c r="H346" s="1" t="s">
        <v>13</v>
      </c>
      <c r="I346" s="1" t="s">
        <v>14</v>
      </c>
      <c r="J346" s="14">
        <v>0.37133101851851852</v>
      </c>
      <c r="K346" s="15">
        <v>45537</v>
      </c>
      <c r="M346" s="2">
        <v>1.8050000000000002</v>
      </c>
      <c r="O346" s="2">
        <f t="shared" si="35"/>
        <v>1.7300000000000002</v>
      </c>
      <c r="P346" s="2">
        <f t="shared" si="36"/>
        <v>56.748177496038039</v>
      </c>
      <c r="Q346" s="2">
        <f t="shared" si="37"/>
        <v>0.2304999999999951</v>
      </c>
      <c r="R346" s="2">
        <f t="shared" si="38"/>
        <v>0.28375713153723642</v>
      </c>
      <c r="S346" s="2">
        <f t="shared" si="39"/>
        <v>-5.325713153724132E-2</v>
      </c>
    </row>
    <row r="347" spans="2:19" x14ac:dyDescent="0.25">
      <c r="B347" s="1">
        <f t="shared" si="40"/>
        <v>341</v>
      </c>
      <c r="C347" s="1">
        <v>580</v>
      </c>
      <c r="D347" s="13">
        <v>46.1</v>
      </c>
      <c r="E347" s="1" t="s">
        <v>11</v>
      </c>
      <c r="F347" s="2">
        <v>1.96</v>
      </c>
      <c r="G347" s="1" t="s">
        <v>12</v>
      </c>
      <c r="H347" s="1" t="s">
        <v>13</v>
      </c>
      <c r="I347" s="1" t="s">
        <v>14</v>
      </c>
      <c r="J347" s="14">
        <v>0.37133101851851852</v>
      </c>
      <c r="K347" s="15">
        <v>45537</v>
      </c>
      <c r="M347" s="2">
        <v>1.81</v>
      </c>
      <c r="O347" s="2">
        <f t="shared" si="35"/>
        <v>1.7350000000000001</v>
      </c>
      <c r="P347" s="2">
        <f t="shared" si="36"/>
        <v>56.754675118858955</v>
      </c>
      <c r="Q347" s="2">
        <f t="shared" si="37"/>
        <v>0.46100000000000041</v>
      </c>
      <c r="R347" s="2">
        <f t="shared" si="38"/>
        <v>0.56761172741679922</v>
      </c>
      <c r="S347" s="2">
        <f t="shared" si="39"/>
        <v>-0.10661172741679881</v>
      </c>
    </row>
    <row r="348" spans="2:19" x14ac:dyDescent="0.25">
      <c r="B348" s="1">
        <f t="shared" si="40"/>
        <v>342</v>
      </c>
      <c r="C348" s="1">
        <v>581</v>
      </c>
      <c r="D348" s="13">
        <v>46.1</v>
      </c>
      <c r="E348" s="1" t="s">
        <v>11</v>
      </c>
      <c r="F348" s="2">
        <v>1.97</v>
      </c>
      <c r="G348" s="1" t="s">
        <v>12</v>
      </c>
      <c r="H348" s="1" t="s">
        <v>13</v>
      </c>
      <c r="I348" s="1" t="s">
        <v>14</v>
      </c>
      <c r="J348" s="14">
        <v>0.37133101851851852</v>
      </c>
      <c r="K348" s="15">
        <v>45537</v>
      </c>
      <c r="M348" s="2">
        <v>1.82</v>
      </c>
      <c r="O348" s="2">
        <f t="shared" si="35"/>
        <v>1.7450000000000001</v>
      </c>
      <c r="P348" s="2">
        <f t="shared" si="36"/>
        <v>56.767670364500795</v>
      </c>
      <c r="Q348" s="2">
        <f t="shared" si="37"/>
        <v>0.23025000000000531</v>
      </c>
      <c r="R348" s="2">
        <f t="shared" si="38"/>
        <v>0.2838545958795628</v>
      </c>
      <c r="S348" s="2">
        <f t="shared" si="39"/>
        <v>-5.3604595879557487E-2</v>
      </c>
    </row>
    <row r="349" spans="2:19" x14ac:dyDescent="0.25">
      <c r="B349" s="1">
        <f t="shared" si="40"/>
        <v>343</v>
      </c>
      <c r="C349" s="1">
        <v>582</v>
      </c>
      <c r="D349" s="13">
        <v>46</v>
      </c>
      <c r="E349" s="1" t="s">
        <v>11</v>
      </c>
      <c r="F349" s="2">
        <v>1.9750000000000001</v>
      </c>
      <c r="G349" s="1" t="s">
        <v>12</v>
      </c>
      <c r="H349" s="1" t="s">
        <v>13</v>
      </c>
      <c r="I349" s="1" t="s">
        <v>14</v>
      </c>
      <c r="J349" s="14">
        <v>0.37133101851851852</v>
      </c>
      <c r="K349" s="15">
        <v>45537</v>
      </c>
      <c r="M349" s="2">
        <v>1.8250000000000002</v>
      </c>
      <c r="O349" s="2">
        <f t="shared" si="35"/>
        <v>1.7500000000000002</v>
      </c>
      <c r="P349" s="2">
        <f t="shared" si="36"/>
        <v>56.774167987321711</v>
      </c>
      <c r="Q349" s="2">
        <f t="shared" si="37"/>
        <v>0.23024999999999507</v>
      </c>
      <c r="R349" s="2">
        <f t="shared" si="38"/>
        <v>0.28388708399365481</v>
      </c>
      <c r="S349" s="2">
        <f t="shared" si="39"/>
        <v>-5.363708399365974E-2</v>
      </c>
    </row>
    <row r="350" spans="2:19" x14ac:dyDescent="0.25">
      <c r="B350" s="1">
        <f t="shared" si="40"/>
        <v>344</v>
      </c>
      <c r="C350" s="1">
        <v>583</v>
      </c>
      <c r="D350" s="13">
        <v>46.1</v>
      </c>
      <c r="E350" s="1" t="s">
        <v>11</v>
      </c>
      <c r="F350" s="2">
        <v>1.98</v>
      </c>
      <c r="G350" s="1" t="s">
        <v>12</v>
      </c>
      <c r="H350" s="1" t="s">
        <v>13</v>
      </c>
      <c r="I350" s="1" t="s">
        <v>14</v>
      </c>
      <c r="J350" s="14">
        <v>0.37133101851851852</v>
      </c>
      <c r="K350" s="15">
        <v>45537</v>
      </c>
      <c r="M350" s="2">
        <v>1.83</v>
      </c>
      <c r="O350" s="2">
        <f t="shared" si="35"/>
        <v>1.7550000000000001</v>
      </c>
      <c r="P350" s="2">
        <f t="shared" si="36"/>
        <v>56.780665610142634</v>
      </c>
      <c r="Q350" s="2">
        <f t="shared" si="37"/>
        <v>0.46100000000000041</v>
      </c>
      <c r="R350" s="2">
        <f t="shared" si="38"/>
        <v>0.567871632329636</v>
      </c>
      <c r="S350" s="2">
        <f t="shared" si="39"/>
        <v>-0.10687163232963559</v>
      </c>
    </row>
    <row r="351" spans="2:19" x14ac:dyDescent="0.25">
      <c r="B351" s="1">
        <f t="shared" si="40"/>
        <v>345</v>
      </c>
      <c r="C351" s="1">
        <v>584</v>
      </c>
      <c r="D351" s="13">
        <v>46.1</v>
      </c>
      <c r="E351" s="1" t="s">
        <v>11</v>
      </c>
      <c r="F351" s="2">
        <v>1.99</v>
      </c>
      <c r="G351" s="1" t="s">
        <v>12</v>
      </c>
      <c r="H351" s="1" t="s">
        <v>13</v>
      </c>
      <c r="I351" s="1" t="s">
        <v>14</v>
      </c>
      <c r="J351" s="14">
        <v>0.37134259259259261</v>
      </c>
      <c r="K351" s="15">
        <v>45537</v>
      </c>
      <c r="M351" s="2">
        <v>1.84</v>
      </c>
      <c r="O351" s="2">
        <f t="shared" si="35"/>
        <v>1.7650000000000001</v>
      </c>
      <c r="P351" s="2">
        <f t="shared" si="36"/>
        <v>56.793660855784474</v>
      </c>
      <c r="Q351" s="2">
        <f t="shared" si="37"/>
        <v>0.23075000000000537</v>
      </c>
      <c r="R351" s="2">
        <f t="shared" si="38"/>
        <v>0.28398454833598119</v>
      </c>
      <c r="S351" s="2">
        <f t="shared" si="39"/>
        <v>-5.3234548335975823E-2</v>
      </c>
    </row>
    <row r="352" spans="2:19" x14ac:dyDescent="0.25">
      <c r="B352" s="1">
        <f t="shared" si="40"/>
        <v>346</v>
      </c>
      <c r="C352" s="1">
        <v>586</v>
      </c>
      <c r="D352" s="13">
        <v>46.2</v>
      </c>
      <c r="E352" s="1" t="s">
        <v>11</v>
      </c>
      <c r="F352" s="2">
        <v>1.9950000000000001</v>
      </c>
      <c r="G352" s="1" t="s">
        <v>12</v>
      </c>
      <c r="H352" s="1" t="s">
        <v>13</v>
      </c>
      <c r="I352" s="1" t="s">
        <v>14</v>
      </c>
      <c r="J352" s="14">
        <v>0.37134259259259261</v>
      </c>
      <c r="K352" s="15">
        <v>45537</v>
      </c>
      <c r="M352" s="2">
        <v>1.8450000000000002</v>
      </c>
      <c r="O352" s="2">
        <f t="shared" si="35"/>
        <v>1.7700000000000002</v>
      </c>
      <c r="P352" s="2">
        <f t="shared" si="36"/>
        <v>56.80015847860539</v>
      </c>
      <c r="Q352" s="2">
        <f t="shared" si="37"/>
        <v>0.2309999999999951</v>
      </c>
      <c r="R352" s="2">
        <f t="shared" si="38"/>
        <v>0.2840170364500732</v>
      </c>
      <c r="S352" s="2">
        <f t="shared" si="39"/>
        <v>-5.3017036450078103E-2</v>
      </c>
    </row>
    <row r="353" spans="2:19" x14ac:dyDescent="0.25">
      <c r="B353" s="1">
        <f t="shared" si="40"/>
        <v>347</v>
      </c>
      <c r="C353" s="1">
        <v>587</v>
      </c>
      <c r="D353" s="13">
        <v>46.2</v>
      </c>
      <c r="E353" s="1" t="s">
        <v>11</v>
      </c>
      <c r="F353" s="2">
        <v>2</v>
      </c>
      <c r="G353" s="1" t="s">
        <v>12</v>
      </c>
      <c r="H353" s="1" t="s">
        <v>13</v>
      </c>
      <c r="I353" s="1" t="s">
        <v>14</v>
      </c>
      <c r="J353" s="14">
        <v>0.37134259259259261</v>
      </c>
      <c r="K353" s="15">
        <v>45537</v>
      </c>
      <c r="M353" s="2">
        <v>1.85</v>
      </c>
      <c r="O353" s="2">
        <f t="shared" si="35"/>
        <v>1.7750000000000001</v>
      </c>
      <c r="P353" s="2">
        <f t="shared" si="36"/>
        <v>56.806656101426306</v>
      </c>
      <c r="Q353" s="2">
        <f t="shared" si="37"/>
        <v>0.23124999999999507</v>
      </c>
      <c r="R353" s="2">
        <f t="shared" si="38"/>
        <v>0.28404952456417781</v>
      </c>
      <c r="S353" s="2">
        <f t="shared" si="39"/>
        <v>-5.2799524564182743E-2</v>
      </c>
    </row>
    <row r="354" spans="2:19" x14ac:dyDescent="0.25">
      <c r="B354" s="1">
        <f t="shared" si="40"/>
        <v>348</v>
      </c>
      <c r="C354" s="1">
        <v>588</v>
      </c>
      <c r="D354" s="13">
        <v>46.3</v>
      </c>
      <c r="E354" s="1" t="s">
        <v>11</v>
      </c>
      <c r="F354" s="2">
        <v>2.0049999999999999</v>
      </c>
      <c r="G354" s="1" t="s">
        <v>12</v>
      </c>
      <c r="H354" s="1" t="s">
        <v>13</v>
      </c>
      <c r="I354" s="1" t="s">
        <v>14</v>
      </c>
      <c r="J354" s="14">
        <v>0.37134259259259261</v>
      </c>
      <c r="K354" s="15">
        <v>45537</v>
      </c>
      <c r="M354" s="2">
        <v>1.855</v>
      </c>
      <c r="O354" s="2">
        <f t="shared" si="35"/>
        <v>1.78</v>
      </c>
      <c r="P354" s="2">
        <f t="shared" si="36"/>
        <v>56.813153724247229</v>
      </c>
      <c r="Q354" s="2">
        <f t="shared" si="37"/>
        <v>0.23174999999999504</v>
      </c>
      <c r="R354" s="2">
        <f t="shared" si="38"/>
        <v>0.28408201267828237</v>
      </c>
      <c r="S354" s="2">
        <f t="shared" si="39"/>
        <v>-5.2332012678287326E-2</v>
      </c>
    </row>
    <row r="355" spans="2:19" x14ac:dyDescent="0.25">
      <c r="B355" s="1">
        <f t="shared" si="40"/>
        <v>349</v>
      </c>
      <c r="C355" s="1">
        <v>589</v>
      </c>
      <c r="D355" s="13">
        <v>46.4</v>
      </c>
      <c r="E355" s="1" t="s">
        <v>11</v>
      </c>
      <c r="F355" s="2">
        <v>2.0099999999999998</v>
      </c>
      <c r="G355" s="1" t="s">
        <v>12</v>
      </c>
      <c r="H355" s="1" t="s">
        <v>13</v>
      </c>
      <c r="I355" s="1" t="s">
        <v>14</v>
      </c>
      <c r="J355" s="14">
        <v>0.37134259259259261</v>
      </c>
      <c r="K355" s="15">
        <v>45537</v>
      </c>
      <c r="M355" s="2">
        <v>1.8599999999999999</v>
      </c>
      <c r="O355" s="2">
        <f t="shared" si="35"/>
        <v>1.7849999999999999</v>
      </c>
      <c r="P355" s="2">
        <f t="shared" si="36"/>
        <v>56.819651347068145</v>
      </c>
      <c r="Q355" s="2">
        <f t="shared" si="37"/>
        <v>0.23225000000001569</v>
      </c>
      <c r="R355" s="2">
        <f t="shared" si="38"/>
        <v>0.28411450079241218</v>
      </c>
      <c r="S355" s="2">
        <f t="shared" si="39"/>
        <v>-5.186450079239649E-2</v>
      </c>
    </row>
    <row r="356" spans="2:19" x14ac:dyDescent="0.25">
      <c r="B356" s="1">
        <f t="shared" si="40"/>
        <v>350</v>
      </c>
      <c r="C356" s="1">
        <v>590</v>
      </c>
      <c r="D356" s="13">
        <v>46.5</v>
      </c>
      <c r="E356" s="1" t="s">
        <v>11</v>
      </c>
      <c r="F356" s="2">
        <v>2.0150000000000001</v>
      </c>
      <c r="G356" s="1" t="s">
        <v>12</v>
      </c>
      <c r="H356" s="1" t="s">
        <v>13</v>
      </c>
      <c r="I356" s="1" t="s">
        <v>14</v>
      </c>
      <c r="J356" s="14">
        <v>0.37134259259259261</v>
      </c>
      <c r="K356" s="15">
        <v>45537</v>
      </c>
      <c r="M356" s="2">
        <v>1.8650000000000002</v>
      </c>
      <c r="O356" s="2">
        <f t="shared" si="35"/>
        <v>1.7900000000000003</v>
      </c>
      <c r="P356" s="2">
        <f t="shared" si="36"/>
        <v>56.826148969889068</v>
      </c>
      <c r="Q356" s="2">
        <f t="shared" si="37"/>
        <v>0.23249999999999504</v>
      </c>
      <c r="R356" s="2">
        <f t="shared" si="38"/>
        <v>0.28414698890649159</v>
      </c>
      <c r="S356" s="2">
        <f t="shared" si="39"/>
        <v>-5.1646988906496549E-2</v>
      </c>
    </row>
    <row r="357" spans="2:19" x14ac:dyDescent="0.25">
      <c r="B357" s="1">
        <f t="shared" si="40"/>
        <v>351</v>
      </c>
      <c r="C357" s="1">
        <v>591</v>
      </c>
      <c r="D357" s="13">
        <v>46.5</v>
      </c>
      <c r="E357" s="1" t="s">
        <v>11</v>
      </c>
      <c r="F357" s="2">
        <v>2.02</v>
      </c>
      <c r="G357" s="1" t="s">
        <v>12</v>
      </c>
      <c r="H357" s="1" t="s">
        <v>13</v>
      </c>
      <c r="I357" s="1" t="s">
        <v>14</v>
      </c>
      <c r="J357" s="14">
        <v>0.37134259259259261</v>
      </c>
      <c r="K357" s="15">
        <v>45537</v>
      </c>
      <c r="M357" s="2">
        <v>1.87</v>
      </c>
      <c r="O357" s="2">
        <f t="shared" si="35"/>
        <v>1.7950000000000002</v>
      </c>
      <c r="P357" s="2">
        <f t="shared" si="36"/>
        <v>56.832646592709985</v>
      </c>
      <c r="Q357" s="2">
        <f t="shared" si="37"/>
        <v>0.23224999999999507</v>
      </c>
      <c r="R357" s="2">
        <f t="shared" si="38"/>
        <v>0.28417947702059621</v>
      </c>
      <c r="S357" s="2">
        <f t="shared" si="39"/>
        <v>-5.1929477020601134E-2</v>
      </c>
    </row>
    <row r="358" spans="2:19" x14ac:dyDescent="0.25">
      <c r="B358" s="1">
        <f t="shared" si="40"/>
        <v>352</v>
      </c>
      <c r="C358" s="1">
        <v>592</v>
      </c>
      <c r="D358" s="13">
        <v>46.4</v>
      </c>
      <c r="E358" s="1" t="s">
        <v>11</v>
      </c>
      <c r="F358" s="2">
        <v>2.0249999999999999</v>
      </c>
      <c r="G358" s="1" t="s">
        <v>12</v>
      </c>
      <c r="H358" s="1" t="s">
        <v>13</v>
      </c>
      <c r="I358" s="1" t="s">
        <v>14</v>
      </c>
      <c r="J358" s="14">
        <v>0.37134259259259261</v>
      </c>
      <c r="K358" s="15">
        <v>45537</v>
      </c>
      <c r="M358" s="2">
        <v>1.875</v>
      </c>
      <c r="O358" s="2">
        <f t="shared" si="35"/>
        <v>1.8</v>
      </c>
      <c r="P358" s="2">
        <f t="shared" si="36"/>
        <v>56.839144215530908</v>
      </c>
      <c r="Q358" s="2">
        <f t="shared" si="37"/>
        <v>0.23199999999999504</v>
      </c>
      <c r="R358" s="2">
        <f t="shared" si="38"/>
        <v>0.28421196513470076</v>
      </c>
      <c r="S358" s="2">
        <f t="shared" si="39"/>
        <v>-5.2211965134705718E-2</v>
      </c>
    </row>
    <row r="359" spans="2:19" x14ac:dyDescent="0.25">
      <c r="B359" s="1">
        <f t="shared" si="40"/>
        <v>353</v>
      </c>
      <c r="C359" s="1">
        <v>593</v>
      </c>
      <c r="D359" s="13">
        <v>46.4</v>
      </c>
      <c r="E359" s="1" t="s">
        <v>11</v>
      </c>
      <c r="F359" s="2">
        <v>2.0299999999999998</v>
      </c>
      <c r="G359" s="1" t="s">
        <v>12</v>
      </c>
      <c r="H359" s="1" t="s">
        <v>13</v>
      </c>
      <c r="I359" s="1" t="s">
        <v>14</v>
      </c>
      <c r="J359" s="14">
        <v>0.37134259259259261</v>
      </c>
      <c r="K359" s="15">
        <v>45537</v>
      </c>
      <c r="M359" s="2">
        <v>1.88</v>
      </c>
      <c r="O359" s="2">
        <f t="shared" si="35"/>
        <v>1.8049999999999999</v>
      </c>
      <c r="P359" s="2">
        <f t="shared" si="36"/>
        <v>56.845641838351824</v>
      </c>
      <c r="Q359" s="2">
        <f t="shared" si="37"/>
        <v>0.46400000000001068</v>
      </c>
      <c r="R359" s="2">
        <f t="shared" si="38"/>
        <v>0.56852139461174056</v>
      </c>
      <c r="S359" s="2">
        <f t="shared" si="39"/>
        <v>-0.10452139461172988</v>
      </c>
    </row>
    <row r="360" spans="2:19" x14ac:dyDescent="0.25">
      <c r="B360" s="1">
        <f t="shared" si="40"/>
        <v>354</v>
      </c>
      <c r="C360" s="1">
        <v>594</v>
      </c>
      <c r="D360" s="13">
        <v>46.4</v>
      </c>
      <c r="E360" s="1" t="s">
        <v>11</v>
      </c>
      <c r="F360" s="2">
        <v>2.04</v>
      </c>
      <c r="G360" s="1" t="s">
        <v>12</v>
      </c>
      <c r="H360" s="1" t="s">
        <v>13</v>
      </c>
      <c r="I360" s="1" t="s">
        <v>14</v>
      </c>
      <c r="J360" s="14">
        <v>0.37135416666666665</v>
      </c>
      <c r="K360" s="15">
        <v>45537</v>
      </c>
      <c r="M360" s="2">
        <v>1.8900000000000001</v>
      </c>
      <c r="O360" s="2">
        <f t="shared" si="35"/>
        <v>1.8150000000000002</v>
      </c>
      <c r="P360" s="2">
        <f t="shared" si="36"/>
        <v>56.858637083993663</v>
      </c>
      <c r="Q360" s="2">
        <f t="shared" si="37"/>
        <v>0.23174999999999504</v>
      </c>
      <c r="R360" s="2">
        <f t="shared" si="38"/>
        <v>0.28430942947701454</v>
      </c>
      <c r="S360" s="2">
        <f t="shared" si="39"/>
        <v>-5.2559429477019498E-2</v>
      </c>
    </row>
    <row r="361" spans="2:19" x14ac:dyDescent="0.25">
      <c r="B361" s="1">
        <f t="shared" si="40"/>
        <v>355</v>
      </c>
      <c r="C361" s="1">
        <v>595</v>
      </c>
      <c r="D361" s="13">
        <v>46.3</v>
      </c>
      <c r="E361" s="1" t="s">
        <v>11</v>
      </c>
      <c r="F361" s="2">
        <v>2.0449999999999999</v>
      </c>
      <c r="G361" s="1" t="s">
        <v>12</v>
      </c>
      <c r="H361" s="1" t="s">
        <v>13</v>
      </c>
      <c r="I361" s="1" t="s">
        <v>14</v>
      </c>
      <c r="J361" s="14">
        <v>0.37135416666666665</v>
      </c>
      <c r="K361" s="15">
        <v>45537</v>
      </c>
      <c r="M361" s="2">
        <v>1.895</v>
      </c>
      <c r="O361" s="2">
        <f t="shared" si="35"/>
        <v>1.82</v>
      </c>
      <c r="P361" s="2">
        <f t="shared" si="36"/>
        <v>56.86513470681458</v>
      </c>
      <c r="Q361" s="2">
        <f t="shared" si="37"/>
        <v>0.23149999999999504</v>
      </c>
      <c r="R361" s="2">
        <f t="shared" si="38"/>
        <v>0.28434191759111915</v>
      </c>
      <c r="S361" s="2">
        <f t="shared" si="39"/>
        <v>-5.284191759112411E-2</v>
      </c>
    </row>
    <row r="362" spans="2:19" x14ac:dyDescent="0.25">
      <c r="B362" s="1">
        <f t="shared" si="40"/>
        <v>356</v>
      </c>
      <c r="C362" s="1">
        <v>596</v>
      </c>
      <c r="D362" s="13">
        <v>46.3</v>
      </c>
      <c r="E362" s="1" t="s">
        <v>11</v>
      </c>
      <c r="F362" s="2">
        <v>2.0499999999999998</v>
      </c>
      <c r="G362" s="1" t="s">
        <v>12</v>
      </c>
      <c r="H362" s="1" t="s">
        <v>13</v>
      </c>
      <c r="I362" s="1" t="s">
        <v>14</v>
      </c>
      <c r="J362" s="14">
        <v>0.37135416666666665</v>
      </c>
      <c r="K362" s="15">
        <v>45537</v>
      </c>
      <c r="M362" s="2">
        <v>1.9</v>
      </c>
      <c r="O362" s="2">
        <f t="shared" si="35"/>
        <v>1.825</v>
      </c>
      <c r="P362" s="2">
        <f t="shared" si="36"/>
        <v>56.871632329635503</v>
      </c>
      <c r="Q362" s="2">
        <f t="shared" si="37"/>
        <v>0.23200000000001567</v>
      </c>
      <c r="R362" s="2">
        <f t="shared" si="38"/>
        <v>0.28437440570524902</v>
      </c>
      <c r="S362" s="2">
        <f t="shared" si="39"/>
        <v>-5.2374405705233357E-2</v>
      </c>
    </row>
    <row r="363" spans="2:19" x14ac:dyDescent="0.25">
      <c r="B363" s="1">
        <f t="shared" si="40"/>
        <v>357</v>
      </c>
      <c r="C363" s="1">
        <v>598</v>
      </c>
      <c r="D363" s="13">
        <v>46.5</v>
      </c>
      <c r="E363" s="1" t="s">
        <v>11</v>
      </c>
      <c r="F363" s="2">
        <v>2.0550000000000002</v>
      </c>
      <c r="G363" s="1" t="s">
        <v>12</v>
      </c>
      <c r="H363" s="1" t="s">
        <v>13</v>
      </c>
      <c r="I363" s="1" t="s">
        <v>14</v>
      </c>
      <c r="J363" s="14">
        <v>0.37135416666666665</v>
      </c>
      <c r="K363" s="15">
        <v>45537</v>
      </c>
      <c r="M363" s="2">
        <v>1.9050000000000002</v>
      </c>
      <c r="O363" s="2">
        <f t="shared" si="35"/>
        <v>1.8300000000000003</v>
      </c>
      <c r="P363" s="2">
        <f t="shared" si="36"/>
        <v>56.878129952456419</v>
      </c>
      <c r="Q363" s="2">
        <f t="shared" si="37"/>
        <v>0.23249999999999504</v>
      </c>
      <c r="R363" s="2">
        <f t="shared" si="38"/>
        <v>0.28440689381932832</v>
      </c>
      <c r="S363" s="2">
        <f t="shared" si="39"/>
        <v>-5.1906893819333277E-2</v>
      </c>
    </row>
    <row r="364" spans="2:19" x14ac:dyDescent="0.25">
      <c r="B364" s="1">
        <f t="shared" si="40"/>
        <v>358</v>
      </c>
      <c r="C364" s="1">
        <v>599</v>
      </c>
      <c r="D364" s="13">
        <v>46.5</v>
      </c>
      <c r="E364" s="1" t="s">
        <v>11</v>
      </c>
      <c r="F364" s="2">
        <v>2.06</v>
      </c>
      <c r="G364" s="1" t="s">
        <v>12</v>
      </c>
      <c r="H364" s="1" t="s">
        <v>13</v>
      </c>
      <c r="I364" s="1" t="s">
        <v>14</v>
      </c>
      <c r="J364" s="14">
        <v>0.37135416666666665</v>
      </c>
      <c r="K364" s="15">
        <v>45537</v>
      </c>
      <c r="M364" s="2">
        <v>1.9100000000000001</v>
      </c>
      <c r="O364" s="2">
        <f t="shared" si="35"/>
        <v>1.8350000000000002</v>
      </c>
      <c r="P364" s="2">
        <f t="shared" si="36"/>
        <v>56.884627575277335</v>
      </c>
      <c r="Q364" s="2">
        <f t="shared" si="37"/>
        <v>0.23249999999999504</v>
      </c>
      <c r="R364" s="2">
        <f t="shared" si="38"/>
        <v>0.28443938193343288</v>
      </c>
      <c r="S364" s="2">
        <f t="shared" si="39"/>
        <v>-5.1939381933437834E-2</v>
      </c>
    </row>
    <row r="365" spans="2:19" x14ac:dyDescent="0.25">
      <c r="B365" s="1">
        <f t="shared" si="40"/>
        <v>359</v>
      </c>
      <c r="C365" s="1">
        <v>601</v>
      </c>
      <c r="D365" s="13">
        <v>46.5</v>
      </c>
      <c r="E365" s="1" t="s">
        <v>11</v>
      </c>
      <c r="F365" s="2">
        <v>2.0649999999999999</v>
      </c>
      <c r="G365" s="1" t="s">
        <v>12</v>
      </c>
      <c r="H365" s="1" t="s">
        <v>13</v>
      </c>
      <c r="I365" s="1" t="s">
        <v>14</v>
      </c>
      <c r="J365" s="14">
        <v>0.37135416666666665</v>
      </c>
      <c r="K365" s="15">
        <v>45537</v>
      </c>
      <c r="M365" s="2">
        <v>1.915</v>
      </c>
      <c r="O365" s="2">
        <f t="shared" si="35"/>
        <v>1.84</v>
      </c>
      <c r="P365" s="2">
        <f t="shared" si="36"/>
        <v>56.891125198098258</v>
      </c>
      <c r="Q365" s="2">
        <f t="shared" si="37"/>
        <v>0.23249999999999504</v>
      </c>
      <c r="R365" s="2">
        <f t="shared" si="38"/>
        <v>0.28447187004753755</v>
      </c>
      <c r="S365" s="2">
        <f t="shared" si="39"/>
        <v>-5.1971870047542501E-2</v>
      </c>
    </row>
    <row r="366" spans="2:19" x14ac:dyDescent="0.25">
      <c r="B366" s="1">
        <f t="shared" si="40"/>
        <v>360</v>
      </c>
      <c r="C366" s="1">
        <v>603</v>
      </c>
      <c r="D366" s="13">
        <v>46.5</v>
      </c>
      <c r="E366" s="1" t="s">
        <v>11</v>
      </c>
      <c r="F366" s="2">
        <v>2.0699999999999998</v>
      </c>
      <c r="G366" s="1" t="s">
        <v>12</v>
      </c>
      <c r="H366" s="1" t="s">
        <v>13</v>
      </c>
      <c r="I366" s="1" t="s">
        <v>14</v>
      </c>
      <c r="J366" s="14">
        <v>0.37135416666666665</v>
      </c>
      <c r="K366" s="15">
        <v>45537</v>
      </c>
      <c r="M366" s="2">
        <v>1.92</v>
      </c>
      <c r="O366" s="2">
        <f t="shared" si="35"/>
        <v>1.845</v>
      </c>
      <c r="P366" s="2">
        <f t="shared" si="36"/>
        <v>56.897622820919175</v>
      </c>
      <c r="Q366" s="2">
        <f t="shared" si="37"/>
        <v>0.23275000000001569</v>
      </c>
      <c r="R366" s="2">
        <f t="shared" si="38"/>
        <v>0.28450435816166741</v>
      </c>
      <c r="S366" s="2">
        <f t="shared" si="39"/>
        <v>-5.175435816165172E-2</v>
      </c>
    </row>
    <row r="367" spans="2:19" x14ac:dyDescent="0.25">
      <c r="B367" s="1">
        <f t="shared" si="40"/>
        <v>361</v>
      </c>
      <c r="C367" s="1">
        <v>604</v>
      </c>
      <c r="D367" s="13">
        <v>46.6</v>
      </c>
      <c r="E367" s="1" t="s">
        <v>11</v>
      </c>
      <c r="F367" s="2">
        <v>2.0750000000000002</v>
      </c>
      <c r="G367" s="1" t="s">
        <v>12</v>
      </c>
      <c r="H367" s="1" t="s">
        <v>13</v>
      </c>
      <c r="I367" s="1" t="s">
        <v>14</v>
      </c>
      <c r="J367" s="14">
        <v>0.37136574074074075</v>
      </c>
      <c r="K367" s="15">
        <v>45537</v>
      </c>
      <c r="M367" s="2">
        <v>1.9250000000000003</v>
      </c>
      <c r="O367" s="2">
        <f t="shared" si="35"/>
        <v>1.8500000000000003</v>
      </c>
      <c r="P367" s="2">
        <f t="shared" si="36"/>
        <v>56.904120443740098</v>
      </c>
      <c r="Q367" s="2">
        <f t="shared" si="37"/>
        <v>0.23299999999999504</v>
      </c>
      <c r="R367" s="2">
        <f t="shared" si="38"/>
        <v>0.28453684627574671</v>
      </c>
      <c r="S367" s="2">
        <f t="shared" si="39"/>
        <v>-5.1536846275751669E-2</v>
      </c>
    </row>
    <row r="368" spans="2:19" x14ac:dyDescent="0.25">
      <c r="B368" s="1">
        <f t="shared" si="40"/>
        <v>362</v>
      </c>
      <c r="C368" s="1">
        <v>606</v>
      </c>
      <c r="D368" s="13">
        <v>46.6</v>
      </c>
      <c r="E368" s="1" t="s">
        <v>11</v>
      </c>
      <c r="F368" s="2">
        <v>2.08</v>
      </c>
      <c r="G368" s="1" t="s">
        <v>12</v>
      </c>
      <c r="H368" s="1" t="s">
        <v>13</v>
      </c>
      <c r="I368" s="1" t="s">
        <v>14</v>
      </c>
      <c r="J368" s="14">
        <v>0.37136574074074075</v>
      </c>
      <c r="K368" s="15">
        <v>45537</v>
      </c>
      <c r="M368" s="2">
        <v>1.9300000000000002</v>
      </c>
      <c r="O368" s="2">
        <f t="shared" si="35"/>
        <v>1.8550000000000002</v>
      </c>
      <c r="P368" s="2">
        <f t="shared" si="36"/>
        <v>56.910618066561014</v>
      </c>
      <c r="Q368" s="2">
        <f t="shared" si="37"/>
        <v>0.23324999999999504</v>
      </c>
      <c r="R368" s="2">
        <f t="shared" si="38"/>
        <v>0.28456933438985127</v>
      </c>
      <c r="S368" s="2">
        <f t="shared" si="39"/>
        <v>-5.1319334389856225E-2</v>
      </c>
    </row>
    <row r="369" spans="2:19" x14ac:dyDescent="0.25">
      <c r="B369" s="1">
        <f t="shared" si="40"/>
        <v>363</v>
      </c>
      <c r="C369" s="1">
        <v>609</v>
      </c>
      <c r="D369" s="13">
        <v>46.7</v>
      </c>
      <c r="E369" s="1" t="s">
        <v>11</v>
      </c>
      <c r="F369" s="2">
        <v>2.085</v>
      </c>
      <c r="G369" s="1" t="s">
        <v>12</v>
      </c>
      <c r="H369" s="1" t="s">
        <v>13</v>
      </c>
      <c r="I369" s="1" t="s">
        <v>14</v>
      </c>
      <c r="J369" s="14">
        <v>0.37136574074074075</v>
      </c>
      <c r="K369" s="15">
        <v>45537</v>
      </c>
      <c r="M369" s="2">
        <v>1.9350000000000001</v>
      </c>
      <c r="O369" s="2">
        <f t="shared" si="35"/>
        <v>1.86</v>
      </c>
      <c r="P369" s="2">
        <f t="shared" si="36"/>
        <v>56.917115689381937</v>
      </c>
      <c r="Q369" s="2">
        <f t="shared" si="37"/>
        <v>0.23374999999999502</v>
      </c>
      <c r="R369" s="2">
        <f t="shared" si="38"/>
        <v>0.28460182250395594</v>
      </c>
      <c r="S369" s="2">
        <f t="shared" si="39"/>
        <v>-5.085182250396092E-2</v>
      </c>
    </row>
    <row r="370" spans="2:19" x14ac:dyDescent="0.25">
      <c r="B370" s="1">
        <f t="shared" si="40"/>
        <v>364</v>
      </c>
      <c r="C370" s="1">
        <v>613</v>
      </c>
      <c r="D370" s="13">
        <v>46.8</v>
      </c>
      <c r="E370" s="1" t="s">
        <v>11</v>
      </c>
      <c r="F370" s="2">
        <v>2.09</v>
      </c>
      <c r="G370" s="1" t="s">
        <v>12</v>
      </c>
      <c r="H370" s="1" t="s">
        <v>13</v>
      </c>
      <c r="I370" s="1" t="s">
        <v>14</v>
      </c>
      <c r="J370" s="14">
        <v>0.37136574074074075</v>
      </c>
      <c r="K370" s="15">
        <v>45537</v>
      </c>
      <c r="M370" s="2">
        <v>1.94</v>
      </c>
      <c r="O370" s="2">
        <f t="shared" si="35"/>
        <v>1.865</v>
      </c>
      <c r="P370" s="2">
        <f t="shared" si="36"/>
        <v>56.923613312202853</v>
      </c>
      <c r="Q370" s="2">
        <f t="shared" si="37"/>
        <v>0.23425000000001578</v>
      </c>
      <c r="R370" s="2">
        <f t="shared" si="38"/>
        <v>0.28463431061808581</v>
      </c>
      <c r="S370" s="2">
        <f t="shared" si="39"/>
        <v>-5.0384310618070027E-2</v>
      </c>
    </row>
    <row r="371" spans="2:19" x14ac:dyDescent="0.25">
      <c r="B371" s="1">
        <f t="shared" si="40"/>
        <v>365</v>
      </c>
      <c r="C371" s="1">
        <v>616</v>
      </c>
      <c r="D371" s="13">
        <v>46.9</v>
      </c>
      <c r="E371" s="1" t="s">
        <v>11</v>
      </c>
      <c r="F371" s="2">
        <v>2.0950000000000002</v>
      </c>
      <c r="G371" s="1" t="s">
        <v>12</v>
      </c>
      <c r="H371" s="1" t="s">
        <v>13</v>
      </c>
      <c r="I371" s="1" t="s">
        <v>14</v>
      </c>
      <c r="J371" s="14">
        <v>0.37137731481481484</v>
      </c>
      <c r="K371" s="15">
        <v>45537</v>
      </c>
      <c r="M371" s="2">
        <v>1.9450000000000003</v>
      </c>
      <c r="O371" s="2">
        <f t="shared" si="35"/>
        <v>1.8700000000000003</v>
      </c>
      <c r="P371" s="2">
        <f t="shared" si="36"/>
        <v>56.930110935023777</v>
      </c>
      <c r="Q371" s="2">
        <f t="shared" si="37"/>
        <v>0.23474999999999502</v>
      </c>
      <c r="R371" s="2">
        <f t="shared" si="38"/>
        <v>0.2846667987321651</v>
      </c>
      <c r="S371" s="2">
        <f t="shared" si="39"/>
        <v>-4.9916798732170087E-2</v>
      </c>
    </row>
    <row r="372" spans="2:19" x14ac:dyDescent="0.25">
      <c r="B372" s="1">
        <f t="shared" si="40"/>
        <v>366</v>
      </c>
      <c r="C372" s="1">
        <v>619</v>
      </c>
      <c r="D372" s="13">
        <v>47</v>
      </c>
      <c r="E372" s="1" t="s">
        <v>11</v>
      </c>
      <c r="F372" s="2">
        <v>2.1</v>
      </c>
      <c r="G372" s="1" t="s">
        <v>12</v>
      </c>
      <c r="H372" s="1" t="s">
        <v>13</v>
      </c>
      <c r="I372" s="1" t="s">
        <v>14</v>
      </c>
      <c r="J372" s="14">
        <v>0.37137731481481484</v>
      </c>
      <c r="K372" s="15">
        <v>45537</v>
      </c>
      <c r="M372" s="2">
        <v>1.9500000000000002</v>
      </c>
      <c r="O372" s="2">
        <f t="shared" si="35"/>
        <v>1.8750000000000002</v>
      </c>
      <c r="P372" s="2">
        <f t="shared" si="36"/>
        <v>56.936608557844693</v>
      </c>
      <c r="Q372" s="2">
        <f t="shared" si="37"/>
        <v>0.23499999999999499</v>
      </c>
      <c r="R372" s="2">
        <f t="shared" si="38"/>
        <v>0.28469928684626966</v>
      </c>
      <c r="S372" s="2">
        <f t="shared" si="39"/>
        <v>-4.9699286846274671E-2</v>
      </c>
    </row>
    <row r="373" spans="2:19" x14ac:dyDescent="0.25">
      <c r="B373" s="1">
        <f t="shared" si="40"/>
        <v>367</v>
      </c>
      <c r="C373" s="1">
        <v>621</v>
      </c>
      <c r="D373" s="13">
        <v>47</v>
      </c>
      <c r="E373" s="1" t="s">
        <v>11</v>
      </c>
      <c r="F373" s="2">
        <v>2.105</v>
      </c>
      <c r="G373" s="1" t="s">
        <v>12</v>
      </c>
      <c r="H373" s="1" t="s">
        <v>13</v>
      </c>
      <c r="I373" s="1" t="s">
        <v>14</v>
      </c>
      <c r="J373" s="14">
        <v>0.37137731481481484</v>
      </c>
      <c r="K373" s="15">
        <v>45537</v>
      </c>
      <c r="M373" s="2">
        <v>1.9550000000000001</v>
      </c>
      <c r="O373" s="2">
        <f t="shared" si="35"/>
        <v>1.8800000000000001</v>
      </c>
      <c r="P373" s="2">
        <f t="shared" si="36"/>
        <v>56.943106180665609</v>
      </c>
      <c r="Q373" s="2">
        <f t="shared" si="37"/>
        <v>0.23549999999999499</v>
      </c>
      <c r="R373" s="2">
        <f t="shared" si="38"/>
        <v>0.28473177496037427</v>
      </c>
      <c r="S373" s="2">
        <f t="shared" si="39"/>
        <v>-4.9231774960379282E-2</v>
      </c>
    </row>
    <row r="374" spans="2:19" x14ac:dyDescent="0.25">
      <c r="B374" s="1">
        <f t="shared" si="40"/>
        <v>368</v>
      </c>
      <c r="C374" s="1">
        <v>625</v>
      </c>
      <c r="D374" s="13">
        <v>47.2</v>
      </c>
      <c r="E374" s="1" t="s">
        <v>11</v>
      </c>
      <c r="F374" s="2">
        <v>2.11</v>
      </c>
      <c r="G374" s="1" t="s">
        <v>12</v>
      </c>
      <c r="H374" s="1" t="s">
        <v>13</v>
      </c>
      <c r="I374" s="1" t="s">
        <v>14</v>
      </c>
      <c r="J374" s="14">
        <v>0.37138888888888888</v>
      </c>
      <c r="K374" s="15">
        <v>45537</v>
      </c>
      <c r="M374" s="2">
        <v>1.96</v>
      </c>
      <c r="O374" s="2">
        <f t="shared" si="35"/>
        <v>1.885</v>
      </c>
      <c r="P374" s="2">
        <f t="shared" si="36"/>
        <v>56.949603803486532</v>
      </c>
      <c r="Q374" s="2">
        <f t="shared" si="37"/>
        <v>0.23600000000001595</v>
      </c>
      <c r="R374" s="2">
        <f t="shared" si="38"/>
        <v>0.2847642630745042</v>
      </c>
      <c r="S374" s="2">
        <f t="shared" si="39"/>
        <v>-4.8764263074488251E-2</v>
      </c>
    </row>
    <row r="375" spans="2:19" x14ac:dyDescent="0.25">
      <c r="B375" s="1">
        <f t="shared" si="40"/>
        <v>369</v>
      </c>
      <c r="C375" s="1">
        <v>627</v>
      </c>
      <c r="D375" s="13">
        <v>47.2</v>
      </c>
      <c r="E375" s="1" t="s">
        <v>11</v>
      </c>
      <c r="F375" s="2">
        <v>2.1150000000000002</v>
      </c>
      <c r="G375" s="1" t="s">
        <v>12</v>
      </c>
      <c r="H375" s="1" t="s">
        <v>13</v>
      </c>
      <c r="I375" s="1" t="s">
        <v>14</v>
      </c>
      <c r="J375" s="14">
        <v>0.37138888888888888</v>
      </c>
      <c r="K375" s="15">
        <v>45537</v>
      </c>
      <c r="M375" s="2">
        <v>1.9650000000000003</v>
      </c>
      <c r="O375" s="2">
        <f t="shared" si="35"/>
        <v>1.8900000000000003</v>
      </c>
      <c r="P375" s="2">
        <f t="shared" si="36"/>
        <v>56.956101426307448</v>
      </c>
      <c r="Q375" s="2">
        <f t="shared" si="37"/>
        <v>0.23574999999999499</v>
      </c>
      <c r="R375" s="2">
        <f t="shared" si="38"/>
        <v>0.2847967511885835</v>
      </c>
      <c r="S375" s="2">
        <f t="shared" si="39"/>
        <v>-4.9046751188588505E-2</v>
      </c>
    </row>
    <row r="376" spans="2:19" x14ac:dyDescent="0.25">
      <c r="B376" s="1">
        <f t="shared" si="40"/>
        <v>370</v>
      </c>
      <c r="C376" s="1">
        <v>630</v>
      </c>
      <c r="D376" s="13">
        <v>47.1</v>
      </c>
      <c r="E376" s="1" t="s">
        <v>11</v>
      </c>
      <c r="F376" s="2">
        <v>2.12</v>
      </c>
      <c r="G376" s="1" t="s">
        <v>12</v>
      </c>
      <c r="H376" s="1" t="s">
        <v>13</v>
      </c>
      <c r="I376" s="1" t="s">
        <v>14</v>
      </c>
      <c r="J376" s="14">
        <v>0.37138888888888888</v>
      </c>
      <c r="K376" s="15">
        <v>45537</v>
      </c>
      <c r="M376" s="2">
        <v>1.9700000000000002</v>
      </c>
      <c r="O376" s="2">
        <f t="shared" si="35"/>
        <v>1.8950000000000002</v>
      </c>
      <c r="P376" s="2">
        <f t="shared" si="36"/>
        <v>56.962599049128372</v>
      </c>
      <c r="Q376" s="2">
        <f t="shared" si="37"/>
        <v>0.23599999999999499</v>
      </c>
      <c r="R376" s="2">
        <f t="shared" si="38"/>
        <v>0.28482923930268805</v>
      </c>
      <c r="S376" s="2">
        <f t="shared" si="39"/>
        <v>-4.8829239302693062E-2</v>
      </c>
    </row>
    <row r="377" spans="2:19" x14ac:dyDescent="0.25">
      <c r="B377" s="1">
        <f t="shared" si="40"/>
        <v>371</v>
      </c>
      <c r="C377" s="1">
        <v>633</v>
      </c>
      <c r="D377" s="13">
        <v>47.3</v>
      </c>
      <c r="E377" s="1" t="s">
        <v>11</v>
      </c>
      <c r="F377" s="2">
        <v>2.125</v>
      </c>
      <c r="G377" s="1" t="s">
        <v>12</v>
      </c>
      <c r="H377" s="1" t="s">
        <v>13</v>
      </c>
      <c r="I377" s="1" t="s">
        <v>14</v>
      </c>
      <c r="J377" s="14">
        <v>0.37138888888888888</v>
      </c>
      <c r="K377" s="15">
        <v>45537</v>
      </c>
      <c r="M377" s="2">
        <v>1.9750000000000001</v>
      </c>
      <c r="O377" s="2">
        <f t="shared" si="35"/>
        <v>1.9000000000000001</v>
      </c>
      <c r="P377" s="2">
        <f t="shared" si="36"/>
        <v>56.969096671949288</v>
      </c>
      <c r="Q377" s="2">
        <f t="shared" si="37"/>
        <v>0.23599999999999499</v>
      </c>
      <c r="R377" s="2">
        <f t="shared" si="38"/>
        <v>0.28486172741679266</v>
      </c>
      <c r="S377" s="2">
        <f t="shared" si="39"/>
        <v>-4.8861727416797673E-2</v>
      </c>
    </row>
    <row r="378" spans="2:19" x14ac:dyDescent="0.25">
      <c r="B378" s="1">
        <f t="shared" si="40"/>
        <v>372</v>
      </c>
      <c r="C378" s="1">
        <v>635</v>
      </c>
      <c r="D378" s="13">
        <v>47.1</v>
      </c>
      <c r="E378" s="1" t="s">
        <v>11</v>
      </c>
      <c r="F378" s="2">
        <v>2.13</v>
      </c>
      <c r="G378" s="1" t="s">
        <v>12</v>
      </c>
      <c r="H378" s="1" t="s">
        <v>13</v>
      </c>
      <c r="I378" s="1" t="s">
        <v>14</v>
      </c>
      <c r="J378" s="14">
        <v>0.37140046296296297</v>
      </c>
      <c r="K378" s="15">
        <v>45537</v>
      </c>
      <c r="M378" s="2">
        <v>1.98</v>
      </c>
      <c r="O378" s="2">
        <f t="shared" si="35"/>
        <v>1.905</v>
      </c>
      <c r="P378" s="2">
        <f t="shared" si="36"/>
        <v>56.975594294770204</v>
      </c>
      <c r="Q378" s="2">
        <f t="shared" si="37"/>
        <v>0.23574999999999499</v>
      </c>
      <c r="R378" s="2">
        <f t="shared" si="38"/>
        <v>0.28489421553089722</v>
      </c>
      <c r="S378" s="2">
        <f t="shared" si="39"/>
        <v>-4.914421553090223E-2</v>
      </c>
    </row>
    <row r="379" spans="2:19" x14ac:dyDescent="0.25">
      <c r="B379" s="1">
        <f t="shared" si="40"/>
        <v>373</v>
      </c>
      <c r="C379" s="1">
        <v>637</v>
      </c>
      <c r="D379" s="13">
        <v>47.2</v>
      </c>
      <c r="E379" s="1" t="s">
        <v>11</v>
      </c>
      <c r="F379" s="2">
        <v>2.1349999999999998</v>
      </c>
      <c r="G379" s="1" t="s">
        <v>12</v>
      </c>
      <c r="H379" s="1" t="s">
        <v>13</v>
      </c>
      <c r="I379" s="1" t="s">
        <v>14</v>
      </c>
      <c r="J379" s="14">
        <v>0.37140046296296297</v>
      </c>
      <c r="K379" s="15">
        <v>45537</v>
      </c>
      <c r="M379" s="2">
        <v>1.9849999999999999</v>
      </c>
      <c r="O379" s="2">
        <f t="shared" si="35"/>
        <v>1.91</v>
      </c>
      <c r="P379" s="2">
        <f t="shared" si="36"/>
        <v>56.982091917591127</v>
      </c>
      <c r="Q379" s="2">
        <f t="shared" si="37"/>
        <v>0.23625000000001595</v>
      </c>
      <c r="R379" s="2">
        <f t="shared" si="38"/>
        <v>0.28492670364502715</v>
      </c>
      <c r="S379" s="2">
        <f t="shared" si="39"/>
        <v>-4.8676703645011199E-2</v>
      </c>
    </row>
    <row r="380" spans="2:19" x14ac:dyDescent="0.25">
      <c r="B380" s="1">
        <f t="shared" si="40"/>
        <v>374</v>
      </c>
      <c r="C380" s="1">
        <v>639</v>
      </c>
      <c r="D380" s="13">
        <v>47.3</v>
      </c>
      <c r="E380" s="1" t="s">
        <v>11</v>
      </c>
      <c r="F380" s="2">
        <v>2.14</v>
      </c>
      <c r="G380" s="1" t="s">
        <v>12</v>
      </c>
      <c r="H380" s="1" t="s">
        <v>13</v>
      </c>
      <c r="I380" s="1" t="s">
        <v>14</v>
      </c>
      <c r="J380" s="14">
        <v>0.37140046296296297</v>
      </c>
      <c r="K380" s="15">
        <v>45537</v>
      </c>
      <c r="M380" s="2">
        <v>1.9900000000000002</v>
      </c>
      <c r="O380" s="2">
        <f t="shared" si="35"/>
        <v>1.9150000000000003</v>
      </c>
      <c r="P380" s="2">
        <f t="shared" si="36"/>
        <v>56.988589540412043</v>
      </c>
      <c r="Q380" s="2">
        <f t="shared" si="37"/>
        <v>0.23649999999999494</v>
      </c>
      <c r="R380" s="2">
        <f t="shared" si="38"/>
        <v>0.28495919175910644</v>
      </c>
      <c r="S380" s="2">
        <f t="shared" si="39"/>
        <v>-4.8459191759111508E-2</v>
      </c>
    </row>
    <row r="381" spans="2:19" x14ac:dyDescent="0.25">
      <c r="B381" s="1">
        <f t="shared" si="40"/>
        <v>375</v>
      </c>
      <c r="C381" s="1">
        <v>641</v>
      </c>
      <c r="D381" s="13">
        <v>47.3</v>
      </c>
      <c r="E381" s="1" t="s">
        <v>11</v>
      </c>
      <c r="F381" s="2">
        <v>2.145</v>
      </c>
      <c r="G381" s="1" t="s">
        <v>12</v>
      </c>
      <c r="H381" s="1" t="s">
        <v>13</v>
      </c>
      <c r="I381" s="1" t="s">
        <v>14</v>
      </c>
      <c r="J381" s="14">
        <v>0.37140046296296297</v>
      </c>
      <c r="K381" s="15">
        <v>45537</v>
      </c>
      <c r="M381" s="2">
        <v>1.9950000000000001</v>
      </c>
      <c r="O381" s="2">
        <f t="shared" si="35"/>
        <v>1.9200000000000002</v>
      </c>
      <c r="P381" s="2">
        <f t="shared" si="36"/>
        <v>56.995087163232967</v>
      </c>
      <c r="Q381" s="2">
        <f t="shared" si="37"/>
        <v>0.23649999999999494</v>
      </c>
      <c r="R381" s="2">
        <f t="shared" si="38"/>
        <v>0.28499167987321106</v>
      </c>
      <c r="S381" s="2">
        <f t="shared" si="39"/>
        <v>-4.849167987321612E-2</v>
      </c>
    </row>
    <row r="382" spans="2:19" x14ac:dyDescent="0.25">
      <c r="B382" s="1">
        <f t="shared" si="40"/>
        <v>376</v>
      </c>
      <c r="C382" s="1">
        <v>643</v>
      </c>
      <c r="D382" s="13">
        <v>47.3</v>
      </c>
      <c r="E382" s="1" t="s">
        <v>11</v>
      </c>
      <c r="F382" s="2">
        <v>2.15</v>
      </c>
      <c r="G382" s="1" t="s">
        <v>12</v>
      </c>
      <c r="H382" s="1" t="s">
        <v>13</v>
      </c>
      <c r="I382" s="1" t="s">
        <v>14</v>
      </c>
      <c r="J382" s="14">
        <v>0.37140046296296297</v>
      </c>
      <c r="K382" s="15">
        <v>45537</v>
      </c>
      <c r="M382" s="2">
        <v>2</v>
      </c>
      <c r="O382" s="2">
        <f t="shared" si="35"/>
        <v>1.925</v>
      </c>
      <c r="P382" s="2">
        <f t="shared" si="36"/>
        <v>57.001584786053883</v>
      </c>
      <c r="Q382" s="2">
        <f t="shared" si="37"/>
        <v>0.23649999999999494</v>
      </c>
      <c r="R382" s="2">
        <f t="shared" si="38"/>
        <v>0.28502416798731561</v>
      </c>
      <c r="S382" s="2">
        <f t="shared" si="39"/>
        <v>-4.8524167987320677E-2</v>
      </c>
    </row>
    <row r="383" spans="2:19" x14ac:dyDescent="0.25">
      <c r="B383" s="1">
        <f t="shared" si="40"/>
        <v>377</v>
      </c>
      <c r="C383" s="1">
        <v>644</v>
      </c>
      <c r="D383" s="13">
        <v>47.3</v>
      </c>
      <c r="E383" s="1" t="s">
        <v>11</v>
      </c>
      <c r="F383" s="2">
        <v>2.1549999999999998</v>
      </c>
      <c r="G383" s="1" t="s">
        <v>12</v>
      </c>
      <c r="H383" s="1" t="s">
        <v>13</v>
      </c>
      <c r="I383" s="1" t="s">
        <v>14</v>
      </c>
      <c r="J383" s="14">
        <v>0.37141203703703701</v>
      </c>
      <c r="K383" s="15">
        <v>45537</v>
      </c>
      <c r="M383" s="2">
        <v>2.0049999999999999</v>
      </c>
      <c r="O383" s="2">
        <f t="shared" si="35"/>
        <v>1.93</v>
      </c>
      <c r="P383" s="2">
        <f t="shared" si="36"/>
        <v>57.008082408874806</v>
      </c>
      <c r="Q383" s="2">
        <f t="shared" si="37"/>
        <v>0.23675000000001595</v>
      </c>
      <c r="R383" s="2">
        <f t="shared" si="38"/>
        <v>0.28505665610144554</v>
      </c>
      <c r="S383" s="2">
        <f t="shared" si="39"/>
        <v>-4.830665610142959E-2</v>
      </c>
    </row>
    <row r="384" spans="2:19" x14ac:dyDescent="0.25">
      <c r="B384" s="1">
        <f t="shared" si="40"/>
        <v>378</v>
      </c>
      <c r="C384" s="1">
        <v>646</v>
      </c>
      <c r="D384" s="13">
        <v>47.4</v>
      </c>
      <c r="E384" s="1" t="s">
        <v>11</v>
      </c>
      <c r="F384" s="2">
        <v>2.16</v>
      </c>
      <c r="G384" s="1" t="s">
        <v>12</v>
      </c>
      <c r="H384" s="1" t="s">
        <v>13</v>
      </c>
      <c r="I384" s="1" t="s">
        <v>14</v>
      </c>
      <c r="J384" s="14">
        <v>0.37141203703703701</v>
      </c>
      <c r="K384" s="15">
        <v>45537</v>
      </c>
      <c r="M384" s="2">
        <v>2.0100000000000002</v>
      </c>
      <c r="O384" s="2">
        <f t="shared" si="35"/>
        <v>1.9350000000000003</v>
      </c>
      <c r="P384" s="2">
        <f t="shared" si="36"/>
        <v>57.014580031695722</v>
      </c>
      <c r="Q384" s="2">
        <f t="shared" si="37"/>
        <v>0.23699999999999494</v>
      </c>
      <c r="R384" s="2">
        <f t="shared" si="38"/>
        <v>0.28508914421552484</v>
      </c>
      <c r="S384" s="2">
        <f t="shared" si="39"/>
        <v>-4.80891442155299E-2</v>
      </c>
    </row>
    <row r="385" spans="2:19" x14ac:dyDescent="0.25">
      <c r="B385" s="1">
        <f t="shared" si="40"/>
        <v>379</v>
      </c>
      <c r="C385" s="1">
        <v>647</v>
      </c>
      <c r="D385" s="13">
        <v>47.4</v>
      </c>
      <c r="E385" s="1" t="s">
        <v>11</v>
      </c>
      <c r="F385" s="2">
        <v>2.165</v>
      </c>
      <c r="G385" s="1" t="s">
        <v>12</v>
      </c>
      <c r="H385" s="1" t="s">
        <v>13</v>
      </c>
      <c r="I385" s="1" t="s">
        <v>14</v>
      </c>
      <c r="J385" s="14">
        <v>0.37141203703703701</v>
      </c>
      <c r="K385" s="15">
        <v>45537</v>
      </c>
      <c r="M385" s="2">
        <v>2.0150000000000001</v>
      </c>
      <c r="O385" s="2">
        <f t="shared" si="35"/>
        <v>1.9400000000000002</v>
      </c>
      <c r="P385" s="2">
        <f t="shared" si="36"/>
        <v>57.021077654516645</v>
      </c>
      <c r="Q385" s="2">
        <f t="shared" si="37"/>
        <v>0.23649999999999494</v>
      </c>
      <c r="R385" s="2">
        <f t="shared" si="38"/>
        <v>0.28512163232962945</v>
      </c>
      <c r="S385" s="2">
        <f t="shared" si="39"/>
        <v>-4.8621632329634512E-2</v>
      </c>
    </row>
    <row r="386" spans="2:19" x14ac:dyDescent="0.25">
      <c r="B386" s="1">
        <f t="shared" si="40"/>
        <v>380</v>
      </c>
      <c r="C386" s="1">
        <v>648</v>
      </c>
      <c r="D386" s="13">
        <v>47.2</v>
      </c>
      <c r="E386" s="1" t="s">
        <v>11</v>
      </c>
      <c r="F386" s="2">
        <v>2.17</v>
      </c>
      <c r="G386" s="1" t="s">
        <v>12</v>
      </c>
      <c r="H386" s="1" t="s">
        <v>13</v>
      </c>
      <c r="I386" s="1" t="s">
        <v>14</v>
      </c>
      <c r="J386" s="14">
        <v>0.37141203703703701</v>
      </c>
      <c r="K386" s="15">
        <v>45537</v>
      </c>
      <c r="M386" s="2">
        <v>2.02</v>
      </c>
      <c r="O386" s="2">
        <f t="shared" si="35"/>
        <v>1.9450000000000001</v>
      </c>
      <c r="P386" s="2">
        <f t="shared" si="36"/>
        <v>57.027575277337561</v>
      </c>
      <c r="Q386" s="2">
        <f t="shared" si="37"/>
        <v>0.23574999999999499</v>
      </c>
      <c r="R386" s="2">
        <f t="shared" si="38"/>
        <v>0.285154120443734</v>
      </c>
      <c r="S386" s="2">
        <f t="shared" si="39"/>
        <v>-4.9404120443739014E-2</v>
      </c>
    </row>
    <row r="387" spans="2:19" x14ac:dyDescent="0.25">
      <c r="B387" s="1">
        <f t="shared" si="40"/>
        <v>381</v>
      </c>
      <c r="C387" s="1">
        <v>650</v>
      </c>
      <c r="D387" s="13">
        <v>47.1</v>
      </c>
      <c r="E387" s="1" t="s">
        <v>11</v>
      </c>
      <c r="F387" s="2">
        <v>2.1749999999999998</v>
      </c>
      <c r="G387" s="1" t="s">
        <v>12</v>
      </c>
      <c r="H387" s="1" t="s">
        <v>13</v>
      </c>
      <c r="I387" s="1" t="s">
        <v>14</v>
      </c>
      <c r="J387" s="14">
        <v>0.37141203703703701</v>
      </c>
      <c r="K387" s="15">
        <v>45537</v>
      </c>
      <c r="M387" s="2">
        <v>2.0249999999999999</v>
      </c>
      <c r="O387" s="2">
        <f t="shared" si="35"/>
        <v>1.95</v>
      </c>
      <c r="P387" s="2">
        <f t="shared" si="36"/>
        <v>57.034072900158478</v>
      </c>
      <c r="Q387" s="2">
        <f t="shared" si="37"/>
        <v>0.23525000000001586</v>
      </c>
      <c r="R387" s="2">
        <f t="shared" si="38"/>
        <v>0.28518660855786393</v>
      </c>
      <c r="S387" s="2">
        <f t="shared" si="39"/>
        <v>-4.9936608557848067E-2</v>
      </c>
    </row>
    <row r="388" spans="2:19" x14ac:dyDescent="0.25">
      <c r="B388" s="1">
        <f t="shared" si="40"/>
        <v>382</v>
      </c>
      <c r="C388" s="1">
        <v>651</v>
      </c>
      <c r="D388" s="13">
        <v>47</v>
      </c>
      <c r="E388" s="1" t="s">
        <v>11</v>
      </c>
      <c r="F388" s="2">
        <v>2.1800000000000002</v>
      </c>
      <c r="G388" s="1" t="s">
        <v>12</v>
      </c>
      <c r="H388" s="1" t="s">
        <v>13</v>
      </c>
      <c r="I388" s="1" t="s">
        <v>14</v>
      </c>
      <c r="J388" s="14">
        <v>0.37141203703703701</v>
      </c>
      <c r="K388" s="15">
        <v>45537</v>
      </c>
      <c r="M388" s="2">
        <v>2.0300000000000002</v>
      </c>
      <c r="O388" s="2">
        <f t="shared" si="35"/>
        <v>1.9550000000000003</v>
      </c>
      <c r="P388" s="2">
        <f t="shared" si="36"/>
        <v>57.040570522979401</v>
      </c>
      <c r="Q388" s="2">
        <f t="shared" si="37"/>
        <v>0.23499999999999499</v>
      </c>
      <c r="R388" s="2">
        <f t="shared" si="38"/>
        <v>0.28521909667194323</v>
      </c>
      <c r="S388" s="2">
        <f t="shared" si="39"/>
        <v>-5.0219096671948238E-2</v>
      </c>
    </row>
    <row r="389" spans="2:19" x14ac:dyDescent="0.25">
      <c r="B389" s="1">
        <f t="shared" si="40"/>
        <v>383</v>
      </c>
      <c r="C389" s="1">
        <v>653</v>
      </c>
      <c r="D389" s="13">
        <v>47</v>
      </c>
      <c r="E389" s="1" t="s">
        <v>11</v>
      </c>
      <c r="F389" s="2">
        <v>2.1850000000000001</v>
      </c>
      <c r="G389" s="1" t="s">
        <v>12</v>
      </c>
      <c r="H389" s="1" t="s">
        <v>13</v>
      </c>
      <c r="I389" s="1" t="s">
        <v>14</v>
      </c>
      <c r="J389" s="14">
        <v>0.37141203703703701</v>
      </c>
      <c r="K389" s="15">
        <v>45537</v>
      </c>
      <c r="M389" s="2">
        <v>2.0350000000000001</v>
      </c>
      <c r="O389" s="2">
        <f t="shared" si="35"/>
        <v>1.9600000000000002</v>
      </c>
      <c r="P389" s="2">
        <f t="shared" si="36"/>
        <v>57.047068145800317</v>
      </c>
      <c r="Q389" s="2">
        <f t="shared" si="37"/>
        <v>0.23549999999999499</v>
      </c>
      <c r="R389" s="2">
        <f t="shared" si="38"/>
        <v>0.28525158478604784</v>
      </c>
      <c r="S389" s="2">
        <f t="shared" si="39"/>
        <v>-4.9751584786052849E-2</v>
      </c>
    </row>
    <row r="390" spans="2:19" x14ac:dyDescent="0.25">
      <c r="B390" s="1">
        <f t="shared" si="40"/>
        <v>384</v>
      </c>
      <c r="C390" s="1">
        <v>656</v>
      </c>
      <c r="D390" s="13">
        <v>47.2</v>
      </c>
      <c r="E390" s="1" t="s">
        <v>11</v>
      </c>
      <c r="F390" s="2">
        <v>2.19</v>
      </c>
      <c r="G390" s="1" t="s">
        <v>12</v>
      </c>
      <c r="H390" s="1" t="s">
        <v>13</v>
      </c>
      <c r="I390" s="1" t="s">
        <v>14</v>
      </c>
      <c r="J390" s="14">
        <v>0.37142361111111111</v>
      </c>
      <c r="K390" s="15">
        <v>45537</v>
      </c>
      <c r="M390" s="2">
        <v>2.04</v>
      </c>
      <c r="O390" s="2">
        <f t="shared" si="35"/>
        <v>1.9650000000000001</v>
      </c>
      <c r="P390" s="2">
        <f t="shared" si="36"/>
        <v>57.05356576862124</v>
      </c>
      <c r="Q390" s="2">
        <f t="shared" si="37"/>
        <v>0.23549999999999499</v>
      </c>
      <c r="R390" s="2">
        <f t="shared" si="38"/>
        <v>0.2852840729001524</v>
      </c>
      <c r="S390" s="2">
        <f t="shared" si="39"/>
        <v>-4.9784072900157406E-2</v>
      </c>
    </row>
    <row r="391" spans="2:19" x14ac:dyDescent="0.25">
      <c r="B391" s="1">
        <f t="shared" si="40"/>
        <v>385</v>
      </c>
      <c r="C391" s="1">
        <v>658</v>
      </c>
      <c r="D391" s="13">
        <v>47</v>
      </c>
      <c r="E391" s="1" t="s">
        <v>11</v>
      </c>
      <c r="F391" s="2">
        <v>2.1949999999999998</v>
      </c>
      <c r="G391" s="1" t="s">
        <v>12</v>
      </c>
      <c r="H391" s="1" t="s">
        <v>13</v>
      </c>
      <c r="I391" s="1" t="s">
        <v>14</v>
      </c>
      <c r="J391" s="14">
        <v>0.37142361111111111</v>
      </c>
      <c r="K391" s="15">
        <v>45537</v>
      </c>
      <c r="M391" s="2">
        <v>2.0449999999999999</v>
      </c>
      <c r="O391" s="2">
        <f t="shared" si="35"/>
        <v>1.97</v>
      </c>
      <c r="P391" s="2">
        <f t="shared" si="36"/>
        <v>57.060063391442156</v>
      </c>
      <c r="Q391" s="2">
        <f t="shared" si="37"/>
        <v>0.23500000000001586</v>
      </c>
      <c r="R391" s="2">
        <f t="shared" si="38"/>
        <v>0.28531656101428232</v>
      </c>
      <c r="S391" s="2">
        <f t="shared" si="39"/>
        <v>-5.0316561014266459E-2</v>
      </c>
    </row>
    <row r="392" spans="2:19" x14ac:dyDescent="0.25">
      <c r="B392" s="1">
        <f t="shared" si="40"/>
        <v>386</v>
      </c>
      <c r="C392" s="1">
        <v>660</v>
      </c>
      <c r="D392" s="13">
        <v>47</v>
      </c>
      <c r="E392" s="1" t="s">
        <v>11</v>
      </c>
      <c r="F392" s="2">
        <v>2.2000000000000002</v>
      </c>
      <c r="G392" s="1" t="s">
        <v>12</v>
      </c>
      <c r="H392" s="1" t="s">
        <v>13</v>
      </c>
      <c r="I392" s="1" t="s">
        <v>14</v>
      </c>
      <c r="J392" s="14">
        <v>0.37142361111111111</v>
      </c>
      <c r="K392" s="15">
        <v>45537</v>
      </c>
      <c r="M392" s="2">
        <v>2.0500000000000003</v>
      </c>
      <c r="O392" s="2">
        <f t="shared" ref="O392:O455" si="41">M392-$X$23</f>
        <v>1.9750000000000003</v>
      </c>
      <c r="P392" s="2">
        <f t="shared" ref="P392:P455" si="42">O392*$AC$21+$Y$23</f>
        <v>57.066561014263073</v>
      </c>
      <c r="Q392" s="2">
        <f t="shared" ref="Q392:Q455" si="43">((D392+D393)/2)*(M393-M392)</f>
        <v>0.23474999999999502</v>
      </c>
      <c r="R392" s="2">
        <f t="shared" ref="R392:R455" si="44">((P392+P393)/2)*(O393-O392)</f>
        <v>0.28534904912836156</v>
      </c>
      <c r="S392" s="2">
        <f t="shared" ref="S392:S455" si="45">Q392-R392</f>
        <v>-5.0599049128366547E-2</v>
      </c>
    </row>
    <row r="393" spans="2:19" x14ac:dyDescent="0.25">
      <c r="B393" s="1">
        <f t="shared" ref="B393:B456" si="46">B392+1</f>
        <v>387</v>
      </c>
      <c r="C393" s="1">
        <v>661</v>
      </c>
      <c r="D393" s="13">
        <v>46.9</v>
      </c>
      <c r="E393" s="1" t="s">
        <v>11</v>
      </c>
      <c r="F393" s="2">
        <v>2.2050000000000001</v>
      </c>
      <c r="G393" s="1" t="s">
        <v>12</v>
      </c>
      <c r="H393" s="1" t="s">
        <v>13</v>
      </c>
      <c r="I393" s="1" t="s">
        <v>14</v>
      </c>
      <c r="J393" s="14">
        <v>0.37142361111111111</v>
      </c>
      <c r="K393" s="15">
        <v>45537</v>
      </c>
      <c r="M393" s="2">
        <v>2.0550000000000002</v>
      </c>
      <c r="O393" s="2">
        <f t="shared" si="41"/>
        <v>1.9800000000000002</v>
      </c>
      <c r="P393" s="2">
        <f t="shared" si="42"/>
        <v>57.073058637083996</v>
      </c>
      <c r="Q393" s="2">
        <f t="shared" si="43"/>
        <v>0.23474999999999502</v>
      </c>
      <c r="R393" s="2">
        <f t="shared" si="44"/>
        <v>0.28538153724246618</v>
      </c>
      <c r="S393" s="2">
        <f t="shared" si="45"/>
        <v>-5.0631537242471158E-2</v>
      </c>
    </row>
    <row r="394" spans="2:19" x14ac:dyDescent="0.25">
      <c r="B394" s="1">
        <f t="shared" si="46"/>
        <v>388</v>
      </c>
      <c r="C394" s="1">
        <v>662</v>
      </c>
      <c r="D394" s="13">
        <v>47</v>
      </c>
      <c r="E394" s="1" t="s">
        <v>11</v>
      </c>
      <c r="F394" s="2">
        <v>2.21</v>
      </c>
      <c r="G394" s="1" t="s">
        <v>12</v>
      </c>
      <c r="H394" s="1" t="s">
        <v>13</v>
      </c>
      <c r="I394" s="1" t="s">
        <v>14</v>
      </c>
      <c r="J394" s="14">
        <v>0.37142361111111111</v>
      </c>
      <c r="K394" s="15">
        <v>45537</v>
      </c>
      <c r="M394" s="2">
        <v>2.06</v>
      </c>
      <c r="O394" s="2">
        <f t="shared" si="41"/>
        <v>1.9850000000000001</v>
      </c>
      <c r="P394" s="2">
        <f t="shared" si="42"/>
        <v>57.079556259904912</v>
      </c>
      <c r="Q394" s="2">
        <f t="shared" si="43"/>
        <v>0.23499999999999499</v>
      </c>
      <c r="R394" s="2">
        <f t="shared" si="44"/>
        <v>0.28541402535657079</v>
      </c>
      <c r="S394" s="2">
        <f t="shared" si="45"/>
        <v>-5.0414025356575798E-2</v>
      </c>
    </row>
    <row r="395" spans="2:19" x14ac:dyDescent="0.25">
      <c r="B395" s="1">
        <f t="shared" si="46"/>
        <v>389</v>
      </c>
      <c r="C395" s="1">
        <v>664</v>
      </c>
      <c r="D395" s="13">
        <v>47</v>
      </c>
      <c r="E395" s="1" t="s">
        <v>11</v>
      </c>
      <c r="F395" s="2">
        <v>2.2149999999999999</v>
      </c>
      <c r="G395" s="1" t="s">
        <v>12</v>
      </c>
      <c r="H395" s="1" t="s">
        <v>13</v>
      </c>
      <c r="I395" s="1" t="s">
        <v>14</v>
      </c>
      <c r="J395" s="14">
        <v>0.3714351851851852</v>
      </c>
      <c r="K395" s="15">
        <v>45537</v>
      </c>
      <c r="M395" s="2">
        <v>2.0649999999999999</v>
      </c>
      <c r="O395" s="2">
        <f t="shared" si="41"/>
        <v>1.99</v>
      </c>
      <c r="P395" s="2">
        <f t="shared" si="42"/>
        <v>57.086053882725835</v>
      </c>
      <c r="Q395" s="2">
        <f t="shared" si="43"/>
        <v>0.23550000000001589</v>
      </c>
      <c r="R395" s="2">
        <f t="shared" si="44"/>
        <v>0.28544651347070071</v>
      </c>
      <c r="S395" s="2">
        <f t="shared" si="45"/>
        <v>-4.9946513470684822E-2</v>
      </c>
    </row>
    <row r="396" spans="2:19" x14ac:dyDescent="0.25">
      <c r="B396" s="1">
        <f t="shared" si="46"/>
        <v>390</v>
      </c>
      <c r="C396" s="1">
        <v>665</v>
      </c>
      <c r="D396" s="13">
        <v>47.2</v>
      </c>
      <c r="E396" s="1" t="s">
        <v>11</v>
      </c>
      <c r="F396" s="2">
        <v>2.2200000000000002</v>
      </c>
      <c r="G396" s="1" t="s">
        <v>12</v>
      </c>
      <c r="H396" s="1" t="s">
        <v>13</v>
      </c>
      <c r="I396" s="1" t="s">
        <v>14</v>
      </c>
      <c r="J396" s="14">
        <v>0.3714351851851852</v>
      </c>
      <c r="K396" s="15">
        <v>45537</v>
      </c>
      <c r="M396" s="2">
        <v>2.0700000000000003</v>
      </c>
      <c r="O396" s="2">
        <f t="shared" si="41"/>
        <v>1.9950000000000003</v>
      </c>
      <c r="P396" s="2">
        <f t="shared" si="42"/>
        <v>57.092551505546751</v>
      </c>
      <c r="Q396" s="2">
        <f t="shared" si="43"/>
        <v>0.23649999999999494</v>
      </c>
      <c r="R396" s="2">
        <f t="shared" si="44"/>
        <v>0.2854790015847673</v>
      </c>
      <c r="S396" s="2">
        <f t="shared" si="45"/>
        <v>-4.8979001584772364E-2</v>
      </c>
    </row>
    <row r="397" spans="2:19" x14ac:dyDescent="0.25">
      <c r="B397" s="1">
        <f t="shared" si="46"/>
        <v>391</v>
      </c>
      <c r="C397" s="1">
        <v>666</v>
      </c>
      <c r="D397" s="13">
        <v>47.4</v>
      </c>
      <c r="E397" s="1" t="s">
        <v>11</v>
      </c>
      <c r="F397" s="2">
        <v>2.2250000000000001</v>
      </c>
      <c r="G397" s="1" t="s">
        <v>12</v>
      </c>
      <c r="H397" s="1" t="s">
        <v>13</v>
      </c>
      <c r="I397" s="1" t="s">
        <v>14</v>
      </c>
      <c r="J397" s="14">
        <v>0.3714351851851852</v>
      </c>
      <c r="K397" s="15">
        <v>45537</v>
      </c>
      <c r="M397" s="2">
        <v>2.0750000000000002</v>
      </c>
      <c r="O397" s="2">
        <f t="shared" si="41"/>
        <v>2</v>
      </c>
      <c r="P397" s="2">
        <f t="shared" si="42"/>
        <v>57.099049128367675</v>
      </c>
      <c r="Q397" s="2">
        <f t="shared" si="43"/>
        <v>0.23749999999999494</v>
      </c>
      <c r="R397" s="2">
        <f t="shared" si="44"/>
        <v>0.28551148969888457</v>
      </c>
      <c r="S397" s="2">
        <f t="shared" si="45"/>
        <v>-4.8011489698889631E-2</v>
      </c>
    </row>
    <row r="398" spans="2:19" x14ac:dyDescent="0.25">
      <c r="B398" s="1">
        <f t="shared" si="46"/>
        <v>392</v>
      </c>
      <c r="C398" s="1">
        <v>667</v>
      </c>
      <c r="D398" s="13">
        <v>47.6</v>
      </c>
      <c r="E398" s="1" t="s">
        <v>11</v>
      </c>
      <c r="F398" s="2">
        <v>2.23</v>
      </c>
      <c r="G398" s="1" t="s">
        <v>12</v>
      </c>
      <c r="H398" s="1" t="s">
        <v>13</v>
      </c>
      <c r="I398" s="1" t="s">
        <v>14</v>
      </c>
      <c r="J398" s="14">
        <v>0.3714351851851852</v>
      </c>
      <c r="K398" s="15">
        <v>45537</v>
      </c>
      <c r="M398" s="2">
        <v>2.08</v>
      </c>
      <c r="O398" s="2">
        <f t="shared" si="41"/>
        <v>2.0049999999999999</v>
      </c>
      <c r="P398" s="2">
        <f t="shared" si="42"/>
        <v>57.105546751188591</v>
      </c>
      <c r="Q398" s="2">
        <f t="shared" si="43"/>
        <v>0.23824999999999494</v>
      </c>
      <c r="R398" s="2">
        <f t="shared" si="44"/>
        <v>0.28554397781298918</v>
      </c>
      <c r="S398" s="2">
        <f t="shared" si="45"/>
        <v>-4.7293977812994242E-2</v>
      </c>
    </row>
    <row r="399" spans="2:19" x14ac:dyDescent="0.25">
      <c r="B399" s="1">
        <f t="shared" si="46"/>
        <v>393</v>
      </c>
      <c r="C399" s="1">
        <v>668</v>
      </c>
      <c r="D399" s="13">
        <v>47.7</v>
      </c>
      <c r="E399" s="1" t="s">
        <v>11</v>
      </c>
      <c r="F399" s="2">
        <v>2.2349999999999999</v>
      </c>
      <c r="G399" s="1" t="s">
        <v>12</v>
      </c>
      <c r="H399" s="1" t="s">
        <v>13</v>
      </c>
      <c r="I399" s="1" t="s">
        <v>14</v>
      </c>
      <c r="J399" s="14">
        <v>0.3714351851851852</v>
      </c>
      <c r="K399" s="15">
        <v>45537</v>
      </c>
      <c r="M399" s="2">
        <v>2.085</v>
      </c>
      <c r="O399" s="2">
        <f t="shared" si="41"/>
        <v>2.0099999999999998</v>
      </c>
      <c r="P399" s="2">
        <f t="shared" si="42"/>
        <v>57.112044374009507</v>
      </c>
      <c r="Q399" s="2">
        <f t="shared" si="43"/>
        <v>0.23850000000001612</v>
      </c>
      <c r="R399" s="2">
        <f t="shared" si="44"/>
        <v>0.28557646592711916</v>
      </c>
      <c r="S399" s="2">
        <f t="shared" si="45"/>
        <v>-4.7076465927103045E-2</v>
      </c>
    </row>
    <row r="400" spans="2:19" x14ac:dyDescent="0.25">
      <c r="B400" s="1">
        <f t="shared" si="46"/>
        <v>394</v>
      </c>
      <c r="C400" s="1">
        <v>669</v>
      </c>
      <c r="D400" s="13">
        <v>47.7</v>
      </c>
      <c r="E400" s="1" t="s">
        <v>11</v>
      </c>
      <c r="F400" s="2">
        <v>2.2400000000000002</v>
      </c>
      <c r="G400" s="1" t="s">
        <v>12</v>
      </c>
      <c r="H400" s="1" t="s">
        <v>13</v>
      </c>
      <c r="I400" s="1" t="s">
        <v>14</v>
      </c>
      <c r="J400" s="14">
        <v>0.3714351851851852</v>
      </c>
      <c r="K400" s="15">
        <v>45537</v>
      </c>
      <c r="M400" s="2">
        <v>2.0900000000000003</v>
      </c>
      <c r="O400" s="2">
        <f t="shared" si="41"/>
        <v>2.0150000000000001</v>
      </c>
      <c r="P400" s="2">
        <f t="shared" si="42"/>
        <v>57.11854199683043</v>
      </c>
      <c r="Q400" s="2">
        <f t="shared" si="43"/>
        <v>0.23874999999999491</v>
      </c>
      <c r="R400" s="2">
        <f t="shared" si="44"/>
        <v>0.28560895404119835</v>
      </c>
      <c r="S400" s="2">
        <f t="shared" si="45"/>
        <v>-4.6858954041203438E-2</v>
      </c>
    </row>
    <row r="401" spans="2:19" x14ac:dyDescent="0.25">
      <c r="B401" s="1">
        <f t="shared" si="46"/>
        <v>395</v>
      </c>
      <c r="C401" s="1">
        <v>670</v>
      </c>
      <c r="D401" s="13">
        <v>47.8</v>
      </c>
      <c r="E401" s="1" t="s">
        <v>11</v>
      </c>
      <c r="F401" s="2">
        <v>2.2450000000000001</v>
      </c>
      <c r="G401" s="1" t="s">
        <v>12</v>
      </c>
      <c r="H401" s="1" t="s">
        <v>13</v>
      </c>
      <c r="I401" s="1" t="s">
        <v>14</v>
      </c>
      <c r="J401" s="14">
        <v>0.3714351851851852</v>
      </c>
      <c r="K401" s="15">
        <v>45537</v>
      </c>
      <c r="M401" s="2">
        <v>2.0950000000000002</v>
      </c>
      <c r="O401" s="2">
        <f t="shared" si="41"/>
        <v>2.02</v>
      </c>
      <c r="P401" s="2">
        <f t="shared" si="42"/>
        <v>57.125039619651346</v>
      </c>
      <c r="Q401" s="2">
        <f t="shared" si="43"/>
        <v>0.23924999999999488</v>
      </c>
      <c r="R401" s="2">
        <f t="shared" si="44"/>
        <v>0.28564144215530296</v>
      </c>
      <c r="S401" s="2">
        <f t="shared" si="45"/>
        <v>-4.6391442155308077E-2</v>
      </c>
    </row>
    <row r="402" spans="2:19" x14ac:dyDescent="0.25">
      <c r="B402" s="1">
        <f t="shared" si="46"/>
        <v>396</v>
      </c>
      <c r="C402" s="1">
        <v>672</v>
      </c>
      <c r="D402" s="13">
        <v>47.9</v>
      </c>
      <c r="E402" s="1" t="s">
        <v>11</v>
      </c>
      <c r="F402" s="2">
        <v>2.25</v>
      </c>
      <c r="G402" s="1" t="s">
        <v>12</v>
      </c>
      <c r="H402" s="1" t="s">
        <v>13</v>
      </c>
      <c r="I402" s="1" t="s">
        <v>14</v>
      </c>
      <c r="J402" s="14">
        <v>0.3714351851851852</v>
      </c>
      <c r="K402" s="15">
        <v>45537</v>
      </c>
      <c r="M402" s="2">
        <v>2.1</v>
      </c>
      <c r="O402" s="2">
        <f t="shared" si="41"/>
        <v>2.0249999999999999</v>
      </c>
      <c r="P402" s="2">
        <f t="shared" si="42"/>
        <v>57.13153724247227</v>
      </c>
      <c r="Q402" s="2">
        <f t="shared" si="43"/>
        <v>0.23999999999999488</v>
      </c>
      <c r="R402" s="2">
        <f t="shared" si="44"/>
        <v>0.28567393026940757</v>
      </c>
      <c r="S402" s="2">
        <f t="shared" si="45"/>
        <v>-4.5673930269412688E-2</v>
      </c>
    </row>
    <row r="403" spans="2:19" x14ac:dyDescent="0.25">
      <c r="B403" s="1">
        <f t="shared" si="46"/>
        <v>397</v>
      </c>
      <c r="C403" s="1">
        <v>674</v>
      </c>
      <c r="D403" s="13">
        <v>48.1</v>
      </c>
      <c r="E403" s="1" t="s">
        <v>11</v>
      </c>
      <c r="F403" s="2">
        <v>2.2549999999999999</v>
      </c>
      <c r="G403" s="1" t="s">
        <v>12</v>
      </c>
      <c r="H403" s="1" t="s">
        <v>13</v>
      </c>
      <c r="I403" s="1" t="s">
        <v>14</v>
      </c>
      <c r="J403" s="14">
        <v>0.37144675925925924</v>
      </c>
      <c r="K403" s="15">
        <v>45537</v>
      </c>
      <c r="M403" s="2">
        <v>2.105</v>
      </c>
      <c r="O403" s="2">
        <f t="shared" si="41"/>
        <v>2.0299999999999998</v>
      </c>
      <c r="P403" s="2">
        <f t="shared" si="42"/>
        <v>57.138034865293186</v>
      </c>
      <c r="Q403" s="2">
        <f t="shared" si="43"/>
        <v>0.24074999999999488</v>
      </c>
      <c r="R403" s="2">
        <f t="shared" si="44"/>
        <v>0.28570641838351218</v>
      </c>
      <c r="S403" s="2">
        <f t="shared" si="45"/>
        <v>-4.4956418383517299E-2</v>
      </c>
    </row>
    <row r="404" spans="2:19" x14ac:dyDescent="0.25">
      <c r="B404" s="1">
        <f t="shared" si="46"/>
        <v>398</v>
      </c>
      <c r="C404" s="1">
        <v>676</v>
      </c>
      <c r="D404" s="13">
        <v>48.2</v>
      </c>
      <c r="E404" s="1" t="s">
        <v>11</v>
      </c>
      <c r="F404" s="2">
        <v>2.2599999999999998</v>
      </c>
      <c r="G404" s="1" t="s">
        <v>12</v>
      </c>
      <c r="H404" s="1" t="s">
        <v>13</v>
      </c>
      <c r="I404" s="1" t="s">
        <v>14</v>
      </c>
      <c r="J404" s="14">
        <v>0.37144675925925924</v>
      </c>
      <c r="K404" s="15">
        <v>45537</v>
      </c>
      <c r="M404" s="2">
        <v>2.11</v>
      </c>
      <c r="O404" s="2">
        <f t="shared" si="41"/>
        <v>2.0349999999999997</v>
      </c>
      <c r="P404" s="2">
        <f t="shared" si="42"/>
        <v>57.144532488114109</v>
      </c>
      <c r="Q404" s="2">
        <f t="shared" si="43"/>
        <v>0.24175000000001631</v>
      </c>
      <c r="R404" s="2">
        <f t="shared" si="44"/>
        <v>0.28573890649764211</v>
      </c>
      <c r="S404" s="2">
        <f t="shared" si="45"/>
        <v>-4.3988906497625796E-2</v>
      </c>
    </row>
    <row r="405" spans="2:19" x14ac:dyDescent="0.25">
      <c r="B405" s="1">
        <f t="shared" si="46"/>
        <v>399</v>
      </c>
      <c r="C405" s="1">
        <v>679</v>
      </c>
      <c r="D405" s="13">
        <v>48.5</v>
      </c>
      <c r="E405" s="1" t="s">
        <v>11</v>
      </c>
      <c r="F405" s="2">
        <v>2.2650000000000001</v>
      </c>
      <c r="G405" s="1" t="s">
        <v>12</v>
      </c>
      <c r="H405" s="1" t="s">
        <v>13</v>
      </c>
      <c r="I405" s="1" t="s">
        <v>14</v>
      </c>
      <c r="J405" s="14">
        <v>0.37144675925925924</v>
      </c>
      <c r="K405" s="15">
        <v>45537</v>
      </c>
      <c r="M405" s="2">
        <v>2.1150000000000002</v>
      </c>
      <c r="O405" s="2">
        <f t="shared" si="41"/>
        <v>2.04</v>
      </c>
      <c r="P405" s="2">
        <f t="shared" si="42"/>
        <v>57.151030110935025</v>
      </c>
      <c r="Q405" s="2">
        <f t="shared" si="43"/>
        <v>0.24249999999999483</v>
      </c>
      <c r="R405" s="2">
        <f t="shared" si="44"/>
        <v>0.28577139461172135</v>
      </c>
      <c r="S405" s="2">
        <f t="shared" si="45"/>
        <v>-4.3271394611726521E-2</v>
      </c>
    </row>
    <row r="406" spans="2:19" x14ac:dyDescent="0.25">
      <c r="B406" s="1">
        <f t="shared" si="46"/>
        <v>400</v>
      </c>
      <c r="C406" s="1">
        <v>680</v>
      </c>
      <c r="D406" s="13">
        <v>48.5</v>
      </c>
      <c r="E406" s="1" t="s">
        <v>11</v>
      </c>
      <c r="F406" s="2">
        <v>2.27</v>
      </c>
      <c r="G406" s="1" t="s">
        <v>12</v>
      </c>
      <c r="H406" s="1" t="s">
        <v>13</v>
      </c>
      <c r="I406" s="1" t="s">
        <v>14</v>
      </c>
      <c r="J406" s="14">
        <v>0.37144675925925924</v>
      </c>
      <c r="K406" s="15">
        <v>45537</v>
      </c>
      <c r="M406" s="2">
        <v>2.12</v>
      </c>
      <c r="O406" s="2">
        <f t="shared" si="41"/>
        <v>2.0449999999999999</v>
      </c>
      <c r="P406" s="2">
        <f t="shared" si="42"/>
        <v>57.157527733755941</v>
      </c>
      <c r="Q406" s="2">
        <f t="shared" si="43"/>
        <v>0.48649999999998961</v>
      </c>
      <c r="R406" s="2">
        <f t="shared" si="44"/>
        <v>0.57164025356575643</v>
      </c>
      <c r="S406" s="2">
        <f t="shared" si="45"/>
        <v>-8.5140253565766821E-2</v>
      </c>
    </row>
    <row r="407" spans="2:19" x14ac:dyDescent="0.25">
      <c r="B407" s="1">
        <f t="shared" si="46"/>
        <v>401</v>
      </c>
      <c r="C407" s="1">
        <v>682</v>
      </c>
      <c r="D407" s="13">
        <v>48.8</v>
      </c>
      <c r="E407" s="1" t="s">
        <v>11</v>
      </c>
      <c r="F407" s="2">
        <v>2.2799999999999998</v>
      </c>
      <c r="G407" s="1" t="s">
        <v>12</v>
      </c>
      <c r="H407" s="1" t="s">
        <v>13</v>
      </c>
      <c r="I407" s="1" t="s">
        <v>14</v>
      </c>
      <c r="J407" s="14">
        <v>0.37144675925925924</v>
      </c>
      <c r="K407" s="15">
        <v>45537</v>
      </c>
      <c r="M407" s="2">
        <v>2.13</v>
      </c>
      <c r="O407" s="2">
        <f t="shared" si="41"/>
        <v>2.0549999999999997</v>
      </c>
      <c r="P407" s="2">
        <f t="shared" si="42"/>
        <v>57.170522979397781</v>
      </c>
      <c r="Q407" s="2">
        <f t="shared" si="43"/>
        <v>0.24450000000001651</v>
      </c>
      <c r="R407" s="2">
        <f t="shared" si="44"/>
        <v>0.2858688589540605</v>
      </c>
      <c r="S407" s="2">
        <f t="shared" si="45"/>
        <v>-4.1368858954043991E-2</v>
      </c>
    </row>
    <row r="408" spans="2:19" x14ac:dyDescent="0.25">
      <c r="B408" s="1">
        <f t="shared" si="46"/>
        <v>402</v>
      </c>
      <c r="C408" s="1">
        <v>683</v>
      </c>
      <c r="D408" s="13">
        <v>49</v>
      </c>
      <c r="E408" s="1" t="s">
        <v>11</v>
      </c>
      <c r="F408" s="2">
        <v>2.2850000000000001</v>
      </c>
      <c r="G408" s="1" t="s">
        <v>12</v>
      </c>
      <c r="H408" s="1" t="s">
        <v>13</v>
      </c>
      <c r="I408" s="1" t="s">
        <v>14</v>
      </c>
      <c r="J408" s="14">
        <v>0.37144675925925924</v>
      </c>
      <c r="K408" s="15">
        <v>45537</v>
      </c>
      <c r="M408" s="2">
        <v>2.1350000000000002</v>
      </c>
      <c r="O408" s="2">
        <f t="shared" si="41"/>
        <v>2.06</v>
      </c>
      <c r="P408" s="2">
        <f t="shared" si="42"/>
        <v>57.177020602218704</v>
      </c>
      <c r="Q408" s="2">
        <f t="shared" si="43"/>
        <v>0.49099999999998956</v>
      </c>
      <c r="R408" s="2">
        <f t="shared" si="44"/>
        <v>0.57183518225038399</v>
      </c>
      <c r="S408" s="2">
        <f t="shared" si="45"/>
        <v>-8.0835182250394433E-2</v>
      </c>
    </row>
    <row r="409" spans="2:19" x14ac:dyDescent="0.25">
      <c r="B409" s="1">
        <f t="shared" si="46"/>
        <v>403</v>
      </c>
      <c r="C409" s="1">
        <v>684</v>
      </c>
      <c r="D409" s="13">
        <v>49.2</v>
      </c>
      <c r="E409" s="1" t="s">
        <v>11</v>
      </c>
      <c r="F409" s="2">
        <v>2.2949999999999999</v>
      </c>
      <c r="G409" s="1" t="s">
        <v>12</v>
      </c>
      <c r="H409" s="1" t="s">
        <v>13</v>
      </c>
      <c r="I409" s="1" t="s">
        <v>14</v>
      </c>
      <c r="J409" s="14">
        <v>0.37145833333333333</v>
      </c>
      <c r="K409" s="15">
        <v>45537</v>
      </c>
      <c r="M409" s="2">
        <v>2.145</v>
      </c>
      <c r="O409" s="2">
        <f t="shared" si="41"/>
        <v>2.0699999999999998</v>
      </c>
      <c r="P409" s="2">
        <f t="shared" si="42"/>
        <v>57.190015847860536</v>
      </c>
      <c r="Q409" s="2">
        <f t="shared" si="43"/>
        <v>0.49350000000001143</v>
      </c>
      <c r="R409" s="2">
        <f t="shared" si="44"/>
        <v>0.57196513470682775</v>
      </c>
      <c r="S409" s="2">
        <f t="shared" si="45"/>
        <v>-7.846513470681632E-2</v>
      </c>
    </row>
    <row r="410" spans="2:19" x14ac:dyDescent="0.25">
      <c r="B410" s="1">
        <f t="shared" si="46"/>
        <v>404</v>
      </c>
      <c r="C410" s="1">
        <v>685</v>
      </c>
      <c r="D410" s="13">
        <v>49.5</v>
      </c>
      <c r="E410" s="1" t="s">
        <v>11</v>
      </c>
      <c r="F410" s="2">
        <v>2.3050000000000002</v>
      </c>
      <c r="G410" s="1" t="s">
        <v>12</v>
      </c>
      <c r="H410" s="1" t="s">
        <v>13</v>
      </c>
      <c r="I410" s="1" t="s">
        <v>14</v>
      </c>
      <c r="J410" s="14">
        <v>0.37145833333333333</v>
      </c>
      <c r="K410" s="15">
        <v>45537</v>
      </c>
      <c r="M410" s="2">
        <v>2.1550000000000002</v>
      </c>
      <c r="O410" s="2">
        <f t="shared" si="41"/>
        <v>2.08</v>
      </c>
      <c r="P410" s="2">
        <f t="shared" si="42"/>
        <v>57.203011093502376</v>
      </c>
      <c r="Q410" s="2">
        <f t="shared" si="43"/>
        <v>0.49599999999998945</v>
      </c>
      <c r="R410" s="2">
        <f t="shared" si="44"/>
        <v>0.57209508716322077</v>
      </c>
      <c r="S410" s="2">
        <f t="shared" si="45"/>
        <v>-7.6095087163231323E-2</v>
      </c>
    </row>
    <row r="411" spans="2:19" x14ac:dyDescent="0.25">
      <c r="B411" s="1">
        <f t="shared" si="46"/>
        <v>405</v>
      </c>
      <c r="C411" s="1">
        <v>686</v>
      </c>
      <c r="D411" s="13">
        <v>49.7</v>
      </c>
      <c r="E411" s="1" t="s">
        <v>11</v>
      </c>
      <c r="F411" s="2">
        <v>2.3149999999999999</v>
      </c>
      <c r="G411" s="1" t="s">
        <v>12</v>
      </c>
      <c r="H411" s="1" t="s">
        <v>13</v>
      </c>
      <c r="I411" s="1" t="s">
        <v>14</v>
      </c>
      <c r="J411" s="14">
        <v>0.37145833333333333</v>
      </c>
      <c r="K411" s="15">
        <v>45537</v>
      </c>
      <c r="M411" s="2">
        <v>2.165</v>
      </c>
      <c r="O411" s="2">
        <f t="shared" si="41"/>
        <v>2.09</v>
      </c>
      <c r="P411" s="2">
        <f t="shared" si="42"/>
        <v>57.216006339144215</v>
      </c>
      <c r="Q411" s="2">
        <f t="shared" si="43"/>
        <v>0.4990000000000116</v>
      </c>
      <c r="R411" s="2">
        <f t="shared" si="44"/>
        <v>0.57222503961966453</v>
      </c>
      <c r="S411" s="2">
        <f t="shared" si="45"/>
        <v>-7.3225039619652932E-2</v>
      </c>
    </row>
    <row r="412" spans="2:19" x14ac:dyDescent="0.25">
      <c r="B412" s="1">
        <f t="shared" si="46"/>
        <v>406</v>
      </c>
      <c r="C412" s="1">
        <v>687</v>
      </c>
      <c r="D412" s="13">
        <v>50.1</v>
      </c>
      <c r="E412" s="1" t="s">
        <v>11</v>
      </c>
      <c r="F412" s="2">
        <v>2.3250000000000002</v>
      </c>
      <c r="G412" s="1" t="s">
        <v>12</v>
      </c>
      <c r="H412" s="1" t="s">
        <v>13</v>
      </c>
      <c r="I412" s="1" t="s">
        <v>14</v>
      </c>
      <c r="J412" s="14">
        <v>0.37145833333333333</v>
      </c>
      <c r="K412" s="15">
        <v>45537</v>
      </c>
      <c r="M412" s="2">
        <v>2.1750000000000003</v>
      </c>
      <c r="O412" s="2">
        <f t="shared" si="41"/>
        <v>2.1</v>
      </c>
      <c r="P412" s="2">
        <f t="shared" si="42"/>
        <v>57.229001584786054</v>
      </c>
      <c r="Q412" s="2">
        <f t="shared" si="43"/>
        <v>0.75449999999998385</v>
      </c>
      <c r="R412" s="2">
        <f t="shared" si="44"/>
        <v>0.8585812202852432</v>
      </c>
      <c r="S412" s="2">
        <f t="shared" si="45"/>
        <v>-0.10408122028525935</v>
      </c>
    </row>
    <row r="413" spans="2:19" x14ac:dyDescent="0.25">
      <c r="B413" s="1">
        <f t="shared" si="46"/>
        <v>407</v>
      </c>
      <c r="C413" s="1">
        <v>688</v>
      </c>
      <c r="D413" s="13">
        <v>50.5</v>
      </c>
      <c r="E413" s="1" t="s">
        <v>11</v>
      </c>
      <c r="F413" s="2">
        <v>2.34</v>
      </c>
      <c r="G413" s="1" t="s">
        <v>12</v>
      </c>
      <c r="H413" s="1" t="s">
        <v>13</v>
      </c>
      <c r="I413" s="1" t="s">
        <v>14</v>
      </c>
      <c r="J413" s="14">
        <v>0.37145833333333333</v>
      </c>
      <c r="K413" s="15">
        <v>45537</v>
      </c>
      <c r="M413" s="2">
        <v>2.19</v>
      </c>
      <c r="O413" s="2">
        <f t="shared" si="41"/>
        <v>2.1149999999999998</v>
      </c>
      <c r="P413" s="2">
        <f t="shared" si="42"/>
        <v>57.24849445324881</v>
      </c>
      <c r="Q413" s="2">
        <f t="shared" si="43"/>
        <v>0.50700000000001177</v>
      </c>
      <c r="R413" s="2">
        <f t="shared" si="44"/>
        <v>0.57254992076071043</v>
      </c>
      <c r="S413" s="2">
        <f t="shared" si="45"/>
        <v>-6.5549920760698654E-2</v>
      </c>
    </row>
    <row r="414" spans="2:19" x14ac:dyDescent="0.25">
      <c r="B414" s="1">
        <f t="shared" si="46"/>
        <v>408</v>
      </c>
      <c r="C414" s="1">
        <v>689</v>
      </c>
      <c r="D414" s="13">
        <v>50.9</v>
      </c>
      <c r="E414" s="1" t="s">
        <v>11</v>
      </c>
      <c r="F414" s="2">
        <v>2.35</v>
      </c>
      <c r="G414" s="1" t="s">
        <v>12</v>
      </c>
      <c r="H414" s="1" t="s">
        <v>13</v>
      </c>
      <c r="I414" s="1" t="s">
        <v>14</v>
      </c>
      <c r="J414" s="14">
        <v>0.37145833333333333</v>
      </c>
      <c r="K414" s="15">
        <v>45537</v>
      </c>
      <c r="M414" s="2">
        <v>2.2000000000000002</v>
      </c>
      <c r="O414" s="2">
        <f t="shared" si="41"/>
        <v>2.125</v>
      </c>
      <c r="P414" s="2">
        <f t="shared" si="42"/>
        <v>57.261489698890649</v>
      </c>
      <c r="Q414" s="2">
        <f t="shared" si="43"/>
        <v>0.25524999999999454</v>
      </c>
      <c r="R414" s="2">
        <f t="shared" si="44"/>
        <v>0.28632369255149948</v>
      </c>
      <c r="S414" s="2">
        <f t="shared" si="45"/>
        <v>-3.1073692551504939E-2</v>
      </c>
    </row>
    <row r="415" spans="2:19" x14ac:dyDescent="0.25">
      <c r="B415" s="1">
        <f t="shared" si="46"/>
        <v>409</v>
      </c>
      <c r="C415" s="1">
        <v>690</v>
      </c>
      <c r="D415" s="13">
        <v>51.2</v>
      </c>
      <c r="E415" s="1" t="s">
        <v>11</v>
      </c>
      <c r="F415" s="2">
        <v>2.355</v>
      </c>
      <c r="G415" s="1" t="s">
        <v>12</v>
      </c>
      <c r="H415" s="1" t="s">
        <v>13</v>
      </c>
      <c r="I415" s="1" t="s">
        <v>14</v>
      </c>
      <c r="J415" s="14">
        <v>0.37145833333333333</v>
      </c>
      <c r="K415" s="15">
        <v>45537</v>
      </c>
      <c r="M415" s="2">
        <v>2.2050000000000001</v>
      </c>
      <c r="O415" s="2">
        <f t="shared" si="41"/>
        <v>2.13</v>
      </c>
      <c r="P415" s="2">
        <f t="shared" si="42"/>
        <v>57.267987321711573</v>
      </c>
      <c r="Q415" s="2">
        <f t="shared" si="43"/>
        <v>0.51250000000001183</v>
      </c>
      <c r="R415" s="2">
        <f t="shared" si="44"/>
        <v>0.5727448494453381</v>
      </c>
      <c r="S415" s="2">
        <f t="shared" si="45"/>
        <v>-6.0244849445326265E-2</v>
      </c>
    </row>
    <row r="416" spans="2:19" x14ac:dyDescent="0.25">
      <c r="B416" s="1">
        <f t="shared" si="46"/>
        <v>410</v>
      </c>
      <c r="C416" s="1">
        <v>691</v>
      </c>
      <c r="D416" s="13">
        <v>51.3</v>
      </c>
      <c r="E416" s="1" t="s">
        <v>11</v>
      </c>
      <c r="F416" s="2">
        <v>2.3650000000000002</v>
      </c>
      <c r="G416" s="1" t="s">
        <v>12</v>
      </c>
      <c r="H416" s="1" t="s">
        <v>13</v>
      </c>
      <c r="I416" s="1" t="s">
        <v>14</v>
      </c>
      <c r="J416" s="14">
        <v>0.37145833333333333</v>
      </c>
      <c r="K416" s="15">
        <v>45537</v>
      </c>
      <c r="M416" s="2">
        <v>2.2150000000000003</v>
      </c>
      <c r="O416" s="2">
        <f t="shared" si="41"/>
        <v>2.14</v>
      </c>
      <c r="P416" s="2">
        <f t="shared" si="42"/>
        <v>57.280982567353405</v>
      </c>
      <c r="Q416" s="2">
        <f t="shared" si="43"/>
        <v>0.25699999999999451</v>
      </c>
      <c r="R416" s="2">
        <f t="shared" si="44"/>
        <v>0.2864211568938132</v>
      </c>
      <c r="S416" s="2">
        <f t="shared" si="45"/>
        <v>-2.942115689381869E-2</v>
      </c>
    </row>
    <row r="417" spans="2:19" x14ac:dyDescent="0.25">
      <c r="B417" s="1">
        <f t="shared" si="46"/>
        <v>411</v>
      </c>
      <c r="C417" s="1">
        <v>692</v>
      </c>
      <c r="D417" s="13">
        <v>51.5</v>
      </c>
      <c r="E417" s="1" t="s">
        <v>11</v>
      </c>
      <c r="F417" s="2">
        <v>2.37</v>
      </c>
      <c r="G417" s="1" t="s">
        <v>12</v>
      </c>
      <c r="H417" s="1" t="s">
        <v>13</v>
      </c>
      <c r="I417" s="1" t="s">
        <v>14</v>
      </c>
      <c r="J417" s="14">
        <v>0.37145833333333333</v>
      </c>
      <c r="K417" s="15">
        <v>45537</v>
      </c>
      <c r="M417" s="2">
        <v>2.2200000000000002</v>
      </c>
      <c r="O417" s="2">
        <f t="shared" si="41"/>
        <v>2.145</v>
      </c>
      <c r="P417" s="2">
        <f t="shared" si="42"/>
        <v>57.287480190174328</v>
      </c>
      <c r="Q417" s="2">
        <f t="shared" si="43"/>
        <v>0.25824999999999448</v>
      </c>
      <c r="R417" s="2">
        <f t="shared" si="44"/>
        <v>0.28645364500791781</v>
      </c>
      <c r="S417" s="2">
        <f t="shared" si="45"/>
        <v>-2.8203645007923328E-2</v>
      </c>
    </row>
    <row r="418" spans="2:19" x14ac:dyDescent="0.25">
      <c r="B418" s="1">
        <f t="shared" si="46"/>
        <v>412</v>
      </c>
      <c r="C418" s="1">
        <v>693</v>
      </c>
      <c r="D418" s="13">
        <v>51.8</v>
      </c>
      <c r="E418" s="1" t="s">
        <v>11</v>
      </c>
      <c r="F418" s="2">
        <v>2.375</v>
      </c>
      <c r="G418" s="1" t="s">
        <v>12</v>
      </c>
      <c r="H418" s="1" t="s">
        <v>13</v>
      </c>
      <c r="I418" s="1" t="s">
        <v>14</v>
      </c>
      <c r="J418" s="14">
        <v>0.37145833333333333</v>
      </c>
      <c r="K418" s="15">
        <v>45537</v>
      </c>
      <c r="M418" s="2">
        <v>2.2250000000000001</v>
      </c>
      <c r="O418" s="2">
        <f t="shared" si="41"/>
        <v>2.15</v>
      </c>
      <c r="P418" s="2">
        <f t="shared" si="42"/>
        <v>57.293977812995244</v>
      </c>
      <c r="Q418" s="2">
        <f t="shared" si="43"/>
        <v>0.25924999999999443</v>
      </c>
      <c r="R418" s="2">
        <f t="shared" si="44"/>
        <v>0.28648613312202242</v>
      </c>
      <c r="S418" s="2">
        <f t="shared" si="45"/>
        <v>-2.7236133122027995E-2</v>
      </c>
    </row>
    <row r="419" spans="2:19" x14ac:dyDescent="0.25">
      <c r="B419" s="1">
        <f t="shared" si="46"/>
        <v>413</v>
      </c>
      <c r="C419" s="1">
        <v>694</v>
      </c>
      <c r="D419" s="13">
        <v>51.9</v>
      </c>
      <c r="E419" s="1" t="s">
        <v>11</v>
      </c>
      <c r="F419" s="2">
        <v>2.38</v>
      </c>
      <c r="G419" s="1" t="s">
        <v>12</v>
      </c>
      <c r="H419" s="1" t="s">
        <v>13</v>
      </c>
      <c r="I419" s="1" t="s">
        <v>14</v>
      </c>
      <c r="J419" s="14">
        <v>0.37146990740740743</v>
      </c>
      <c r="K419" s="15">
        <v>45537</v>
      </c>
      <c r="M419" s="2">
        <v>2.23</v>
      </c>
      <c r="O419" s="2">
        <f t="shared" si="41"/>
        <v>2.1549999999999998</v>
      </c>
      <c r="P419" s="2">
        <f t="shared" si="42"/>
        <v>57.300475435816168</v>
      </c>
      <c r="Q419" s="2">
        <f t="shared" si="43"/>
        <v>0.52000000000001201</v>
      </c>
      <c r="R419" s="2">
        <f t="shared" si="44"/>
        <v>0.57306973058638411</v>
      </c>
      <c r="S419" s="2">
        <f t="shared" si="45"/>
        <v>-5.3069730586372099E-2</v>
      </c>
    </row>
    <row r="420" spans="2:19" x14ac:dyDescent="0.25">
      <c r="B420" s="1">
        <f t="shared" si="46"/>
        <v>414</v>
      </c>
      <c r="C420" s="1">
        <v>695</v>
      </c>
      <c r="D420" s="13">
        <v>52.1</v>
      </c>
      <c r="E420" s="1" t="s">
        <v>11</v>
      </c>
      <c r="F420" s="2">
        <v>2.39</v>
      </c>
      <c r="G420" s="1" t="s">
        <v>12</v>
      </c>
      <c r="H420" s="1" t="s">
        <v>13</v>
      </c>
      <c r="I420" s="1" t="s">
        <v>14</v>
      </c>
      <c r="J420" s="14">
        <v>0.37146990740740743</v>
      </c>
      <c r="K420" s="15">
        <v>45537</v>
      </c>
      <c r="M420" s="2">
        <v>2.2400000000000002</v>
      </c>
      <c r="O420" s="2">
        <f t="shared" si="41"/>
        <v>2.165</v>
      </c>
      <c r="P420" s="2">
        <f t="shared" si="42"/>
        <v>57.313470681458007</v>
      </c>
      <c r="Q420" s="2">
        <f t="shared" si="43"/>
        <v>0.26099999999999446</v>
      </c>
      <c r="R420" s="2">
        <f t="shared" si="44"/>
        <v>0.2865835974643362</v>
      </c>
      <c r="S420" s="2">
        <f t="shared" si="45"/>
        <v>-2.5583597464341745E-2</v>
      </c>
    </row>
    <row r="421" spans="2:19" x14ac:dyDescent="0.25">
      <c r="B421" s="1">
        <f t="shared" si="46"/>
        <v>415</v>
      </c>
      <c r="C421" s="1">
        <v>696</v>
      </c>
      <c r="D421" s="13">
        <v>52.3</v>
      </c>
      <c r="E421" s="1" t="s">
        <v>11</v>
      </c>
      <c r="F421" s="2">
        <v>2.395</v>
      </c>
      <c r="G421" s="1" t="s">
        <v>12</v>
      </c>
      <c r="H421" s="1" t="s">
        <v>13</v>
      </c>
      <c r="I421" s="1" t="s">
        <v>14</v>
      </c>
      <c r="J421" s="14">
        <v>0.37146990740740743</v>
      </c>
      <c r="K421" s="15">
        <v>45537</v>
      </c>
      <c r="M421" s="2">
        <v>2.2450000000000001</v>
      </c>
      <c r="O421" s="2">
        <f t="shared" si="41"/>
        <v>2.17</v>
      </c>
      <c r="P421" s="2">
        <f t="shared" si="42"/>
        <v>57.319968304278923</v>
      </c>
      <c r="Q421" s="2">
        <f t="shared" si="43"/>
        <v>0.2619999999999944</v>
      </c>
      <c r="R421" s="2">
        <f t="shared" si="44"/>
        <v>0.28661608557844082</v>
      </c>
      <c r="S421" s="2">
        <f t="shared" si="45"/>
        <v>-2.4616085578446412E-2</v>
      </c>
    </row>
    <row r="422" spans="2:19" x14ac:dyDescent="0.25">
      <c r="B422" s="1">
        <f t="shared" si="46"/>
        <v>416</v>
      </c>
      <c r="C422" s="1">
        <v>697</v>
      </c>
      <c r="D422" s="13">
        <v>52.5</v>
      </c>
      <c r="E422" s="1" t="s">
        <v>11</v>
      </c>
      <c r="F422" s="2">
        <v>2.4</v>
      </c>
      <c r="G422" s="1" t="s">
        <v>12</v>
      </c>
      <c r="H422" s="1" t="s">
        <v>13</v>
      </c>
      <c r="I422" s="1" t="s">
        <v>14</v>
      </c>
      <c r="J422" s="14">
        <v>0.37146990740740743</v>
      </c>
      <c r="K422" s="15">
        <v>45537</v>
      </c>
      <c r="M422" s="2">
        <v>2.25</v>
      </c>
      <c r="O422" s="2">
        <f t="shared" si="41"/>
        <v>2.1749999999999998</v>
      </c>
      <c r="P422" s="2">
        <f t="shared" si="42"/>
        <v>57.326465927099839</v>
      </c>
      <c r="Q422" s="2">
        <f t="shared" si="43"/>
        <v>0.26274999999999438</v>
      </c>
      <c r="R422" s="2">
        <f t="shared" si="44"/>
        <v>0.28664857369254543</v>
      </c>
      <c r="S422" s="2">
        <f t="shared" si="45"/>
        <v>-2.3898573692551051E-2</v>
      </c>
    </row>
    <row r="423" spans="2:19" x14ac:dyDescent="0.25">
      <c r="B423" s="1">
        <f t="shared" si="46"/>
        <v>417</v>
      </c>
      <c r="C423" s="1">
        <v>698</v>
      </c>
      <c r="D423" s="13">
        <v>52.6</v>
      </c>
      <c r="E423" s="1" t="s">
        <v>11</v>
      </c>
      <c r="F423" s="2">
        <v>2.4049999999999998</v>
      </c>
      <c r="G423" s="1" t="s">
        <v>12</v>
      </c>
      <c r="H423" s="1" t="s">
        <v>13</v>
      </c>
      <c r="I423" s="1" t="s">
        <v>14</v>
      </c>
      <c r="J423" s="14">
        <v>0.37146990740740743</v>
      </c>
      <c r="K423" s="15">
        <v>45537</v>
      </c>
      <c r="M423" s="2">
        <v>2.2549999999999999</v>
      </c>
      <c r="O423" s="2">
        <f t="shared" si="41"/>
        <v>2.1799999999999997</v>
      </c>
      <c r="P423" s="2">
        <f t="shared" si="42"/>
        <v>57.332963549920763</v>
      </c>
      <c r="Q423" s="2">
        <f t="shared" si="43"/>
        <v>0.2632500000000178</v>
      </c>
      <c r="R423" s="2">
        <f t="shared" si="44"/>
        <v>0.28668106180667546</v>
      </c>
      <c r="S423" s="2">
        <f t="shared" si="45"/>
        <v>-2.343106180665766E-2</v>
      </c>
    </row>
    <row r="424" spans="2:19" x14ac:dyDescent="0.25">
      <c r="B424" s="1">
        <f t="shared" si="46"/>
        <v>418</v>
      </c>
      <c r="C424" s="1">
        <v>699</v>
      </c>
      <c r="D424" s="13">
        <v>52.7</v>
      </c>
      <c r="E424" s="1" t="s">
        <v>11</v>
      </c>
      <c r="F424" s="2">
        <v>2.41</v>
      </c>
      <c r="G424" s="1" t="s">
        <v>12</v>
      </c>
      <c r="H424" s="1" t="s">
        <v>13</v>
      </c>
      <c r="I424" s="1" t="s">
        <v>14</v>
      </c>
      <c r="J424" s="14">
        <v>0.37146990740740743</v>
      </c>
      <c r="K424" s="15">
        <v>45537</v>
      </c>
      <c r="M424" s="2">
        <v>2.2600000000000002</v>
      </c>
      <c r="O424" s="2">
        <f t="shared" si="41"/>
        <v>2.1850000000000001</v>
      </c>
      <c r="P424" s="2">
        <f t="shared" si="42"/>
        <v>57.339461172741679</v>
      </c>
      <c r="Q424" s="2">
        <f t="shared" si="43"/>
        <v>0.26399999999999435</v>
      </c>
      <c r="R424" s="2">
        <f t="shared" si="44"/>
        <v>0.2867135499207546</v>
      </c>
      <c r="S424" s="2">
        <f t="shared" si="45"/>
        <v>-2.2713549920760245E-2</v>
      </c>
    </row>
    <row r="425" spans="2:19" x14ac:dyDescent="0.25">
      <c r="B425" s="1">
        <f t="shared" si="46"/>
        <v>419</v>
      </c>
      <c r="C425" s="1">
        <v>701</v>
      </c>
      <c r="D425" s="13">
        <v>52.9</v>
      </c>
      <c r="E425" s="1" t="s">
        <v>11</v>
      </c>
      <c r="F425" s="2">
        <v>2.415</v>
      </c>
      <c r="G425" s="1" t="s">
        <v>12</v>
      </c>
      <c r="H425" s="1" t="s">
        <v>13</v>
      </c>
      <c r="I425" s="1" t="s">
        <v>14</v>
      </c>
      <c r="J425" s="14">
        <v>0.37146990740740743</v>
      </c>
      <c r="K425" s="15">
        <v>45537</v>
      </c>
      <c r="M425" s="2">
        <v>2.2650000000000001</v>
      </c>
      <c r="O425" s="2">
        <f t="shared" si="41"/>
        <v>2.19</v>
      </c>
      <c r="P425" s="2">
        <f t="shared" si="42"/>
        <v>57.345958795562602</v>
      </c>
      <c r="Q425" s="2">
        <f t="shared" si="43"/>
        <v>0.26449999999999435</v>
      </c>
      <c r="R425" s="2">
        <f t="shared" si="44"/>
        <v>0.28674603803485921</v>
      </c>
      <c r="S425" s="2">
        <f t="shared" si="45"/>
        <v>-2.2246038034864857E-2</v>
      </c>
    </row>
    <row r="426" spans="2:19" x14ac:dyDescent="0.25">
      <c r="B426" s="1">
        <f t="shared" si="46"/>
        <v>420</v>
      </c>
      <c r="C426" s="1">
        <v>702</v>
      </c>
      <c r="D426" s="13">
        <v>52.9</v>
      </c>
      <c r="E426" s="1" t="s">
        <v>11</v>
      </c>
      <c r="F426" s="2">
        <v>2.42</v>
      </c>
      <c r="G426" s="1" t="s">
        <v>12</v>
      </c>
      <c r="H426" s="1" t="s">
        <v>13</v>
      </c>
      <c r="I426" s="1" t="s">
        <v>14</v>
      </c>
      <c r="J426" s="14">
        <v>0.37146990740740743</v>
      </c>
      <c r="K426" s="15">
        <v>45537</v>
      </c>
      <c r="M426" s="2">
        <v>2.27</v>
      </c>
      <c r="O426" s="2">
        <f t="shared" si="41"/>
        <v>2.1949999999999998</v>
      </c>
      <c r="P426" s="2">
        <f t="shared" si="42"/>
        <v>57.352456418383518</v>
      </c>
      <c r="Q426" s="2">
        <f t="shared" si="43"/>
        <v>0.26499999999999435</v>
      </c>
      <c r="R426" s="2">
        <f t="shared" si="44"/>
        <v>0.28677852614896382</v>
      </c>
      <c r="S426" s="2">
        <f t="shared" si="45"/>
        <v>-2.1778526148969468E-2</v>
      </c>
    </row>
    <row r="427" spans="2:19" x14ac:dyDescent="0.25">
      <c r="B427" s="1">
        <f t="shared" si="46"/>
        <v>421</v>
      </c>
      <c r="C427" s="1">
        <v>704</v>
      </c>
      <c r="D427" s="13">
        <v>53.1</v>
      </c>
      <c r="E427" s="1" t="s">
        <v>11</v>
      </c>
      <c r="F427" s="2">
        <v>2.4249999999999998</v>
      </c>
      <c r="G427" s="1" t="s">
        <v>12</v>
      </c>
      <c r="H427" s="1" t="s">
        <v>13</v>
      </c>
      <c r="I427" s="1" t="s">
        <v>14</v>
      </c>
      <c r="J427" s="14">
        <v>0.37148148148148147</v>
      </c>
      <c r="K427" s="15">
        <v>45537</v>
      </c>
      <c r="M427" s="2">
        <v>2.2749999999999999</v>
      </c>
      <c r="O427" s="2">
        <f t="shared" si="41"/>
        <v>2.1999999999999997</v>
      </c>
      <c r="P427" s="2">
        <f t="shared" si="42"/>
        <v>57.358954041204441</v>
      </c>
      <c r="Q427" s="2">
        <f t="shared" si="43"/>
        <v>0.26550000000001794</v>
      </c>
      <c r="R427" s="2">
        <f t="shared" si="44"/>
        <v>0.28681101426309386</v>
      </c>
      <c r="S427" s="2">
        <f t="shared" si="45"/>
        <v>-2.1311014263075911E-2</v>
      </c>
    </row>
    <row r="428" spans="2:19" x14ac:dyDescent="0.25">
      <c r="B428" s="1">
        <f t="shared" si="46"/>
        <v>422</v>
      </c>
      <c r="C428" s="1">
        <v>706</v>
      </c>
      <c r="D428" s="13">
        <v>53.1</v>
      </c>
      <c r="E428" s="1" t="s">
        <v>11</v>
      </c>
      <c r="F428" s="2">
        <v>2.4300000000000002</v>
      </c>
      <c r="G428" s="1" t="s">
        <v>12</v>
      </c>
      <c r="H428" s="1" t="s">
        <v>13</v>
      </c>
      <c r="I428" s="1" t="s">
        <v>14</v>
      </c>
      <c r="J428" s="14">
        <v>0.37148148148148147</v>
      </c>
      <c r="K428" s="15">
        <v>45537</v>
      </c>
      <c r="M428" s="2">
        <v>2.2800000000000002</v>
      </c>
      <c r="O428" s="2">
        <f t="shared" si="41"/>
        <v>2.2050000000000001</v>
      </c>
      <c r="P428" s="2">
        <f t="shared" si="42"/>
        <v>57.365451664025358</v>
      </c>
      <c r="Q428" s="2">
        <f t="shared" si="43"/>
        <v>0.26549999999999435</v>
      </c>
      <c r="R428" s="2">
        <f t="shared" si="44"/>
        <v>0.28684350237717299</v>
      </c>
      <c r="S428" s="2">
        <f t="shared" si="45"/>
        <v>-2.1343502377178636E-2</v>
      </c>
    </row>
    <row r="429" spans="2:19" x14ac:dyDescent="0.25">
      <c r="B429" s="1">
        <f t="shared" si="46"/>
        <v>423</v>
      </c>
      <c r="C429" s="1">
        <v>707</v>
      </c>
      <c r="D429" s="13">
        <v>53.1</v>
      </c>
      <c r="E429" s="1" t="s">
        <v>11</v>
      </c>
      <c r="F429" s="2">
        <v>2.4350000000000001</v>
      </c>
      <c r="G429" s="1" t="s">
        <v>12</v>
      </c>
      <c r="H429" s="1" t="s">
        <v>13</v>
      </c>
      <c r="I429" s="1" t="s">
        <v>14</v>
      </c>
      <c r="J429" s="14">
        <v>0.37148148148148147</v>
      </c>
      <c r="K429" s="15">
        <v>45537</v>
      </c>
      <c r="M429" s="2">
        <v>2.2850000000000001</v>
      </c>
      <c r="O429" s="2">
        <f t="shared" si="41"/>
        <v>2.21</v>
      </c>
      <c r="P429" s="2">
        <f t="shared" si="42"/>
        <v>57.371949286846274</v>
      </c>
      <c r="Q429" s="2">
        <f t="shared" si="43"/>
        <v>0.26574999999999438</v>
      </c>
      <c r="R429" s="2">
        <f t="shared" si="44"/>
        <v>0.28687599049127754</v>
      </c>
      <c r="S429" s="2">
        <f t="shared" si="45"/>
        <v>-2.1125990491283164E-2</v>
      </c>
    </row>
    <row r="430" spans="2:19" x14ac:dyDescent="0.25">
      <c r="B430" s="1">
        <f t="shared" si="46"/>
        <v>424</v>
      </c>
      <c r="C430" s="1">
        <v>709</v>
      </c>
      <c r="D430" s="13">
        <v>53.2</v>
      </c>
      <c r="E430" s="1" t="s">
        <v>11</v>
      </c>
      <c r="F430" s="2">
        <v>2.44</v>
      </c>
      <c r="G430" s="1" t="s">
        <v>12</v>
      </c>
      <c r="H430" s="1" t="s">
        <v>13</v>
      </c>
      <c r="I430" s="1" t="s">
        <v>14</v>
      </c>
      <c r="J430" s="14">
        <v>0.37148148148148147</v>
      </c>
      <c r="K430" s="15">
        <v>45537</v>
      </c>
      <c r="M430" s="2">
        <v>2.29</v>
      </c>
      <c r="O430" s="2">
        <f t="shared" si="41"/>
        <v>2.2149999999999999</v>
      </c>
      <c r="P430" s="2">
        <f t="shared" si="42"/>
        <v>57.378446909667197</v>
      </c>
      <c r="Q430" s="2">
        <f t="shared" si="43"/>
        <v>0.26599999999999435</v>
      </c>
      <c r="R430" s="2">
        <f t="shared" si="44"/>
        <v>0.28690847860538216</v>
      </c>
      <c r="S430" s="2">
        <f t="shared" si="45"/>
        <v>-2.0908478605387804E-2</v>
      </c>
    </row>
    <row r="431" spans="2:19" x14ac:dyDescent="0.25">
      <c r="B431" s="1">
        <f t="shared" si="46"/>
        <v>425</v>
      </c>
      <c r="C431" s="1">
        <v>711</v>
      </c>
      <c r="D431" s="13">
        <v>53.2</v>
      </c>
      <c r="E431" s="1" t="s">
        <v>11</v>
      </c>
      <c r="F431" s="2">
        <v>2.4449999999999998</v>
      </c>
      <c r="G431" s="1" t="s">
        <v>12</v>
      </c>
      <c r="H431" s="1" t="s">
        <v>13</v>
      </c>
      <c r="I431" s="1" t="s">
        <v>14</v>
      </c>
      <c r="J431" s="14">
        <v>0.37148148148148147</v>
      </c>
      <c r="K431" s="15">
        <v>45537</v>
      </c>
      <c r="M431" s="2">
        <v>2.2949999999999999</v>
      </c>
      <c r="O431" s="2">
        <f t="shared" si="41"/>
        <v>2.2199999999999998</v>
      </c>
      <c r="P431" s="2">
        <f t="shared" si="42"/>
        <v>57.384944532488113</v>
      </c>
      <c r="Q431" s="2">
        <f t="shared" si="43"/>
        <v>0.26600000000001794</v>
      </c>
      <c r="R431" s="2">
        <f t="shared" si="44"/>
        <v>0.28694096671951225</v>
      </c>
      <c r="S431" s="2">
        <f t="shared" si="45"/>
        <v>-2.0940966719494303E-2</v>
      </c>
    </row>
    <row r="432" spans="2:19" x14ac:dyDescent="0.25">
      <c r="B432" s="1">
        <f t="shared" si="46"/>
        <v>426</v>
      </c>
      <c r="C432" s="1">
        <v>713</v>
      </c>
      <c r="D432" s="13">
        <v>53.2</v>
      </c>
      <c r="E432" s="1" t="s">
        <v>11</v>
      </c>
      <c r="F432" s="2">
        <v>2.4500000000000002</v>
      </c>
      <c r="G432" s="1" t="s">
        <v>12</v>
      </c>
      <c r="H432" s="1" t="s">
        <v>13</v>
      </c>
      <c r="I432" s="1" t="s">
        <v>14</v>
      </c>
      <c r="J432" s="14">
        <v>0.37148148148148147</v>
      </c>
      <c r="K432" s="15">
        <v>45537</v>
      </c>
      <c r="M432" s="2">
        <v>2.3000000000000003</v>
      </c>
      <c r="O432" s="2">
        <f t="shared" si="41"/>
        <v>2.2250000000000001</v>
      </c>
      <c r="P432" s="2">
        <f t="shared" si="42"/>
        <v>57.391442155309036</v>
      </c>
      <c r="Q432" s="2">
        <f t="shared" si="43"/>
        <v>0.26624999999999432</v>
      </c>
      <c r="R432" s="2">
        <f t="shared" si="44"/>
        <v>0.28697345483359138</v>
      </c>
      <c r="S432" s="2">
        <f t="shared" si="45"/>
        <v>-2.0723454833597055E-2</v>
      </c>
    </row>
    <row r="433" spans="2:19" x14ac:dyDescent="0.25">
      <c r="B433" s="1">
        <f t="shared" si="46"/>
        <v>427</v>
      </c>
      <c r="C433" s="1">
        <v>715</v>
      </c>
      <c r="D433" s="13">
        <v>53.3</v>
      </c>
      <c r="E433" s="1" t="s">
        <v>11</v>
      </c>
      <c r="F433" s="2">
        <v>2.4550000000000001</v>
      </c>
      <c r="G433" s="1" t="s">
        <v>12</v>
      </c>
      <c r="H433" s="1" t="s">
        <v>13</v>
      </c>
      <c r="I433" s="1" t="s">
        <v>14</v>
      </c>
      <c r="J433" s="14">
        <v>0.37149305555555556</v>
      </c>
      <c r="K433" s="15">
        <v>45537</v>
      </c>
      <c r="M433" s="2">
        <v>2.3050000000000002</v>
      </c>
      <c r="O433" s="2">
        <f t="shared" si="41"/>
        <v>2.23</v>
      </c>
      <c r="P433" s="2">
        <f t="shared" si="42"/>
        <v>57.397939778129953</v>
      </c>
      <c r="Q433" s="2">
        <f t="shared" si="43"/>
        <v>0.2664999999999943</v>
      </c>
      <c r="R433" s="2">
        <f t="shared" si="44"/>
        <v>0.28700594294769594</v>
      </c>
      <c r="S433" s="2">
        <f t="shared" si="45"/>
        <v>-2.0505942947701639E-2</v>
      </c>
    </row>
    <row r="434" spans="2:19" x14ac:dyDescent="0.25">
      <c r="B434" s="1">
        <f t="shared" si="46"/>
        <v>428</v>
      </c>
      <c r="C434" s="1">
        <v>717</v>
      </c>
      <c r="D434" s="13">
        <v>53.3</v>
      </c>
      <c r="E434" s="1" t="s">
        <v>11</v>
      </c>
      <c r="F434" s="2">
        <v>2.46</v>
      </c>
      <c r="G434" s="1" t="s">
        <v>12</v>
      </c>
      <c r="H434" s="1" t="s">
        <v>13</v>
      </c>
      <c r="I434" s="1" t="s">
        <v>14</v>
      </c>
      <c r="J434" s="14">
        <v>0.37149305555555556</v>
      </c>
      <c r="K434" s="15">
        <v>45537</v>
      </c>
      <c r="M434" s="2">
        <v>2.31</v>
      </c>
      <c r="O434" s="2">
        <f t="shared" si="41"/>
        <v>2.2349999999999999</v>
      </c>
      <c r="P434" s="2">
        <f t="shared" si="42"/>
        <v>57.404437400950876</v>
      </c>
      <c r="Q434" s="2">
        <f t="shared" si="43"/>
        <v>0.26674999999999427</v>
      </c>
      <c r="R434" s="2">
        <f t="shared" si="44"/>
        <v>0.28703843106180055</v>
      </c>
      <c r="S434" s="2">
        <f t="shared" si="45"/>
        <v>-2.0288431061806278E-2</v>
      </c>
    </row>
    <row r="435" spans="2:19" x14ac:dyDescent="0.25">
      <c r="B435" s="1">
        <f t="shared" si="46"/>
        <v>429</v>
      </c>
      <c r="C435" s="1">
        <v>719</v>
      </c>
      <c r="D435" s="13">
        <v>53.4</v>
      </c>
      <c r="E435" s="1" t="s">
        <v>11</v>
      </c>
      <c r="F435" s="2">
        <v>2.4649999999999999</v>
      </c>
      <c r="G435" s="1" t="s">
        <v>12</v>
      </c>
      <c r="H435" s="1" t="s">
        <v>13</v>
      </c>
      <c r="I435" s="1" t="s">
        <v>14</v>
      </c>
      <c r="J435" s="14">
        <v>0.37149305555555556</v>
      </c>
      <c r="K435" s="15">
        <v>45537</v>
      </c>
      <c r="M435" s="2">
        <v>2.3149999999999999</v>
      </c>
      <c r="O435" s="2">
        <f t="shared" si="41"/>
        <v>2.2399999999999998</v>
      </c>
      <c r="P435" s="2">
        <f t="shared" si="42"/>
        <v>57.410935023771792</v>
      </c>
      <c r="Q435" s="2">
        <f t="shared" si="43"/>
        <v>0.267000000000018</v>
      </c>
      <c r="R435" s="2">
        <f t="shared" si="44"/>
        <v>0.28707091917593064</v>
      </c>
      <c r="S435" s="2">
        <f t="shared" si="45"/>
        <v>-2.0070919175912638E-2</v>
      </c>
    </row>
    <row r="436" spans="2:19" x14ac:dyDescent="0.25">
      <c r="B436" s="1">
        <f t="shared" si="46"/>
        <v>430</v>
      </c>
      <c r="C436" s="1">
        <v>723</v>
      </c>
      <c r="D436" s="13">
        <v>53.4</v>
      </c>
      <c r="E436" s="1" t="s">
        <v>11</v>
      </c>
      <c r="F436" s="2">
        <v>2.4700000000000002</v>
      </c>
      <c r="G436" s="1" t="s">
        <v>12</v>
      </c>
      <c r="H436" s="1" t="s">
        <v>13</v>
      </c>
      <c r="I436" s="1" t="s">
        <v>14</v>
      </c>
      <c r="J436" s="14">
        <v>0.37149305555555556</v>
      </c>
      <c r="K436" s="15">
        <v>45537</v>
      </c>
      <c r="M436" s="2">
        <v>2.3200000000000003</v>
      </c>
      <c r="O436" s="2">
        <f t="shared" si="41"/>
        <v>2.2450000000000001</v>
      </c>
      <c r="P436" s="2">
        <f t="shared" si="42"/>
        <v>57.417432646592715</v>
      </c>
      <c r="Q436" s="2">
        <f t="shared" si="43"/>
        <v>0.2669999999999943</v>
      </c>
      <c r="R436" s="2">
        <f t="shared" si="44"/>
        <v>0.28710340729000977</v>
      </c>
      <c r="S436" s="2">
        <f t="shared" si="45"/>
        <v>-2.0103407290015474E-2</v>
      </c>
    </row>
    <row r="437" spans="2:19" x14ac:dyDescent="0.25">
      <c r="B437" s="1">
        <f t="shared" si="46"/>
        <v>431</v>
      </c>
      <c r="C437" s="1">
        <v>726</v>
      </c>
      <c r="D437" s="13">
        <v>53.4</v>
      </c>
      <c r="E437" s="1" t="s">
        <v>11</v>
      </c>
      <c r="F437" s="2">
        <v>2.4750000000000001</v>
      </c>
      <c r="G437" s="1" t="s">
        <v>12</v>
      </c>
      <c r="H437" s="1" t="s">
        <v>13</v>
      </c>
      <c r="I437" s="1" t="s">
        <v>14</v>
      </c>
      <c r="J437" s="14">
        <v>0.37150462962962966</v>
      </c>
      <c r="K437" s="15">
        <v>45537</v>
      </c>
      <c r="M437" s="2">
        <v>2.3250000000000002</v>
      </c>
      <c r="O437" s="2">
        <f t="shared" si="41"/>
        <v>2.25</v>
      </c>
      <c r="P437" s="2">
        <f t="shared" si="42"/>
        <v>57.423930269413631</v>
      </c>
      <c r="Q437" s="2">
        <f t="shared" si="43"/>
        <v>0.26724999999999433</v>
      </c>
      <c r="R437" s="2">
        <f t="shared" si="44"/>
        <v>0.28713589540411433</v>
      </c>
      <c r="S437" s="2">
        <f t="shared" si="45"/>
        <v>-1.9885895404120002E-2</v>
      </c>
    </row>
    <row r="438" spans="2:19" x14ac:dyDescent="0.25">
      <c r="B438" s="1">
        <f t="shared" si="46"/>
        <v>432</v>
      </c>
      <c r="C438" s="1">
        <v>729</v>
      </c>
      <c r="D438" s="13">
        <v>53.5</v>
      </c>
      <c r="E438" s="1" t="s">
        <v>11</v>
      </c>
      <c r="F438" s="2">
        <v>2.48</v>
      </c>
      <c r="G438" s="1" t="s">
        <v>12</v>
      </c>
      <c r="H438" s="1" t="s">
        <v>13</v>
      </c>
      <c r="I438" s="1" t="s">
        <v>14</v>
      </c>
      <c r="J438" s="14">
        <v>0.37150462962962966</v>
      </c>
      <c r="K438" s="15">
        <v>45537</v>
      </c>
      <c r="M438" s="2">
        <v>2.33</v>
      </c>
      <c r="O438" s="2">
        <f t="shared" si="41"/>
        <v>2.2549999999999999</v>
      </c>
      <c r="P438" s="2">
        <f t="shared" si="42"/>
        <v>57.430427892234547</v>
      </c>
      <c r="Q438" s="2">
        <f t="shared" si="43"/>
        <v>0.2674999999999943</v>
      </c>
      <c r="R438" s="2">
        <f t="shared" si="44"/>
        <v>0.28716838351821888</v>
      </c>
      <c r="S438" s="2">
        <f t="shared" si="45"/>
        <v>-1.9668383518224586E-2</v>
      </c>
    </row>
    <row r="439" spans="2:19" x14ac:dyDescent="0.25">
      <c r="B439" s="1">
        <f t="shared" si="46"/>
        <v>433</v>
      </c>
      <c r="C439" s="1">
        <v>731</v>
      </c>
      <c r="D439" s="13">
        <v>53.5</v>
      </c>
      <c r="E439" s="1" t="s">
        <v>11</v>
      </c>
      <c r="F439" s="2">
        <v>2.4849999999999999</v>
      </c>
      <c r="G439" s="1" t="s">
        <v>12</v>
      </c>
      <c r="H439" s="1" t="s">
        <v>13</v>
      </c>
      <c r="I439" s="1" t="s">
        <v>14</v>
      </c>
      <c r="J439" s="14">
        <v>0.37150462962962966</v>
      </c>
      <c r="K439" s="15">
        <v>45537</v>
      </c>
      <c r="M439" s="2">
        <v>2.335</v>
      </c>
      <c r="O439" s="2">
        <f t="shared" si="41"/>
        <v>2.2599999999999998</v>
      </c>
      <c r="P439" s="2">
        <f t="shared" si="42"/>
        <v>57.436925515055471</v>
      </c>
      <c r="Q439" s="2">
        <f t="shared" si="43"/>
        <v>0.26750000000001806</v>
      </c>
      <c r="R439" s="2">
        <f t="shared" si="44"/>
        <v>0.28720087163234903</v>
      </c>
      <c r="S439" s="2">
        <f t="shared" si="45"/>
        <v>-1.9700871632330974E-2</v>
      </c>
    </row>
    <row r="440" spans="2:19" x14ac:dyDescent="0.25">
      <c r="B440" s="1">
        <f t="shared" si="46"/>
        <v>434</v>
      </c>
      <c r="C440" s="1">
        <v>732</v>
      </c>
      <c r="D440" s="13">
        <v>53.5</v>
      </c>
      <c r="E440" s="1" t="s">
        <v>11</v>
      </c>
      <c r="F440" s="2">
        <v>2.4900000000000002</v>
      </c>
      <c r="G440" s="1" t="s">
        <v>12</v>
      </c>
      <c r="H440" s="1" t="s">
        <v>13</v>
      </c>
      <c r="I440" s="1" t="s">
        <v>14</v>
      </c>
      <c r="J440" s="14">
        <v>0.37150462962962966</v>
      </c>
      <c r="K440" s="15">
        <v>45537</v>
      </c>
      <c r="M440" s="2">
        <v>2.3400000000000003</v>
      </c>
      <c r="O440" s="2">
        <f t="shared" si="41"/>
        <v>2.2650000000000001</v>
      </c>
      <c r="P440" s="2">
        <f t="shared" si="42"/>
        <v>57.443423137876387</v>
      </c>
      <c r="Q440" s="2">
        <f t="shared" si="43"/>
        <v>0.2674999999999943</v>
      </c>
      <c r="R440" s="2">
        <f t="shared" si="44"/>
        <v>0.28723335974642816</v>
      </c>
      <c r="S440" s="2">
        <f t="shared" si="45"/>
        <v>-1.9733359746433865E-2</v>
      </c>
    </row>
    <row r="441" spans="2:19" x14ac:dyDescent="0.25">
      <c r="B441" s="1">
        <f t="shared" si="46"/>
        <v>435</v>
      </c>
      <c r="C441" s="1">
        <v>733</v>
      </c>
      <c r="D441" s="13">
        <v>53.5</v>
      </c>
      <c r="E441" s="1" t="s">
        <v>11</v>
      </c>
      <c r="F441" s="2">
        <v>2.4950000000000001</v>
      </c>
      <c r="G441" s="1" t="s">
        <v>12</v>
      </c>
      <c r="H441" s="1" t="s">
        <v>13</v>
      </c>
      <c r="I441" s="1" t="s">
        <v>14</v>
      </c>
      <c r="J441" s="14">
        <v>0.37150462962962966</v>
      </c>
      <c r="K441" s="15">
        <v>45537</v>
      </c>
      <c r="M441" s="2">
        <v>2.3450000000000002</v>
      </c>
      <c r="O441" s="2">
        <f t="shared" si="41"/>
        <v>2.27</v>
      </c>
      <c r="P441" s="2">
        <f t="shared" si="42"/>
        <v>57.44992076069731</v>
      </c>
      <c r="Q441" s="2">
        <f t="shared" si="43"/>
        <v>0.26774999999999427</v>
      </c>
      <c r="R441" s="2">
        <f t="shared" si="44"/>
        <v>0.28726584786053272</v>
      </c>
      <c r="S441" s="2">
        <f t="shared" si="45"/>
        <v>-1.9515847860538449E-2</v>
      </c>
    </row>
    <row r="442" spans="2:19" x14ac:dyDescent="0.25">
      <c r="B442" s="1">
        <f t="shared" si="46"/>
        <v>436</v>
      </c>
      <c r="C442" s="1">
        <v>734</v>
      </c>
      <c r="D442" s="13">
        <v>53.6</v>
      </c>
      <c r="E442" s="1" t="s">
        <v>11</v>
      </c>
      <c r="F442" s="2">
        <v>2.5</v>
      </c>
      <c r="G442" s="1" t="s">
        <v>12</v>
      </c>
      <c r="H442" s="1" t="s">
        <v>13</v>
      </c>
      <c r="I442" s="1" t="s">
        <v>14</v>
      </c>
      <c r="J442" s="14">
        <v>0.3715162037037037</v>
      </c>
      <c r="K442" s="15">
        <v>45537</v>
      </c>
      <c r="M442" s="2">
        <v>2.35</v>
      </c>
      <c r="O442" s="2">
        <f t="shared" si="41"/>
        <v>2.2749999999999999</v>
      </c>
      <c r="P442" s="2">
        <f t="shared" si="42"/>
        <v>57.456418383518226</v>
      </c>
      <c r="Q442" s="2">
        <f t="shared" si="43"/>
        <v>0.2679999999999943</v>
      </c>
      <c r="R442" s="2">
        <f t="shared" si="44"/>
        <v>0.28729833597463728</v>
      </c>
      <c r="S442" s="2">
        <f t="shared" si="45"/>
        <v>-1.9298335974642977E-2</v>
      </c>
    </row>
    <row r="443" spans="2:19" x14ac:dyDescent="0.25">
      <c r="B443" s="1">
        <f t="shared" si="46"/>
        <v>437</v>
      </c>
      <c r="C443" s="1">
        <v>735</v>
      </c>
      <c r="D443" s="13">
        <v>53.6</v>
      </c>
      <c r="E443" s="1" t="s">
        <v>11</v>
      </c>
      <c r="F443" s="2">
        <v>2.5049999999999999</v>
      </c>
      <c r="G443" s="1" t="s">
        <v>12</v>
      </c>
      <c r="H443" s="1" t="s">
        <v>13</v>
      </c>
      <c r="I443" s="1" t="s">
        <v>14</v>
      </c>
      <c r="J443" s="14">
        <v>0.3715162037037037</v>
      </c>
      <c r="K443" s="15">
        <v>45537</v>
      </c>
      <c r="M443" s="2">
        <v>2.355</v>
      </c>
      <c r="O443" s="2">
        <f t="shared" si="41"/>
        <v>2.2799999999999998</v>
      </c>
      <c r="P443" s="2">
        <f t="shared" si="42"/>
        <v>57.462916006339142</v>
      </c>
      <c r="Q443" s="2">
        <f t="shared" si="43"/>
        <v>0.53650000000001241</v>
      </c>
      <c r="R443" s="2">
        <f t="shared" si="44"/>
        <v>0.57469413629161381</v>
      </c>
      <c r="S443" s="2">
        <f t="shared" si="45"/>
        <v>-3.8194136291601399E-2</v>
      </c>
    </row>
    <row r="444" spans="2:19" x14ac:dyDescent="0.25">
      <c r="B444" s="1">
        <f t="shared" si="46"/>
        <v>438</v>
      </c>
      <c r="C444" s="1">
        <v>736</v>
      </c>
      <c r="D444" s="13">
        <v>53.7</v>
      </c>
      <c r="E444" s="1" t="s">
        <v>11</v>
      </c>
      <c r="F444" s="2">
        <v>2.5150000000000001</v>
      </c>
      <c r="G444" s="1" t="s">
        <v>12</v>
      </c>
      <c r="H444" s="1" t="s">
        <v>13</v>
      </c>
      <c r="I444" s="1" t="s">
        <v>14</v>
      </c>
      <c r="J444" s="14">
        <v>0.3715162037037037</v>
      </c>
      <c r="K444" s="15">
        <v>45537</v>
      </c>
      <c r="M444" s="2">
        <v>2.3650000000000002</v>
      </c>
      <c r="O444" s="2">
        <f t="shared" si="41"/>
        <v>2.29</v>
      </c>
      <c r="P444" s="2">
        <f t="shared" si="42"/>
        <v>57.475911251980982</v>
      </c>
      <c r="Q444" s="2">
        <f t="shared" si="43"/>
        <v>0.5369999999999886</v>
      </c>
      <c r="R444" s="2">
        <f t="shared" si="44"/>
        <v>0.57482408874800683</v>
      </c>
      <c r="S444" s="2">
        <f t="shared" si="45"/>
        <v>-3.7824088748018236E-2</v>
      </c>
    </row>
    <row r="445" spans="2:19" x14ac:dyDescent="0.25">
      <c r="B445" s="1">
        <f t="shared" si="46"/>
        <v>439</v>
      </c>
      <c r="C445" s="1">
        <v>737</v>
      </c>
      <c r="D445" s="13">
        <v>53.7</v>
      </c>
      <c r="E445" s="1" t="s">
        <v>11</v>
      </c>
      <c r="F445" s="2">
        <v>2.5249999999999999</v>
      </c>
      <c r="G445" s="1" t="s">
        <v>12</v>
      </c>
      <c r="H445" s="1" t="s">
        <v>13</v>
      </c>
      <c r="I445" s="1" t="s">
        <v>14</v>
      </c>
      <c r="J445" s="14">
        <v>0.3715162037037037</v>
      </c>
      <c r="K445" s="15">
        <v>45537</v>
      </c>
      <c r="M445" s="2">
        <v>2.375</v>
      </c>
      <c r="O445" s="2">
        <f t="shared" si="41"/>
        <v>2.2999999999999998</v>
      </c>
      <c r="P445" s="2">
        <f t="shared" si="42"/>
        <v>57.488906497622821</v>
      </c>
      <c r="Q445" s="2">
        <f t="shared" si="43"/>
        <v>0.26874999999999427</v>
      </c>
      <c r="R445" s="2">
        <f t="shared" si="44"/>
        <v>0.28746077654516028</v>
      </c>
      <c r="S445" s="2">
        <f t="shared" si="45"/>
        <v>-1.8710776545166008E-2</v>
      </c>
    </row>
    <row r="446" spans="2:19" x14ac:dyDescent="0.25">
      <c r="B446" s="1">
        <f t="shared" si="46"/>
        <v>440</v>
      </c>
      <c r="C446" s="1">
        <v>738</v>
      </c>
      <c r="D446" s="13">
        <v>53.8</v>
      </c>
      <c r="E446" s="1" t="s">
        <v>11</v>
      </c>
      <c r="F446" s="2">
        <v>2.5299999999999998</v>
      </c>
      <c r="G446" s="1" t="s">
        <v>12</v>
      </c>
      <c r="H446" s="1" t="s">
        <v>13</v>
      </c>
      <c r="I446" s="1" t="s">
        <v>14</v>
      </c>
      <c r="J446" s="14">
        <v>0.3715162037037037</v>
      </c>
      <c r="K446" s="15">
        <v>45537</v>
      </c>
      <c r="M446" s="2">
        <v>2.38</v>
      </c>
      <c r="O446" s="2">
        <f t="shared" si="41"/>
        <v>2.3049999999999997</v>
      </c>
      <c r="P446" s="2">
        <f t="shared" si="42"/>
        <v>57.495404120443737</v>
      </c>
      <c r="Q446" s="2">
        <f t="shared" si="43"/>
        <v>0.26875000000001814</v>
      </c>
      <c r="R446" s="2">
        <f t="shared" si="44"/>
        <v>0.28749326465929037</v>
      </c>
      <c r="S446" s="2">
        <f t="shared" si="45"/>
        <v>-1.874326465927223E-2</v>
      </c>
    </row>
    <row r="447" spans="2:19" x14ac:dyDescent="0.25">
      <c r="B447" s="1">
        <f t="shared" si="46"/>
        <v>441</v>
      </c>
      <c r="C447" s="1">
        <v>739</v>
      </c>
      <c r="D447" s="13">
        <v>53.7</v>
      </c>
      <c r="E447" s="1" t="s">
        <v>11</v>
      </c>
      <c r="F447" s="2">
        <v>2.5350000000000001</v>
      </c>
      <c r="G447" s="1" t="s">
        <v>12</v>
      </c>
      <c r="H447" s="1" t="s">
        <v>13</v>
      </c>
      <c r="I447" s="1" t="s">
        <v>14</v>
      </c>
      <c r="J447" s="14">
        <v>0.3715162037037037</v>
      </c>
      <c r="K447" s="15">
        <v>45537</v>
      </c>
      <c r="M447" s="2">
        <v>2.3850000000000002</v>
      </c>
      <c r="O447" s="2">
        <f t="shared" si="41"/>
        <v>2.31</v>
      </c>
      <c r="P447" s="2">
        <f t="shared" si="42"/>
        <v>57.501901743264661</v>
      </c>
      <c r="Q447" s="2">
        <f t="shared" si="43"/>
        <v>0.2684999999999943</v>
      </c>
      <c r="R447" s="2">
        <f t="shared" si="44"/>
        <v>0.28752575277336945</v>
      </c>
      <c r="S447" s="2">
        <f t="shared" si="45"/>
        <v>-1.9025752773375149E-2</v>
      </c>
    </row>
    <row r="448" spans="2:19" x14ac:dyDescent="0.25">
      <c r="B448" s="1">
        <f t="shared" si="46"/>
        <v>442</v>
      </c>
      <c r="C448" s="1">
        <v>740</v>
      </c>
      <c r="D448" s="13">
        <v>53.7</v>
      </c>
      <c r="E448" s="1" t="s">
        <v>11</v>
      </c>
      <c r="F448" s="2">
        <v>2.54</v>
      </c>
      <c r="G448" s="1" t="s">
        <v>12</v>
      </c>
      <c r="H448" s="1" t="s">
        <v>13</v>
      </c>
      <c r="I448" s="1" t="s">
        <v>14</v>
      </c>
      <c r="J448" s="14">
        <v>0.3715162037037037</v>
      </c>
      <c r="K448" s="15">
        <v>45537</v>
      </c>
      <c r="M448" s="2">
        <v>2.39</v>
      </c>
      <c r="O448" s="2">
        <f t="shared" si="41"/>
        <v>2.3149999999999999</v>
      </c>
      <c r="P448" s="2">
        <f t="shared" si="42"/>
        <v>57.508399366085577</v>
      </c>
      <c r="Q448" s="2">
        <f t="shared" si="43"/>
        <v>0.53749999999998854</v>
      </c>
      <c r="R448" s="2">
        <f t="shared" si="44"/>
        <v>0.57514896988905273</v>
      </c>
      <c r="S448" s="2">
        <f t="shared" si="45"/>
        <v>-3.7648969889064188E-2</v>
      </c>
    </row>
    <row r="449" spans="2:19" x14ac:dyDescent="0.25">
      <c r="B449" s="1">
        <f t="shared" si="46"/>
        <v>443</v>
      </c>
      <c r="C449" s="1">
        <v>741</v>
      </c>
      <c r="D449" s="13">
        <v>53.8</v>
      </c>
      <c r="E449" s="1" t="s">
        <v>11</v>
      </c>
      <c r="F449" s="2">
        <v>2.5499999999999998</v>
      </c>
      <c r="G449" s="1" t="s">
        <v>12</v>
      </c>
      <c r="H449" s="1" t="s">
        <v>13</v>
      </c>
      <c r="I449" s="1" t="s">
        <v>14</v>
      </c>
      <c r="J449" s="14">
        <v>0.3715162037037037</v>
      </c>
      <c r="K449" s="15">
        <v>45537</v>
      </c>
      <c r="M449" s="2">
        <v>2.4</v>
      </c>
      <c r="O449" s="2">
        <f t="shared" si="41"/>
        <v>2.3249999999999997</v>
      </c>
      <c r="P449" s="2">
        <f t="shared" si="42"/>
        <v>57.521394611727416</v>
      </c>
      <c r="Q449" s="2">
        <f t="shared" si="43"/>
        <v>0.26900000000001817</v>
      </c>
      <c r="R449" s="2">
        <f t="shared" si="44"/>
        <v>0.28762321711570876</v>
      </c>
      <c r="S449" s="2">
        <f t="shared" si="45"/>
        <v>-1.8623217115690593E-2</v>
      </c>
    </row>
    <row r="450" spans="2:19" x14ac:dyDescent="0.25">
      <c r="B450" s="1">
        <f t="shared" si="46"/>
        <v>444</v>
      </c>
      <c r="C450" s="1">
        <v>742</v>
      </c>
      <c r="D450" s="13">
        <v>53.8</v>
      </c>
      <c r="E450" s="1" t="s">
        <v>11</v>
      </c>
      <c r="F450" s="2">
        <v>2.5550000000000002</v>
      </c>
      <c r="G450" s="1" t="s">
        <v>12</v>
      </c>
      <c r="H450" s="1" t="s">
        <v>13</v>
      </c>
      <c r="I450" s="1" t="s">
        <v>14</v>
      </c>
      <c r="J450" s="14">
        <v>0.3715162037037037</v>
      </c>
      <c r="K450" s="15">
        <v>45537</v>
      </c>
      <c r="M450" s="2">
        <v>2.4050000000000002</v>
      </c>
      <c r="O450" s="2">
        <f t="shared" si="41"/>
        <v>2.33</v>
      </c>
      <c r="P450" s="2">
        <f t="shared" si="42"/>
        <v>57.527892234548339</v>
      </c>
      <c r="Q450" s="2">
        <f t="shared" si="43"/>
        <v>0.26899999999999424</v>
      </c>
      <c r="R450" s="2">
        <f t="shared" si="44"/>
        <v>0.28765570522978784</v>
      </c>
      <c r="S450" s="2">
        <f t="shared" si="45"/>
        <v>-1.8655705229793595E-2</v>
      </c>
    </row>
    <row r="451" spans="2:19" x14ac:dyDescent="0.25">
      <c r="B451" s="1">
        <f t="shared" si="46"/>
        <v>445</v>
      </c>
      <c r="C451" s="1">
        <v>744</v>
      </c>
      <c r="D451" s="13">
        <v>53.8</v>
      </c>
      <c r="E451" s="1" t="s">
        <v>11</v>
      </c>
      <c r="F451" s="2">
        <v>2.56</v>
      </c>
      <c r="G451" s="1" t="s">
        <v>12</v>
      </c>
      <c r="H451" s="1" t="s">
        <v>13</v>
      </c>
      <c r="I451" s="1" t="s">
        <v>14</v>
      </c>
      <c r="J451" s="14">
        <v>0.37152777777777779</v>
      </c>
      <c r="K451" s="15">
        <v>45537</v>
      </c>
      <c r="M451" s="2">
        <v>2.41</v>
      </c>
      <c r="O451" s="2">
        <f t="shared" si="41"/>
        <v>2.335</v>
      </c>
      <c r="P451" s="2">
        <f t="shared" si="42"/>
        <v>57.534389857369256</v>
      </c>
      <c r="Q451" s="2">
        <f t="shared" si="43"/>
        <v>0.26899999999999424</v>
      </c>
      <c r="R451" s="2">
        <f t="shared" si="44"/>
        <v>0.28768819334389245</v>
      </c>
      <c r="S451" s="2">
        <f t="shared" si="45"/>
        <v>-1.8688193343898207E-2</v>
      </c>
    </row>
    <row r="452" spans="2:19" x14ac:dyDescent="0.25">
      <c r="B452" s="1">
        <f t="shared" si="46"/>
        <v>446</v>
      </c>
      <c r="C452" s="1">
        <v>745</v>
      </c>
      <c r="D452" s="13">
        <v>53.8</v>
      </c>
      <c r="E452" s="1" t="s">
        <v>11</v>
      </c>
      <c r="F452" s="2">
        <v>2.5649999999999999</v>
      </c>
      <c r="G452" s="1" t="s">
        <v>12</v>
      </c>
      <c r="H452" s="1" t="s">
        <v>13</v>
      </c>
      <c r="I452" s="1" t="s">
        <v>14</v>
      </c>
      <c r="J452" s="14">
        <v>0.37152777777777779</v>
      </c>
      <c r="K452" s="15">
        <v>45537</v>
      </c>
      <c r="M452" s="2">
        <v>2.415</v>
      </c>
      <c r="O452" s="2">
        <f t="shared" si="41"/>
        <v>2.34</v>
      </c>
      <c r="P452" s="2">
        <f t="shared" si="42"/>
        <v>57.540887480190179</v>
      </c>
      <c r="Q452" s="2">
        <f t="shared" si="43"/>
        <v>0.26899999999999424</v>
      </c>
      <c r="R452" s="2">
        <f t="shared" si="44"/>
        <v>0.28772068145799706</v>
      </c>
      <c r="S452" s="2">
        <f t="shared" si="45"/>
        <v>-1.8720681458002819E-2</v>
      </c>
    </row>
    <row r="453" spans="2:19" x14ac:dyDescent="0.25">
      <c r="B453" s="1">
        <f t="shared" si="46"/>
        <v>447</v>
      </c>
      <c r="C453" s="1">
        <v>746</v>
      </c>
      <c r="D453" s="13">
        <v>53.8</v>
      </c>
      <c r="E453" s="1" t="s">
        <v>11</v>
      </c>
      <c r="F453" s="2">
        <v>2.57</v>
      </c>
      <c r="G453" s="1" t="s">
        <v>12</v>
      </c>
      <c r="H453" s="1" t="s">
        <v>13</v>
      </c>
      <c r="I453" s="1" t="s">
        <v>14</v>
      </c>
      <c r="J453" s="14">
        <v>0.37152777777777779</v>
      </c>
      <c r="K453" s="15">
        <v>45537</v>
      </c>
      <c r="M453" s="2">
        <v>2.42</v>
      </c>
      <c r="O453" s="2">
        <f t="shared" si="41"/>
        <v>2.3449999999999998</v>
      </c>
      <c r="P453" s="2">
        <f t="shared" si="42"/>
        <v>57.547385103011095</v>
      </c>
      <c r="Q453" s="2">
        <f t="shared" si="43"/>
        <v>0.26925000000001814</v>
      </c>
      <c r="R453" s="2">
        <f t="shared" si="44"/>
        <v>0.28775316957212721</v>
      </c>
      <c r="S453" s="2">
        <f t="shared" si="45"/>
        <v>-1.8503169572109068E-2</v>
      </c>
    </row>
    <row r="454" spans="2:19" x14ac:dyDescent="0.25">
      <c r="B454" s="1">
        <f t="shared" si="46"/>
        <v>448</v>
      </c>
      <c r="C454" s="1">
        <v>747</v>
      </c>
      <c r="D454" s="13">
        <v>53.9</v>
      </c>
      <c r="E454" s="1" t="s">
        <v>11</v>
      </c>
      <c r="F454" s="2">
        <v>2.5750000000000002</v>
      </c>
      <c r="G454" s="1" t="s">
        <v>12</v>
      </c>
      <c r="H454" s="1" t="s">
        <v>13</v>
      </c>
      <c r="I454" s="1" t="s">
        <v>14</v>
      </c>
      <c r="J454" s="14">
        <v>0.37152777777777779</v>
      </c>
      <c r="K454" s="15">
        <v>45537</v>
      </c>
      <c r="M454" s="2">
        <v>2.4250000000000003</v>
      </c>
      <c r="O454" s="2">
        <f t="shared" si="41"/>
        <v>2.35</v>
      </c>
      <c r="P454" s="2">
        <f t="shared" si="42"/>
        <v>57.553882725832011</v>
      </c>
      <c r="Q454" s="2">
        <f t="shared" si="43"/>
        <v>0.26949999999999424</v>
      </c>
      <c r="R454" s="2">
        <f t="shared" si="44"/>
        <v>0.28778565768620623</v>
      </c>
      <c r="S454" s="2">
        <f t="shared" si="45"/>
        <v>-1.8285657686211987E-2</v>
      </c>
    </row>
    <row r="455" spans="2:19" x14ac:dyDescent="0.25">
      <c r="B455" s="1">
        <f t="shared" si="46"/>
        <v>449</v>
      </c>
      <c r="C455" s="1">
        <v>748</v>
      </c>
      <c r="D455" s="13">
        <v>53.9</v>
      </c>
      <c r="E455" s="1" t="s">
        <v>11</v>
      </c>
      <c r="F455" s="2">
        <v>2.58</v>
      </c>
      <c r="G455" s="1" t="s">
        <v>12</v>
      </c>
      <c r="H455" s="1" t="s">
        <v>13</v>
      </c>
      <c r="I455" s="1" t="s">
        <v>14</v>
      </c>
      <c r="J455" s="14">
        <v>0.37152777777777779</v>
      </c>
      <c r="K455" s="15">
        <v>45537</v>
      </c>
      <c r="M455" s="2">
        <v>2.4300000000000002</v>
      </c>
      <c r="O455" s="2">
        <f t="shared" si="41"/>
        <v>2.355</v>
      </c>
      <c r="P455" s="2">
        <f t="shared" si="42"/>
        <v>57.560380348652934</v>
      </c>
      <c r="Q455" s="2">
        <f t="shared" si="43"/>
        <v>0.26974999999999427</v>
      </c>
      <c r="R455" s="2">
        <f t="shared" si="44"/>
        <v>0.28781814580031084</v>
      </c>
      <c r="S455" s="2">
        <f t="shared" si="45"/>
        <v>-1.8068145800316571E-2</v>
      </c>
    </row>
    <row r="456" spans="2:19" x14ac:dyDescent="0.25">
      <c r="B456" s="1">
        <f t="shared" si="46"/>
        <v>450</v>
      </c>
      <c r="C456" s="1">
        <v>749</v>
      </c>
      <c r="D456" s="13">
        <v>54</v>
      </c>
      <c r="E456" s="1" t="s">
        <v>11</v>
      </c>
      <c r="F456" s="2">
        <v>2.585</v>
      </c>
      <c r="G456" s="1" t="s">
        <v>12</v>
      </c>
      <c r="H456" s="1" t="s">
        <v>13</v>
      </c>
      <c r="I456" s="1" t="s">
        <v>14</v>
      </c>
      <c r="J456" s="14">
        <v>0.37152777777777779</v>
      </c>
      <c r="K456" s="15">
        <v>45537</v>
      </c>
      <c r="M456" s="2">
        <v>2.4350000000000001</v>
      </c>
      <c r="O456" s="2">
        <f t="shared" ref="O456:O519" si="47">M456-$X$23</f>
        <v>2.36</v>
      </c>
      <c r="P456" s="2">
        <f t="shared" ref="P456:P519" si="48">O456*$AC$21+$Y$23</f>
        <v>57.566877971473851</v>
      </c>
      <c r="Q456" s="2">
        <f t="shared" ref="Q456:Q519" si="49">((D456+D457)/2)*(M457-M456)</f>
        <v>0.26999999999999424</v>
      </c>
      <c r="R456" s="2">
        <f t="shared" ref="R456:R519" si="50">((P456+P457)/2)*(O457-O456)</f>
        <v>0.28785063391441545</v>
      </c>
      <c r="S456" s="2">
        <f t="shared" ref="S456:S519" si="51">Q456-R456</f>
        <v>-1.785063391442121E-2</v>
      </c>
    </row>
    <row r="457" spans="2:19" x14ac:dyDescent="0.25">
      <c r="B457" s="1">
        <f t="shared" ref="B457:B520" si="52">B456+1</f>
        <v>451</v>
      </c>
      <c r="C457" s="1">
        <v>750</v>
      </c>
      <c r="D457" s="13">
        <v>54</v>
      </c>
      <c r="E457" s="1" t="s">
        <v>11</v>
      </c>
      <c r="F457" s="2">
        <v>2.59</v>
      </c>
      <c r="G457" s="1" t="s">
        <v>12</v>
      </c>
      <c r="H457" s="1" t="s">
        <v>13</v>
      </c>
      <c r="I457" s="1" t="s">
        <v>14</v>
      </c>
      <c r="J457" s="14">
        <v>0.37152777777777779</v>
      </c>
      <c r="K457" s="15">
        <v>45537</v>
      </c>
      <c r="M457" s="2">
        <v>2.44</v>
      </c>
      <c r="O457" s="2">
        <f t="shared" si="47"/>
        <v>2.3649999999999998</v>
      </c>
      <c r="P457" s="2">
        <f t="shared" si="48"/>
        <v>57.573375594294774</v>
      </c>
      <c r="Q457" s="2">
        <f t="shared" si="49"/>
        <v>0.27000000000001823</v>
      </c>
      <c r="R457" s="2">
        <f t="shared" si="50"/>
        <v>0.2878831220285456</v>
      </c>
      <c r="S457" s="2">
        <f t="shared" si="51"/>
        <v>-1.7883122028527376E-2</v>
      </c>
    </row>
    <row r="458" spans="2:19" x14ac:dyDescent="0.25">
      <c r="B458" s="1">
        <f t="shared" si="52"/>
        <v>452</v>
      </c>
      <c r="C458" s="1">
        <v>751</v>
      </c>
      <c r="D458" s="13">
        <v>54</v>
      </c>
      <c r="E458" s="1" t="s">
        <v>11</v>
      </c>
      <c r="F458" s="2">
        <v>2.5950000000000002</v>
      </c>
      <c r="G458" s="1" t="s">
        <v>12</v>
      </c>
      <c r="H458" s="1" t="s">
        <v>13</v>
      </c>
      <c r="I458" s="1" t="s">
        <v>14</v>
      </c>
      <c r="J458" s="14">
        <v>0.37152777777777779</v>
      </c>
      <c r="K458" s="15">
        <v>45537</v>
      </c>
      <c r="M458" s="2">
        <v>2.4450000000000003</v>
      </c>
      <c r="O458" s="2">
        <f t="shared" si="47"/>
        <v>2.37</v>
      </c>
      <c r="P458" s="2">
        <f t="shared" si="48"/>
        <v>57.57987321711569</v>
      </c>
      <c r="Q458" s="2">
        <f t="shared" si="49"/>
        <v>0.27024999999999422</v>
      </c>
      <c r="R458" s="2">
        <f t="shared" si="50"/>
        <v>0.28791561014262462</v>
      </c>
      <c r="S458" s="2">
        <f t="shared" si="51"/>
        <v>-1.7665610142630406E-2</v>
      </c>
    </row>
    <row r="459" spans="2:19" x14ac:dyDescent="0.25">
      <c r="B459" s="1">
        <f t="shared" si="52"/>
        <v>453</v>
      </c>
      <c r="C459" s="1">
        <v>752</v>
      </c>
      <c r="D459" s="13">
        <v>54.1</v>
      </c>
      <c r="E459" s="1" t="s">
        <v>11</v>
      </c>
      <c r="F459" s="2">
        <v>2.6</v>
      </c>
      <c r="G459" s="1" t="s">
        <v>12</v>
      </c>
      <c r="H459" s="1" t="s">
        <v>13</v>
      </c>
      <c r="I459" s="1" t="s">
        <v>14</v>
      </c>
      <c r="J459" s="14">
        <v>0.37152777777777779</v>
      </c>
      <c r="K459" s="15">
        <v>45537</v>
      </c>
      <c r="M459" s="2">
        <v>2.4500000000000002</v>
      </c>
      <c r="O459" s="2">
        <f t="shared" si="47"/>
        <v>2.375</v>
      </c>
      <c r="P459" s="2">
        <f t="shared" si="48"/>
        <v>57.586370839936613</v>
      </c>
      <c r="Q459" s="2">
        <f t="shared" si="49"/>
        <v>0.27049999999999425</v>
      </c>
      <c r="R459" s="2">
        <f t="shared" si="50"/>
        <v>0.28794809825672923</v>
      </c>
      <c r="S459" s="2">
        <f t="shared" si="51"/>
        <v>-1.744809825673499E-2</v>
      </c>
    </row>
    <row r="460" spans="2:19" x14ac:dyDescent="0.25">
      <c r="B460" s="1">
        <f t="shared" si="52"/>
        <v>454</v>
      </c>
      <c r="C460" s="1">
        <v>753</v>
      </c>
      <c r="D460" s="13">
        <v>54.1</v>
      </c>
      <c r="E460" s="1" t="s">
        <v>11</v>
      </c>
      <c r="F460" s="2">
        <v>2.605</v>
      </c>
      <c r="G460" s="1" t="s">
        <v>12</v>
      </c>
      <c r="H460" s="1" t="s">
        <v>13</v>
      </c>
      <c r="I460" s="1" t="s">
        <v>14</v>
      </c>
      <c r="J460" s="14">
        <v>0.37152777777777779</v>
      </c>
      <c r="K460" s="15">
        <v>45537</v>
      </c>
      <c r="M460" s="2">
        <v>2.4550000000000001</v>
      </c>
      <c r="O460" s="2">
        <f t="shared" si="47"/>
        <v>2.38</v>
      </c>
      <c r="P460" s="2">
        <f t="shared" si="48"/>
        <v>57.592868462757529</v>
      </c>
      <c r="Q460" s="2">
        <f t="shared" si="49"/>
        <v>0.27049999999999425</v>
      </c>
      <c r="R460" s="2">
        <f t="shared" si="50"/>
        <v>0.28798058637083379</v>
      </c>
      <c r="S460" s="2">
        <f t="shared" si="51"/>
        <v>-1.7480586370839546E-2</v>
      </c>
    </row>
    <row r="461" spans="2:19" x14ac:dyDescent="0.25">
      <c r="B461" s="1">
        <f t="shared" si="52"/>
        <v>455</v>
      </c>
      <c r="C461" s="1">
        <v>755</v>
      </c>
      <c r="D461" s="13">
        <v>54.1</v>
      </c>
      <c r="E461" s="1" t="s">
        <v>11</v>
      </c>
      <c r="F461" s="2">
        <v>2.61</v>
      </c>
      <c r="G461" s="1" t="s">
        <v>12</v>
      </c>
      <c r="H461" s="1" t="s">
        <v>13</v>
      </c>
      <c r="I461" s="1" t="s">
        <v>14</v>
      </c>
      <c r="J461" s="14">
        <v>0.37153935185185183</v>
      </c>
      <c r="K461" s="15">
        <v>45537</v>
      </c>
      <c r="M461" s="2">
        <v>2.46</v>
      </c>
      <c r="O461" s="2">
        <f t="shared" si="47"/>
        <v>2.3849999999999998</v>
      </c>
      <c r="P461" s="2">
        <f t="shared" si="48"/>
        <v>57.599366085578446</v>
      </c>
      <c r="Q461" s="2">
        <f t="shared" si="49"/>
        <v>0.54150000000001253</v>
      </c>
      <c r="R461" s="2">
        <f t="shared" si="50"/>
        <v>0.57605863708400695</v>
      </c>
      <c r="S461" s="2">
        <f t="shared" si="51"/>
        <v>-3.4558637083994426E-2</v>
      </c>
    </row>
    <row r="462" spans="2:19" x14ac:dyDescent="0.25">
      <c r="B462" s="1">
        <f t="shared" si="52"/>
        <v>456</v>
      </c>
      <c r="C462" s="1">
        <v>756</v>
      </c>
      <c r="D462" s="13">
        <v>54.2</v>
      </c>
      <c r="E462" s="1" t="s">
        <v>11</v>
      </c>
      <c r="F462" s="2">
        <v>2.62</v>
      </c>
      <c r="G462" s="1" t="s">
        <v>12</v>
      </c>
      <c r="H462" s="1" t="s">
        <v>13</v>
      </c>
      <c r="I462" s="1" t="s">
        <v>14</v>
      </c>
      <c r="J462" s="14">
        <v>0.37153935185185183</v>
      </c>
      <c r="K462" s="15">
        <v>45537</v>
      </c>
      <c r="M462" s="2">
        <v>2.4700000000000002</v>
      </c>
      <c r="O462" s="2">
        <f t="shared" si="47"/>
        <v>2.395</v>
      </c>
      <c r="P462" s="2">
        <f t="shared" si="48"/>
        <v>57.612361331220285</v>
      </c>
      <c r="Q462" s="2">
        <f t="shared" si="49"/>
        <v>0.54199999999998849</v>
      </c>
      <c r="R462" s="2">
        <f t="shared" si="50"/>
        <v>0.57618858954039975</v>
      </c>
      <c r="S462" s="2">
        <f t="shared" si="51"/>
        <v>-3.4188589540411263E-2</v>
      </c>
    </row>
    <row r="463" spans="2:19" x14ac:dyDescent="0.25">
      <c r="B463" s="1">
        <f t="shared" si="52"/>
        <v>457</v>
      </c>
      <c r="C463" s="1">
        <v>757</v>
      </c>
      <c r="D463" s="13">
        <v>54.2</v>
      </c>
      <c r="E463" s="1" t="s">
        <v>11</v>
      </c>
      <c r="F463" s="2">
        <v>2.63</v>
      </c>
      <c r="G463" s="1" t="s">
        <v>12</v>
      </c>
      <c r="H463" s="1" t="s">
        <v>13</v>
      </c>
      <c r="I463" s="1" t="s">
        <v>14</v>
      </c>
      <c r="J463" s="14">
        <v>0.37153935185185183</v>
      </c>
      <c r="K463" s="15">
        <v>45537</v>
      </c>
      <c r="M463" s="2">
        <v>2.48</v>
      </c>
      <c r="O463" s="2">
        <f t="shared" si="47"/>
        <v>2.4049999999999998</v>
      </c>
      <c r="P463" s="2">
        <f t="shared" si="48"/>
        <v>57.625356576862124</v>
      </c>
      <c r="Q463" s="2">
        <f t="shared" si="49"/>
        <v>0.54250000000001253</v>
      </c>
      <c r="R463" s="2">
        <f t="shared" si="50"/>
        <v>0.57631854199684374</v>
      </c>
      <c r="S463" s="2">
        <f t="shared" si="51"/>
        <v>-3.3818541996831208E-2</v>
      </c>
    </row>
    <row r="464" spans="2:19" x14ac:dyDescent="0.25">
      <c r="B464" s="1">
        <f t="shared" si="52"/>
        <v>458</v>
      </c>
      <c r="C464" s="1">
        <v>758</v>
      </c>
      <c r="D464" s="13">
        <v>54.3</v>
      </c>
      <c r="E464" s="1" t="s">
        <v>11</v>
      </c>
      <c r="F464" s="2">
        <v>2.64</v>
      </c>
      <c r="G464" s="1" t="s">
        <v>12</v>
      </c>
      <c r="H464" s="1" t="s">
        <v>13</v>
      </c>
      <c r="I464" s="1" t="s">
        <v>14</v>
      </c>
      <c r="J464" s="14">
        <v>0.37153935185185183</v>
      </c>
      <c r="K464" s="15">
        <v>45537</v>
      </c>
      <c r="M464" s="2">
        <v>2.4900000000000002</v>
      </c>
      <c r="O464" s="2">
        <f t="shared" si="47"/>
        <v>2.415</v>
      </c>
      <c r="P464" s="2">
        <f t="shared" si="48"/>
        <v>57.638351822503964</v>
      </c>
      <c r="Q464" s="2">
        <f t="shared" si="49"/>
        <v>0.27149999999999419</v>
      </c>
      <c r="R464" s="2">
        <f t="shared" si="50"/>
        <v>0.28820800316956596</v>
      </c>
      <c r="S464" s="2">
        <f t="shared" si="51"/>
        <v>-1.6708003169571772E-2</v>
      </c>
    </row>
    <row r="465" spans="2:19" x14ac:dyDescent="0.25">
      <c r="B465" s="1">
        <f t="shared" si="52"/>
        <v>459</v>
      </c>
      <c r="C465" s="1">
        <v>759</v>
      </c>
      <c r="D465" s="13">
        <v>54.3</v>
      </c>
      <c r="E465" s="1" t="s">
        <v>11</v>
      </c>
      <c r="F465" s="2">
        <v>2.645</v>
      </c>
      <c r="G465" s="1" t="s">
        <v>12</v>
      </c>
      <c r="H465" s="1" t="s">
        <v>13</v>
      </c>
      <c r="I465" s="1" t="s">
        <v>14</v>
      </c>
      <c r="J465" s="14">
        <v>0.37153935185185183</v>
      </c>
      <c r="K465" s="15">
        <v>45537</v>
      </c>
      <c r="M465" s="2">
        <v>2.4950000000000001</v>
      </c>
      <c r="O465" s="2">
        <f t="shared" si="47"/>
        <v>2.42</v>
      </c>
      <c r="P465" s="2">
        <f t="shared" si="48"/>
        <v>57.64484944532488</v>
      </c>
      <c r="Q465" s="2">
        <f t="shared" si="49"/>
        <v>0.27174999999999416</v>
      </c>
      <c r="R465" s="2">
        <f t="shared" si="50"/>
        <v>0.28824049128367052</v>
      </c>
      <c r="S465" s="2">
        <f t="shared" si="51"/>
        <v>-1.6490491283676356E-2</v>
      </c>
    </row>
    <row r="466" spans="2:19" x14ac:dyDescent="0.25">
      <c r="B466" s="1">
        <f t="shared" si="52"/>
        <v>460</v>
      </c>
      <c r="C466" s="1">
        <v>760</v>
      </c>
      <c r="D466" s="13">
        <v>54.4</v>
      </c>
      <c r="E466" s="1" t="s">
        <v>11</v>
      </c>
      <c r="F466" s="2">
        <v>2.65</v>
      </c>
      <c r="G466" s="1" t="s">
        <v>12</v>
      </c>
      <c r="H466" s="1" t="s">
        <v>13</v>
      </c>
      <c r="I466" s="1" t="s">
        <v>14</v>
      </c>
      <c r="J466" s="14">
        <v>0.37153935185185183</v>
      </c>
      <c r="K466" s="15">
        <v>45537</v>
      </c>
      <c r="M466" s="2">
        <v>2.5</v>
      </c>
      <c r="O466" s="2">
        <f t="shared" si="47"/>
        <v>2.4249999999999998</v>
      </c>
      <c r="P466" s="2">
        <f t="shared" si="48"/>
        <v>57.651347068145803</v>
      </c>
      <c r="Q466" s="2">
        <f t="shared" si="49"/>
        <v>0.27199999999999419</v>
      </c>
      <c r="R466" s="2">
        <f t="shared" si="50"/>
        <v>0.28827297939777519</v>
      </c>
      <c r="S466" s="2">
        <f t="shared" si="51"/>
        <v>-1.6272979397780996E-2</v>
      </c>
    </row>
    <row r="467" spans="2:19" x14ac:dyDescent="0.25">
      <c r="B467" s="1">
        <f t="shared" si="52"/>
        <v>461</v>
      </c>
      <c r="C467" s="1">
        <v>761</v>
      </c>
      <c r="D467" s="13">
        <v>54.4</v>
      </c>
      <c r="E467" s="1" t="s">
        <v>11</v>
      </c>
      <c r="F467" s="2">
        <v>2.6549999999999998</v>
      </c>
      <c r="G467" s="1" t="s">
        <v>12</v>
      </c>
      <c r="H467" s="1" t="s">
        <v>13</v>
      </c>
      <c r="I467" s="1" t="s">
        <v>14</v>
      </c>
      <c r="J467" s="14">
        <v>0.37153935185185183</v>
      </c>
      <c r="K467" s="15">
        <v>45537</v>
      </c>
      <c r="M467" s="2">
        <v>2.5049999999999999</v>
      </c>
      <c r="O467" s="2">
        <f t="shared" si="47"/>
        <v>2.4299999999999997</v>
      </c>
      <c r="P467" s="2">
        <f t="shared" si="48"/>
        <v>57.657844690966719</v>
      </c>
      <c r="Q467" s="2">
        <f t="shared" si="49"/>
        <v>0.27200000000001834</v>
      </c>
      <c r="R467" s="2">
        <f t="shared" si="50"/>
        <v>0.28830546751190539</v>
      </c>
      <c r="S467" s="2">
        <f t="shared" si="51"/>
        <v>-1.6305467511887051E-2</v>
      </c>
    </row>
    <row r="468" spans="2:19" x14ac:dyDescent="0.25">
      <c r="B468" s="1">
        <f t="shared" si="52"/>
        <v>462</v>
      </c>
      <c r="C468" s="1">
        <v>762</v>
      </c>
      <c r="D468" s="13">
        <v>54.4</v>
      </c>
      <c r="E468" s="1" t="s">
        <v>11</v>
      </c>
      <c r="F468" s="2">
        <v>2.66</v>
      </c>
      <c r="G468" s="1" t="s">
        <v>12</v>
      </c>
      <c r="H468" s="1" t="s">
        <v>13</v>
      </c>
      <c r="I468" s="1" t="s">
        <v>14</v>
      </c>
      <c r="J468" s="14">
        <v>0.37153935185185183</v>
      </c>
      <c r="K468" s="15">
        <v>45537</v>
      </c>
      <c r="M468" s="2">
        <v>2.5100000000000002</v>
      </c>
      <c r="O468" s="2">
        <f t="shared" si="47"/>
        <v>2.4350000000000001</v>
      </c>
      <c r="P468" s="2">
        <f t="shared" si="48"/>
        <v>57.664342313787643</v>
      </c>
      <c r="Q468" s="2">
        <f t="shared" si="49"/>
        <v>0.27224999999999422</v>
      </c>
      <c r="R468" s="2">
        <f t="shared" si="50"/>
        <v>0.28833795562598435</v>
      </c>
      <c r="S468" s="2">
        <f t="shared" si="51"/>
        <v>-1.6087955625990136E-2</v>
      </c>
    </row>
    <row r="469" spans="2:19" x14ac:dyDescent="0.25">
      <c r="B469" s="1">
        <f t="shared" si="52"/>
        <v>463</v>
      </c>
      <c r="C469" s="1">
        <v>763</v>
      </c>
      <c r="D469" s="13">
        <v>54.5</v>
      </c>
      <c r="E469" s="1" t="s">
        <v>11</v>
      </c>
      <c r="F469" s="2">
        <v>2.665</v>
      </c>
      <c r="G469" s="1" t="s">
        <v>12</v>
      </c>
      <c r="H469" s="1" t="s">
        <v>13</v>
      </c>
      <c r="I469" s="1" t="s">
        <v>14</v>
      </c>
      <c r="J469" s="14">
        <v>0.37153935185185183</v>
      </c>
      <c r="K469" s="15">
        <v>45537</v>
      </c>
      <c r="M469" s="2">
        <v>2.5150000000000001</v>
      </c>
      <c r="O469" s="2">
        <f t="shared" si="47"/>
        <v>2.44</v>
      </c>
      <c r="P469" s="2">
        <f t="shared" si="48"/>
        <v>57.670839936608559</v>
      </c>
      <c r="Q469" s="2">
        <f t="shared" si="49"/>
        <v>0.27249999999999419</v>
      </c>
      <c r="R469" s="2">
        <f t="shared" si="50"/>
        <v>0.28837044374008891</v>
      </c>
      <c r="S469" s="2">
        <f t="shared" si="51"/>
        <v>-1.587044374009472E-2</v>
      </c>
    </row>
    <row r="470" spans="2:19" x14ac:dyDescent="0.25">
      <c r="B470" s="1">
        <f t="shared" si="52"/>
        <v>464</v>
      </c>
      <c r="C470" s="1">
        <v>764</v>
      </c>
      <c r="D470" s="13">
        <v>54.5</v>
      </c>
      <c r="E470" s="1" t="s">
        <v>11</v>
      </c>
      <c r="F470" s="2">
        <v>2.67</v>
      </c>
      <c r="G470" s="1" t="s">
        <v>12</v>
      </c>
      <c r="H470" s="1" t="s">
        <v>13</v>
      </c>
      <c r="I470" s="1" t="s">
        <v>14</v>
      </c>
      <c r="J470" s="14">
        <v>0.37155092592592592</v>
      </c>
      <c r="K470" s="15">
        <v>45537</v>
      </c>
      <c r="M470" s="2">
        <v>2.52</v>
      </c>
      <c r="O470" s="2">
        <f t="shared" si="47"/>
        <v>2.4449999999999998</v>
      </c>
      <c r="P470" s="2">
        <f t="shared" si="48"/>
        <v>57.677337559429475</v>
      </c>
      <c r="Q470" s="2">
        <f t="shared" si="49"/>
        <v>0.54500000000001259</v>
      </c>
      <c r="R470" s="2">
        <f t="shared" si="50"/>
        <v>0.57683835182251719</v>
      </c>
      <c r="S470" s="2">
        <f t="shared" si="51"/>
        <v>-3.1838351822504607E-2</v>
      </c>
    </row>
    <row r="471" spans="2:19" x14ac:dyDescent="0.25">
      <c r="B471" s="1">
        <f t="shared" si="52"/>
        <v>465</v>
      </c>
      <c r="C471" s="1">
        <v>765</v>
      </c>
      <c r="D471" s="13">
        <v>54.5</v>
      </c>
      <c r="E471" s="1" t="s">
        <v>11</v>
      </c>
      <c r="F471" s="2">
        <v>2.68</v>
      </c>
      <c r="G471" s="1" t="s">
        <v>12</v>
      </c>
      <c r="H471" s="1" t="s">
        <v>13</v>
      </c>
      <c r="I471" s="1" t="s">
        <v>14</v>
      </c>
      <c r="J471" s="14">
        <v>0.37155092592592592</v>
      </c>
      <c r="K471" s="15">
        <v>45537</v>
      </c>
      <c r="M471" s="2">
        <v>2.5300000000000002</v>
      </c>
      <c r="O471" s="2">
        <f t="shared" si="47"/>
        <v>2.4550000000000001</v>
      </c>
      <c r="P471" s="2">
        <f t="shared" si="48"/>
        <v>57.690332805071314</v>
      </c>
      <c r="Q471" s="2">
        <f t="shared" si="49"/>
        <v>0.27249999999999419</v>
      </c>
      <c r="R471" s="2">
        <f t="shared" si="50"/>
        <v>0.28846790808240275</v>
      </c>
      <c r="S471" s="2">
        <f t="shared" si="51"/>
        <v>-1.5967908082408555E-2</v>
      </c>
    </row>
    <row r="472" spans="2:19" x14ac:dyDescent="0.25">
      <c r="B472" s="1">
        <f t="shared" si="52"/>
        <v>466</v>
      </c>
      <c r="C472" s="1">
        <v>767</v>
      </c>
      <c r="D472" s="13">
        <v>54.5</v>
      </c>
      <c r="E472" s="1" t="s">
        <v>11</v>
      </c>
      <c r="F472" s="2">
        <v>2.6850000000000001</v>
      </c>
      <c r="G472" s="1" t="s">
        <v>12</v>
      </c>
      <c r="H472" s="1" t="s">
        <v>13</v>
      </c>
      <c r="I472" s="1" t="s">
        <v>14</v>
      </c>
      <c r="J472" s="14">
        <v>0.37155092592592592</v>
      </c>
      <c r="K472" s="15">
        <v>45537</v>
      </c>
      <c r="M472" s="2">
        <v>2.5350000000000001</v>
      </c>
      <c r="O472" s="2">
        <f t="shared" si="47"/>
        <v>2.46</v>
      </c>
      <c r="P472" s="2">
        <f t="shared" si="48"/>
        <v>57.696830427892237</v>
      </c>
      <c r="Q472" s="2">
        <f t="shared" si="49"/>
        <v>0.27274999999999416</v>
      </c>
      <c r="R472" s="2">
        <f t="shared" si="50"/>
        <v>0.2885003961965073</v>
      </c>
      <c r="S472" s="2">
        <f t="shared" si="51"/>
        <v>-1.5750396196513139E-2</v>
      </c>
    </row>
    <row r="473" spans="2:19" x14ac:dyDescent="0.25">
      <c r="B473" s="1">
        <f t="shared" si="52"/>
        <v>467</v>
      </c>
      <c r="C473" s="1">
        <v>769</v>
      </c>
      <c r="D473" s="13">
        <v>54.6</v>
      </c>
      <c r="E473" s="1" t="s">
        <v>11</v>
      </c>
      <c r="F473" s="2">
        <v>2.69</v>
      </c>
      <c r="G473" s="1" t="s">
        <v>12</v>
      </c>
      <c r="H473" s="1" t="s">
        <v>13</v>
      </c>
      <c r="I473" s="1" t="s">
        <v>14</v>
      </c>
      <c r="J473" s="14">
        <v>0.37155092592592592</v>
      </c>
      <c r="K473" s="15">
        <v>45537</v>
      </c>
      <c r="M473" s="2">
        <v>2.54</v>
      </c>
      <c r="O473" s="2">
        <f t="shared" si="47"/>
        <v>2.4649999999999999</v>
      </c>
      <c r="P473" s="2">
        <f t="shared" si="48"/>
        <v>57.703328050713154</v>
      </c>
      <c r="Q473" s="2">
        <f t="shared" si="49"/>
        <v>0.27299999999999419</v>
      </c>
      <c r="R473" s="2">
        <f t="shared" si="50"/>
        <v>0.28853288431061191</v>
      </c>
      <c r="S473" s="2">
        <f t="shared" si="51"/>
        <v>-1.5532884310617723E-2</v>
      </c>
    </row>
    <row r="474" spans="2:19" x14ac:dyDescent="0.25">
      <c r="B474" s="1">
        <f t="shared" si="52"/>
        <v>468</v>
      </c>
      <c r="C474" s="1">
        <v>782</v>
      </c>
      <c r="D474" s="13">
        <v>54.6</v>
      </c>
      <c r="E474" s="1" t="s">
        <v>11</v>
      </c>
      <c r="F474" s="2">
        <v>2.6949999999999998</v>
      </c>
      <c r="G474" s="1" t="s">
        <v>12</v>
      </c>
      <c r="H474" s="1" t="s">
        <v>13</v>
      </c>
      <c r="I474" s="1" t="s">
        <v>14</v>
      </c>
      <c r="J474" s="14">
        <v>0.37156250000000002</v>
      </c>
      <c r="K474" s="15">
        <v>45537</v>
      </c>
      <c r="M474" s="2">
        <v>2.5449999999999999</v>
      </c>
      <c r="O474" s="2">
        <f t="shared" si="47"/>
        <v>2.4699999999999998</v>
      </c>
      <c r="P474" s="2">
        <f t="shared" si="48"/>
        <v>57.709825673534077</v>
      </c>
      <c r="Q474" s="2">
        <f t="shared" si="49"/>
        <v>0.27300000000001845</v>
      </c>
      <c r="R474" s="2">
        <f t="shared" si="50"/>
        <v>0.28856537242474217</v>
      </c>
      <c r="S474" s="2">
        <f t="shared" si="51"/>
        <v>-1.5565372424723722E-2</v>
      </c>
    </row>
    <row r="475" spans="2:19" x14ac:dyDescent="0.25">
      <c r="B475" s="1">
        <f t="shared" si="52"/>
        <v>469</v>
      </c>
      <c r="C475" s="1">
        <v>794</v>
      </c>
      <c r="D475" s="13">
        <v>54.6</v>
      </c>
      <c r="E475" s="1" t="s">
        <v>11</v>
      </c>
      <c r="F475" s="2">
        <v>2.7</v>
      </c>
      <c r="G475" s="1" t="s">
        <v>12</v>
      </c>
      <c r="H475" s="1" t="s">
        <v>13</v>
      </c>
      <c r="I475" s="1" t="s">
        <v>14</v>
      </c>
      <c r="J475" s="14">
        <v>0.37158564814814815</v>
      </c>
      <c r="K475" s="15">
        <v>45537</v>
      </c>
      <c r="M475" s="2">
        <v>2.5500000000000003</v>
      </c>
      <c r="O475" s="2">
        <f t="shared" si="47"/>
        <v>2.4750000000000001</v>
      </c>
      <c r="P475" s="2">
        <f t="shared" si="48"/>
        <v>57.716323296354993</v>
      </c>
      <c r="Q475" s="2">
        <f t="shared" si="49"/>
        <v>0.27299999999999419</v>
      </c>
      <c r="R475" s="2">
        <f t="shared" si="50"/>
        <v>0.28859786053882114</v>
      </c>
      <c r="S475" s="2">
        <f t="shared" si="51"/>
        <v>-1.5597860538826946E-2</v>
      </c>
    </row>
    <row r="476" spans="2:19" x14ac:dyDescent="0.25">
      <c r="B476" s="1">
        <f t="shared" si="52"/>
        <v>470</v>
      </c>
      <c r="C476" s="1">
        <v>796</v>
      </c>
      <c r="D476" s="13">
        <v>54.6</v>
      </c>
      <c r="E476" s="1" t="s">
        <v>11</v>
      </c>
      <c r="F476" s="2">
        <v>2.7050000000000001</v>
      </c>
      <c r="G476" s="1" t="s">
        <v>12</v>
      </c>
      <c r="H476" s="1" t="s">
        <v>13</v>
      </c>
      <c r="I476" s="1" t="s">
        <v>14</v>
      </c>
      <c r="J476" s="14">
        <v>0.37158564814814815</v>
      </c>
      <c r="K476" s="15">
        <v>45537</v>
      </c>
      <c r="M476" s="2">
        <v>2.5550000000000002</v>
      </c>
      <c r="O476" s="2">
        <f t="shared" si="47"/>
        <v>2.48</v>
      </c>
      <c r="P476" s="2">
        <f t="shared" si="48"/>
        <v>57.722820919175916</v>
      </c>
      <c r="Q476" s="2">
        <f t="shared" si="49"/>
        <v>0.27324999999999422</v>
      </c>
      <c r="R476" s="2">
        <f t="shared" si="50"/>
        <v>0.28863034865292569</v>
      </c>
      <c r="S476" s="2">
        <f t="shared" si="51"/>
        <v>-1.5380348652931475E-2</v>
      </c>
    </row>
    <row r="477" spans="2:19" x14ac:dyDescent="0.25">
      <c r="B477" s="1">
        <f t="shared" si="52"/>
        <v>471</v>
      </c>
      <c r="C477" s="1">
        <v>798</v>
      </c>
      <c r="D477" s="13">
        <v>54.7</v>
      </c>
      <c r="E477" s="1" t="s">
        <v>11</v>
      </c>
      <c r="F477" s="2">
        <v>2.71</v>
      </c>
      <c r="G477" s="1" t="s">
        <v>12</v>
      </c>
      <c r="H477" s="1" t="s">
        <v>13</v>
      </c>
      <c r="I477" s="1" t="s">
        <v>14</v>
      </c>
      <c r="J477" s="14">
        <v>0.37158564814814815</v>
      </c>
      <c r="K477" s="15">
        <v>45537</v>
      </c>
      <c r="M477" s="2">
        <v>2.56</v>
      </c>
      <c r="O477" s="2">
        <f t="shared" si="47"/>
        <v>2.4849999999999999</v>
      </c>
      <c r="P477" s="2">
        <f t="shared" si="48"/>
        <v>57.729318541996832</v>
      </c>
      <c r="Q477" s="2">
        <f t="shared" si="49"/>
        <v>0.27349999999999419</v>
      </c>
      <c r="R477" s="2">
        <f t="shared" si="50"/>
        <v>0.28866283676703031</v>
      </c>
      <c r="S477" s="2">
        <f t="shared" si="51"/>
        <v>-1.5162836767036114E-2</v>
      </c>
    </row>
    <row r="478" spans="2:19" x14ac:dyDescent="0.25">
      <c r="B478" s="1">
        <f t="shared" si="52"/>
        <v>472</v>
      </c>
      <c r="C478" s="1">
        <v>802</v>
      </c>
      <c r="D478" s="13">
        <v>54.7</v>
      </c>
      <c r="E478" s="1" t="s">
        <v>11</v>
      </c>
      <c r="F478" s="2">
        <v>2.7149999999999999</v>
      </c>
      <c r="G478" s="1" t="s">
        <v>12</v>
      </c>
      <c r="H478" s="1" t="s">
        <v>13</v>
      </c>
      <c r="I478" s="1" t="s">
        <v>14</v>
      </c>
      <c r="J478" s="14">
        <v>0.37158564814814815</v>
      </c>
      <c r="K478" s="15">
        <v>45537</v>
      </c>
      <c r="M478" s="2">
        <v>2.5649999999999999</v>
      </c>
      <c r="O478" s="2">
        <f t="shared" si="47"/>
        <v>2.4899999999999998</v>
      </c>
      <c r="P478" s="2">
        <f t="shared" si="48"/>
        <v>57.735816164817749</v>
      </c>
      <c r="Q478" s="2">
        <f t="shared" si="49"/>
        <v>0.27350000000001845</v>
      </c>
      <c r="R478" s="2">
        <f t="shared" si="50"/>
        <v>0.28869532488116051</v>
      </c>
      <c r="S478" s="2">
        <f t="shared" si="51"/>
        <v>-1.5195324881142058E-2</v>
      </c>
    </row>
    <row r="479" spans="2:19" x14ac:dyDescent="0.25">
      <c r="B479" s="1">
        <f t="shared" si="52"/>
        <v>473</v>
      </c>
      <c r="C479" s="1">
        <v>806</v>
      </c>
      <c r="D479" s="13">
        <v>54.7</v>
      </c>
      <c r="E479" s="1" t="s">
        <v>11</v>
      </c>
      <c r="F479" s="2">
        <v>2.72</v>
      </c>
      <c r="G479" s="1" t="s">
        <v>12</v>
      </c>
      <c r="H479" s="1" t="s">
        <v>13</v>
      </c>
      <c r="I479" s="1" t="s">
        <v>14</v>
      </c>
      <c r="J479" s="14">
        <v>0.37159722222222225</v>
      </c>
      <c r="K479" s="15">
        <v>45537</v>
      </c>
      <c r="M479" s="2">
        <v>2.5700000000000003</v>
      </c>
      <c r="O479" s="2">
        <f t="shared" si="47"/>
        <v>2.4950000000000001</v>
      </c>
      <c r="P479" s="2">
        <f t="shared" si="48"/>
        <v>57.742313787638672</v>
      </c>
      <c r="Q479" s="2">
        <f t="shared" si="49"/>
        <v>0.27349999999999419</v>
      </c>
      <c r="R479" s="2">
        <f t="shared" si="50"/>
        <v>0.28872781299523947</v>
      </c>
      <c r="S479" s="2">
        <f t="shared" si="51"/>
        <v>-1.5227812995245282E-2</v>
      </c>
    </row>
    <row r="480" spans="2:19" x14ac:dyDescent="0.25">
      <c r="B480" s="1">
        <f t="shared" si="52"/>
        <v>474</v>
      </c>
      <c r="C480" s="1">
        <v>811</v>
      </c>
      <c r="D480" s="13">
        <v>54.7</v>
      </c>
      <c r="E480" s="1" t="s">
        <v>11</v>
      </c>
      <c r="F480" s="2">
        <v>2.7250000000000001</v>
      </c>
      <c r="G480" s="1" t="s">
        <v>12</v>
      </c>
      <c r="H480" s="1" t="s">
        <v>13</v>
      </c>
      <c r="I480" s="1" t="s">
        <v>14</v>
      </c>
      <c r="J480" s="14">
        <v>0.37159722222222225</v>
      </c>
      <c r="K480" s="15">
        <v>45537</v>
      </c>
      <c r="M480" s="2">
        <v>2.5750000000000002</v>
      </c>
      <c r="O480" s="2">
        <f t="shared" si="47"/>
        <v>2.5</v>
      </c>
      <c r="P480" s="2">
        <f t="shared" si="48"/>
        <v>57.748811410459588</v>
      </c>
      <c r="Q480" s="2">
        <f t="shared" si="49"/>
        <v>0.27374999999999416</v>
      </c>
      <c r="R480" s="2">
        <f t="shared" si="50"/>
        <v>0.28876030110934409</v>
      </c>
      <c r="S480" s="2">
        <f t="shared" si="51"/>
        <v>-1.5010301109349922E-2</v>
      </c>
    </row>
    <row r="481" spans="2:19" x14ac:dyDescent="0.25">
      <c r="B481" s="1">
        <f t="shared" si="52"/>
        <v>475</v>
      </c>
      <c r="C481" s="1">
        <v>813</v>
      </c>
      <c r="D481" s="13">
        <v>54.8</v>
      </c>
      <c r="E481" s="1" t="s">
        <v>11</v>
      </c>
      <c r="F481" s="2">
        <v>2.73</v>
      </c>
      <c r="G481" s="1" t="s">
        <v>12</v>
      </c>
      <c r="H481" s="1" t="s">
        <v>13</v>
      </c>
      <c r="I481" s="1" t="s">
        <v>14</v>
      </c>
      <c r="J481" s="14">
        <v>0.37159722222222225</v>
      </c>
      <c r="K481" s="15">
        <v>45537</v>
      </c>
      <c r="M481" s="2">
        <v>2.58</v>
      </c>
      <c r="O481" s="2">
        <f t="shared" si="47"/>
        <v>2.5049999999999999</v>
      </c>
      <c r="P481" s="2">
        <f t="shared" si="48"/>
        <v>57.755309033280511</v>
      </c>
      <c r="Q481" s="2">
        <f t="shared" si="49"/>
        <v>0.27399999999999414</v>
      </c>
      <c r="R481" s="2">
        <f t="shared" si="50"/>
        <v>0.2887927892234487</v>
      </c>
      <c r="S481" s="2">
        <f t="shared" si="51"/>
        <v>-1.4792789223454561E-2</v>
      </c>
    </row>
    <row r="482" spans="2:19" x14ac:dyDescent="0.25">
      <c r="B482" s="1">
        <f t="shared" si="52"/>
        <v>476</v>
      </c>
      <c r="C482" s="1">
        <v>815</v>
      </c>
      <c r="D482" s="13">
        <v>54.8</v>
      </c>
      <c r="E482" s="1" t="s">
        <v>11</v>
      </c>
      <c r="F482" s="2">
        <v>2.7349999999999999</v>
      </c>
      <c r="G482" s="1" t="s">
        <v>12</v>
      </c>
      <c r="H482" s="1" t="s">
        <v>13</v>
      </c>
      <c r="I482" s="1" t="s">
        <v>14</v>
      </c>
      <c r="J482" s="14">
        <v>0.37160879629629628</v>
      </c>
      <c r="K482" s="15">
        <v>45537</v>
      </c>
      <c r="M482" s="2">
        <v>2.585</v>
      </c>
      <c r="O482" s="2">
        <f t="shared" si="47"/>
        <v>2.5099999999999998</v>
      </c>
      <c r="P482" s="2">
        <f t="shared" si="48"/>
        <v>57.761806656101427</v>
      </c>
      <c r="Q482" s="2">
        <f t="shared" si="49"/>
        <v>0.27400000000001851</v>
      </c>
      <c r="R482" s="2">
        <f t="shared" si="50"/>
        <v>0.2888252773375789</v>
      </c>
      <c r="S482" s="2">
        <f t="shared" si="51"/>
        <v>-1.4825277337560394E-2</v>
      </c>
    </row>
    <row r="483" spans="2:19" x14ac:dyDescent="0.25">
      <c r="B483" s="1">
        <f t="shared" si="52"/>
        <v>477</v>
      </c>
      <c r="C483" s="1">
        <v>816</v>
      </c>
      <c r="D483" s="13">
        <v>54.8</v>
      </c>
      <c r="E483" s="1" t="s">
        <v>11</v>
      </c>
      <c r="F483" s="2">
        <v>2.74</v>
      </c>
      <c r="G483" s="1" t="s">
        <v>12</v>
      </c>
      <c r="H483" s="1" t="s">
        <v>13</v>
      </c>
      <c r="I483" s="1" t="s">
        <v>14</v>
      </c>
      <c r="J483" s="14">
        <v>0.37160879629629628</v>
      </c>
      <c r="K483" s="15">
        <v>45537</v>
      </c>
      <c r="M483" s="2">
        <v>2.5900000000000003</v>
      </c>
      <c r="O483" s="2">
        <f t="shared" si="47"/>
        <v>2.5150000000000001</v>
      </c>
      <c r="P483" s="2">
        <f t="shared" si="48"/>
        <v>57.768304278922344</v>
      </c>
      <c r="Q483" s="2">
        <f t="shared" si="49"/>
        <v>0.27424999999999411</v>
      </c>
      <c r="R483" s="2">
        <f t="shared" si="50"/>
        <v>0.28885776545165787</v>
      </c>
      <c r="S483" s="2">
        <f t="shared" si="51"/>
        <v>-1.4607765451663757E-2</v>
      </c>
    </row>
    <row r="484" spans="2:19" x14ac:dyDescent="0.25">
      <c r="B484" s="1">
        <f t="shared" si="52"/>
        <v>478</v>
      </c>
      <c r="C484" s="1">
        <v>817</v>
      </c>
      <c r="D484" s="13">
        <v>54.9</v>
      </c>
      <c r="E484" s="1" t="s">
        <v>11</v>
      </c>
      <c r="F484" s="2">
        <v>2.7450000000000001</v>
      </c>
      <c r="G484" s="1" t="s">
        <v>12</v>
      </c>
      <c r="H484" s="1" t="s">
        <v>13</v>
      </c>
      <c r="I484" s="1" t="s">
        <v>14</v>
      </c>
      <c r="J484" s="14">
        <v>0.37160879629629628</v>
      </c>
      <c r="K484" s="15">
        <v>45537</v>
      </c>
      <c r="M484" s="2">
        <v>2.5950000000000002</v>
      </c>
      <c r="O484" s="2">
        <f t="shared" si="47"/>
        <v>2.52</v>
      </c>
      <c r="P484" s="2">
        <f t="shared" si="48"/>
        <v>57.774801901743267</v>
      </c>
      <c r="Q484" s="2">
        <f t="shared" si="49"/>
        <v>0.27449999999999414</v>
      </c>
      <c r="R484" s="2">
        <f t="shared" si="50"/>
        <v>0.28889025356576248</v>
      </c>
      <c r="S484" s="2">
        <f t="shared" si="51"/>
        <v>-1.4390253565768341E-2</v>
      </c>
    </row>
    <row r="485" spans="2:19" x14ac:dyDescent="0.25">
      <c r="B485" s="1">
        <f t="shared" si="52"/>
        <v>479</v>
      </c>
      <c r="C485" s="1">
        <v>818</v>
      </c>
      <c r="D485" s="13">
        <v>54.9</v>
      </c>
      <c r="E485" s="1" t="s">
        <v>11</v>
      </c>
      <c r="F485" s="2">
        <v>2.75</v>
      </c>
      <c r="G485" s="1" t="s">
        <v>12</v>
      </c>
      <c r="H485" s="1" t="s">
        <v>13</v>
      </c>
      <c r="I485" s="1" t="s">
        <v>14</v>
      </c>
      <c r="J485" s="14">
        <v>0.37160879629629628</v>
      </c>
      <c r="K485" s="15">
        <v>45537</v>
      </c>
      <c r="M485" s="2">
        <v>2.6</v>
      </c>
      <c r="O485" s="2">
        <f t="shared" si="47"/>
        <v>2.5249999999999999</v>
      </c>
      <c r="P485" s="2">
        <f t="shared" si="48"/>
        <v>57.781299524564183</v>
      </c>
      <c r="Q485" s="2">
        <f t="shared" si="49"/>
        <v>0.27449999999999414</v>
      </c>
      <c r="R485" s="2">
        <f t="shared" si="50"/>
        <v>0.28892274167986709</v>
      </c>
      <c r="S485" s="2">
        <f t="shared" si="51"/>
        <v>-1.4422741679872952E-2</v>
      </c>
    </row>
    <row r="486" spans="2:19" x14ac:dyDescent="0.25">
      <c r="B486" s="1">
        <f t="shared" si="52"/>
        <v>480</v>
      </c>
      <c r="C486" s="1">
        <v>819</v>
      </c>
      <c r="D486" s="13">
        <v>54.9</v>
      </c>
      <c r="E486" s="1" t="s">
        <v>11</v>
      </c>
      <c r="F486" s="2">
        <v>2.7549999999999999</v>
      </c>
      <c r="G486" s="1" t="s">
        <v>12</v>
      </c>
      <c r="H486" s="1" t="s">
        <v>13</v>
      </c>
      <c r="I486" s="1" t="s">
        <v>14</v>
      </c>
      <c r="J486" s="14">
        <v>0.37160879629629628</v>
      </c>
      <c r="K486" s="15">
        <v>45537</v>
      </c>
      <c r="M486" s="2">
        <v>2.605</v>
      </c>
      <c r="O486" s="2">
        <f t="shared" si="47"/>
        <v>2.5299999999999998</v>
      </c>
      <c r="P486" s="2">
        <f t="shared" si="48"/>
        <v>57.787797147385106</v>
      </c>
      <c r="Q486" s="2">
        <f t="shared" si="49"/>
        <v>0.54950000000001276</v>
      </c>
      <c r="R486" s="2">
        <f t="shared" si="50"/>
        <v>0.57794294770207355</v>
      </c>
      <c r="S486" s="2">
        <f t="shared" si="51"/>
        <v>-2.8442947702060795E-2</v>
      </c>
    </row>
    <row r="487" spans="2:19" x14ac:dyDescent="0.25">
      <c r="B487" s="1">
        <f t="shared" si="52"/>
        <v>481</v>
      </c>
      <c r="C487" s="1">
        <v>820</v>
      </c>
      <c r="D487" s="13">
        <v>55</v>
      </c>
      <c r="E487" s="1" t="s">
        <v>11</v>
      </c>
      <c r="F487" s="2">
        <v>2.7650000000000001</v>
      </c>
      <c r="G487" s="1" t="s">
        <v>12</v>
      </c>
      <c r="H487" s="1" t="s">
        <v>13</v>
      </c>
      <c r="I487" s="1" t="s">
        <v>14</v>
      </c>
      <c r="J487" s="14">
        <v>0.37160879629629628</v>
      </c>
      <c r="K487" s="15">
        <v>45537</v>
      </c>
      <c r="M487" s="2">
        <v>2.6150000000000002</v>
      </c>
      <c r="O487" s="2">
        <f t="shared" si="47"/>
        <v>2.54</v>
      </c>
      <c r="P487" s="2">
        <f t="shared" si="48"/>
        <v>57.800792393026946</v>
      </c>
      <c r="Q487" s="2">
        <f t="shared" si="49"/>
        <v>0.54999999999998828</v>
      </c>
      <c r="R487" s="2">
        <f t="shared" si="50"/>
        <v>0.57807290015846624</v>
      </c>
      <c r="S487" s="2">
        <f t="shared" si="51"/>
        <v>-2.8072900158477965E-2</v>
      </c>
    </row>
    <row r="488" spans="2:19" x14ac:dyDescent="0.25">
      <c r="B488" s="1">
        <f t="shared" si="52"/>
        <v>482</v>
      </c>
      <c r="C488" s="1">
        <v>821</v>
      </c>
      <c r="D488" s="13">
        <v>55</v>
      </c>
      <c r="E488" s="1" t="s">
        <v>11</v>
      </c>
      <c r="F488" s="2">
        <v>2.7749999999999999</v>
      </c>
      <c r="G488" s="1" t="s">
        <v>12</v>
      </c>
      <c r="H488" s="1" t="s">
        <v>13</v>
      </c>
      <c r="I488" s="1" t="s">
        <v>14</v>
      </c>
      <c r="J488" s="14">
        <v>0.37160879629629628</v>
      </c>
      <c r="K488" s="15">
        <v>45537</v>
      </c>
      <c r="M488" s="2">
        <v>2.625</v>
      </c>
      <c r="O488" s="2">
        <f t="shared" si="47"/>
        <v>2.5499999999999998</v>
      </c>
      <c r="P488" s="2">
        <f t="shared" si="48"/>
        <v>57.813787638668778</v>
      </c>
      <c r="Q488" s="2">
        <f t="shared" si="49"/>
        <v>0.27524999999999411</v>
      </c>
      <c r="R488" s="2">
        <f t="shared" si="50"/>
        <v>0.28908518225039004</v>
      </c>
      <c r="S488" s="2">
        <f t="shared" si="51"/>
        <v>-1.3835182250395928E-2</v>
      </c>
    </row>
    <row r="489" spans="2:19" x14ac:dyDescent="0.25">
      <c r="B489" s="1">
        <f t="shared" si="52"/>
        <v>483</v>
      </c>
      <c r="C489" s="1">
        <v>822</v>
      </c>
      <c r="D489" s="13">
        <v>55.1</v>
      </c>
      <c r="E489" s="1" t="s">
        <v>11</v>
      </c>
      <c r="F489" s="2">
        <v>2.78</v>
      </c>
      <c r="G489" s="1" t="s">
        <v>12</v>
      </c>
      <c r="H489" s="1" t="s">
        <v>13</v>
      </c>
      <c r="I489" s="1" t="s">
        <v>14</v>
      </c>
      <c r="J489" s="14">
        <v>0.37160879629629628</v>
      </c>
      <c r="K489" s="15">
        <v>45537</v>
      </c>
      <c r="M489" s="2">
        <v>2.63</v>
      </c>
      <c r="O489" s="2">
        <f t="shared" si="47"/>
        <v>2.5549999999999997</v>
      </c>
      <c r="P489" s="2">
        <f t="shared" si="48"/>
        <v>57.820285261489701</v>
      </c>
      <c r="Q489" s="2">
        <f t="shared" si="49"/>
        <v>0.27550000000001862</v>
      </c>
      <c r="R489" s="2">
        <f t="shared" si="50"/>
        <v>0.2891176703645203</v>
      </c>
      <c r="S489" s="2">
        <f t="shared" si="51"/>
        <v>-1.3617670364501677E-2</v>
      </c>
    </row>
    <row r="490" spans="2:19" x14ac:dyDescent="0.25">
      <c r="B490" s="1">
        <f t="shared" si="52"/>
        <v>484</v>
      </c>
      <c r="C490" s="1">
        <v>823</v>
      </c>
      <c r="D490" s="13">
        <v>55.1</v>
      </c>
      <c r="E490" s="1" t="s">
        <v>11</v>
      </c>
      <c r="F490" s="2">
        <v>2.7850000000000001</v>
      </c>
      <c r="G490" s="1" t="s">
        <v>12</v>
      </c>
      <c r="H490" s="1" t="s">
        <v>13</v>
      </c>
      <c r="I490" s="1" t="s">
        <v>14</v>
      </c>
      <c r="J490" s="14">
        <v>0.37160879629629628</v>
      </c>
      <c r="K490" s="15">
        <v>45537</v>
      </c>
      <c r="M490" s="2">
        <v>2.6350000000000002</v>
      </c>
      <c r="O490" s="2">
        <f t="shared" si="47"/>
        <v>2.56</v>
      </c>
      <c r="P490" s="2">
        <f t="shared" si="48"/>
        <v>57.826782884310617</v>
      </c>
      <c r="Q490" s="2">
        <f t="shared" si="49"/>
        <v>0.27574999999999417</v>
      </c>
      <c r="R490" s="2">
        <f t="shared" si="50"/>
        <v>0.28915015847859921</v>
      </c>
      <c r="S490" s="2">
        <f t="shared" si="51"/>
        <v>-1.340015847860504E-2</v>
      </c>
    </row>
    <row r="491" spans="2:19" x14ac:dyDescent="0.25">
      <c r="B491" s="1">
        <f t="shared" si="52"/>
        <v>485</v>
      </c>
      <c r="C491" s="1">
        <v>825</v>
      </c>
      <c r="D491" s="13">
        <v>55.2</v>
      </c>
      <c r="E491" s="1" t="s">
        <v>11</v>
      </c>
      <c r="F491" s="2">
        <v>2.79</v>
      </c>
      <c r="G491" s="1" t="s">
        <v>12</v>
      </c>
      <c r="H491" s="1" t="s">
        <v>13</v>
      </c>
      <c r="I491" s="1" t="s">
        <v>14</v>
      </c>
      <c r="J491" s="14">
        <v>0.37162037037037038</v>
      </c>
      <c r="K491" s="15">
        <v>45537</v>
      </c>
      <c r="M491" s="2">
        <v>2.64</v>
      </c>
      <c r="O491" s="2">
        <f t="shared" si="47"/>
        <v>2.5649999999999999</v>
      </c>
      <c r="P491" s="2">
        <f t="shared" si="48"/>
        <v>57.833280507131541</v>
      </c>
      <c r="Q491" s="2">
        <f t="shared" si="49"/>
        <v>0.27599999999999414</v>
      </c>
      <c r="R491" s="2">
        <f t="shared" si="50"/>
        <v>0.28918264659270382</v>
      </c>
      <c r="S491" s="2">
        <f t="shared" si="51"/>
        <v>-1.3182646592709679E-2</v>
      </c>
    </row>
    <row r="492" spans="2:19" x14ac:dyDescent="0.25">
      <c r="B492" s="1">
        <f t="shared" si="52"/>
        <v>486</v>
      </c>
      <c r="C492" s="1">
        <v>827</v>
      </c>
      <c r="D492" s="13">
        <v>55.2</v>
      </c>
      <c r="E492" s="1" t="s">
        <v>11</v>
      </c>
      <c r="F492" s="2">
        <v>2.7949999999999999</v>
      </c>
      <c r="G492" s="1" t="s">
        <v>12</v>
      </c>
      <c r="H492" s="1" t="s">
        <v>13</v>
      </c>
      <c r="I492" s="1" t="s">
        <v>14</v>
      </c>
      <c r="J492" s="14">
        <v>0.37162037037037038</v>
      </c>
      <c r="K492" s="15">
        <v>45537</v>
      </c>
      <c r="M492" s="2">
        <v>2.645</v>
      </c>
      <c r="O492" s="2">
        <f t="shared" si="47"/>
        <v>2.57</v>
      </c>
      <c r="P492" s="2">
        <f t="shared" si="48"/>
        <v>57.839778129952457</v>
      </c>
      <c r="Q492" s="2">
        <f t="shared" si="49"/>
        <v>0.27599999999999414</v>
      </c>
      <c r="R492" s="2">
        <f t="shared" si="50"/>
        <v>0.28921513470680843</v>
      </c>
      <c r="S492" s="2">
        <f t="shared" si="51"/>
        <v>-1.3215134706814291E-2</v>
      </c>
    </row>
    <row r="493" spans="2:19" x14ac:dyDescent="0.25">
      <c r="B493" s="1">
        <f t="shared" si="52"/>
        <v>487</v>
      </c>
      <c r="C493" s="1">
        <v>828</v>
      </c>
      <c r="D493" s="13">
        <v>55.2</v>
      </c>
      <c r="E493" s="1" t="s">
        <v>11</v>
      </c>
      <c r="F493" s="2">
        <v>2.8</v>
      </c>
      <c r="G493" s="1" t="s">
        <v>12</v>
      </c>
      <c r="H493" s="1" t="s">
        <v>13</v>
      </c>
      <c r="I493" s="1" t="s">
        <v>14</v>
      </c>
      <c r="J493" s="14">
        <v>0.37162037037037038</v>
      </c>
      <c r="K493" s="15">
        <v>45537</v>
      </c>
      <c r="M493" s="2">
        <v>2.65</v>
      </c>
      <c r="O493" s="2">
        <f t="shared" si="47"/>
        <v>2.5749999999999997</v>
      </c>
      <c r="P493" s="2">
        <f t="shared" si="48"/>
        <v>57.84627575277338</v>
      </c>
      <c r="Q493" s="2">
        <f t="shared" si="49"/>
        <v>0.27600000000001862</v>
      </c>
      <c r="R493" s="2">
        <f t="shared" si="50"/>
        <v>0.28924762282093869</v>
      </c>
      <c r="S493" s="2">
        <f t="shared" si="51"/>
        <v>-1.3247622820920069E-2</v>
      </c>
    </row>
    <row r="494" spans="2:19" x14ac:dyDescent="0.25">
      <c r="B494" s="1">
        <f t="shared" si="52"/>
        <v>488</v>
      </c>
      <c r="C494" s="1">
        <v>830</v>
      </c>
      <c r="D494" s="13">
        <v>55.2</v>
      </c>
      <c r="E494" s="1" t="s">
        <v>11</v>
      </c>
      <c r="F494" s="2">
        <v>2.8050000000000002</v>
      </c>
      <c r="G494" s="1" t="s">
        <v>12</v>
      </c>
      <c r="H494" s="1" t="s">
        <v>13</v>
      </c>
      <c r="I494" s="1" t="s">
        <v>14</v>
      </c>
      <c r="J494" s="14">
        <v>0.37162037037037038</v>
      </c>
      <c r="K494" s="15">
        <v>45537</v>
      </c>
      <c r="M494" s="2">
        <v>2.6550000000000002</v>
      </c>
      <c r="O494" s="2">
        <f t="shared" si="47"/>
        <v>2.58</v>
      </c>
      <c r="P494" s="2">
        <f t="shared" si="48"/>
        <v>57.852773375594296</v>
      </c>
      <c r="Q494" s="2">
        <f t="shared" si="49"/>
        <v>0.27599999999999414</v>
      </c>
      <c r="R494" s="2">
        <f t="shared" si="50"/>
        <v>0.2892801109350176</v>
      </c>
      <c r="S494" s="2">
        <f t="shared" si="51"/>
        <v>-1.3280110935023459E-2</v>
      </c>
    </row>
    <row r="495" spans="2:19" x14ac:dyDescent="0.25">
      <c r="B495" s="1">
        <f t="shared" si="52"/>
        <v>489</v>
      </c>
      <c r="C495" s="1">
        <v>832</v>
      </c>
      <c r="D495" s="13">
        <v>55.2</v>
      </c>
      <c r="E495" s="1" t="s">
        <v>11</v>
      </c>
      <c r="F495" s="2">
        <v>2.81</v>
      </c>
      <c r="G495" s="1" t="s">
        <v>12</v>
      </c>
      <c r="H495" s="1" t="s">
        <v>13</v>
      </c>
      <c r="I495" s="1" t="s">
        <v>14</v>
      </c>
      <c r="J495" s="14">
        <v>0.37162037037037038</v>
      </c>
      <c r="K495" s="15">
        <v>45537</v>
      </c>
      <c r="M495" s="2">
        <v>2.66</v>
      </c>
      <c r="O495" s="2">
        <f t="shared" si="47"/>
        <v>2.585</v>
      </c>
      <c r="P495" s="2">
        <f t="shared" si="48"/>
        <v>57.859270998415212</v>
      </c>
      <c r="Q495" s="2">
        <f t="shared" si="49"/>
        <v>0.27599999999999414</v>
      </c>
      <c r="R495" s="2">
        <f t="shared" si="50"/>
        <v>0.28931259904912221</v>
      </c>
      <c r="S495" s="2">
        <f t="shared" si="51"/>
        <v>-1.3312599049128071E-2</v>
      </c>
    </row>
    <row r="496" spans="2:19" x14ac:dyDescent="0.25">
      <c r="B496" s="1">
        <f t="shared" si="52"/>
        <v>490</v>
      </c>
      <c r="C496" s="1">
        <v>833</v>
      </c>
      <c r="D496" s="13">
        <v>55.2</v>
      </c>
      <c r="E496" s="1" t="s">
        <v>11</v>
      </c>
      <c r="F496" s="2">
        <v>2.8149999999999999</v>
      </c>
      <c r="G496" s="1" t="s">
        <v>12</v>
      </c>
      <c r="H496" s="1" t="s">
        <v>13</v>
      </c>
      <c r="I496" s="1" t="s">
        <v>14</v>
      </c>
      <c r="J496" s="14">
        <v>0.37162037037037038</v>
      </c>
      <c r="K496" s="15">
        <v>45537</v>
      </c>
      <c r="M496" s="2">
        <v>2.665</v>
      </c>
      <c r="O496" s="2">
        <f t="shared" si="47"/>
        <v>2.59</v>
      </c>
      <c r="P496" s="2">
        <f t="shared" si="48"/>
        <v>57.865768621236136</v>
      </c>
      <c r="Q496" s="2">
        <f t="shared" si="49"/>
        <v>0.27599999999999414</v>
      </c>
      <c r="R496" s="2">
        <f t="shared" si="50"/>
        <v>0.28934508716322682</v>
      </c>
      <c r="S496" s="2">
        <f t="shared" si="51"/>
        <v>-1.3345087163232683E-2</v>
      </c>
    </row>
    <row r="497" spans="2:19" x14ac:dyDescent="0.25">
      <c r="B497" s="1">
        <f t="shared" si="52"/>
        <v>491</v>
      </c>
      <c r="C497" s="1">
        <v>834</v>
      </c>
      <c r="D497" s="13">
        <v>55.2</v>
      </c>
      <c r="E497" s="1" t="s">
        <v>11</v>
      </c>
      <c r="F497" s="2">
        <v>2.82</v>
      </c>
      <c r="G497" s="1" t="s">
        <v>12</v>
      </c>
      <c r="H497" s="1" t="s">
        <v>13</v>
      </c>
      <c r="I497" s="1" t="s">
        <v>14</v>
      </c>
      <c r="J497" s="14">
        <v>0.37163194444444442</v>
      </c>
      <c r="K497" s="15">
        <v>45537</v>
      </c>
      <c r="M497" s="2">
        <v>2.67</v>
      </c>
      <c r="O497" s="2">
        <f t="shared" si="47"/>
        <v>2.5949999999999998</v>
      </c>
      <c r="P497" s="2">
        <f t="shared" si="48"/>
        <v>57.872266244057052</v>
      </c>
      <c r="Q497" s="2">
        <f t="shared" si="49"/>
        <v>0.27625000000001865</v>
      </c>
      <c r="R497" s="2">
        <f t="shared" si="50"/>
        <v>0.28937757527735714</v>
      </c>
      <c r="S497" s="2">
        <f t="shared" si="51"/>
        <v>-1.3127575277338488E-2</v>
      </c>
    </row>
    <row r="498" spans="2:19" x14ac:dyDescent="0.25">
      <c r="B498" s="1">
        <f t="shared" si="52"/>
        <v>492</v>
      </c>
      <c r="C498" s="1">
        <v>835</v>
      </c>
      <c r="D498" s="13">
        <v>55.3</v>
      </c>
      <c r="E498" s="1" t="s">
        <v>11</v>
      </c>
      <c r="F498" s="2">
        <v>2.8250000000000002</v>
      </c>
      <c r="G498" s="1" t="s">
        <v>12</v>
      </c>
      <c r="H498" s="1" t="s">
        <v>13</v>
      </c>
      <c r="I498" s="1" t="s">
        <v>14</v>
      </c>
      <c r="J498" s="14">
        <v>0.37163194444444442</v>
      </c>
      <c r="K498" s="15">
        <v>45537</v>
      </c>
      <c r="M498" s="2">
        <v>2.6750000000000003</v>
      </c>
      <c r="O498" s="2">
        <f t="shared" si="47"/>
        <v>2.6</v>
      </c>
      <c r="P498" s="2">
        <f t="shared" si="48"/>
        <v>57.878763866877975</v>
      </c>
      <c r="Q498" s="2">
        <f t="shared" si="49"/>
        <v>0.27674999999999406</v>
      </c>
      <c r="R498" s="2">
        <f t="shared" si="50"/>
        <v>0.28941006339143599</v>
      </c>
      <c r="S498" s="2">
        <f t="shared" si="51"/>
        <v>-1.2660063391441934E-2</v>
      </c>
    </row>
    <row r="499" spans="2:19" x14ac:dyDescent="0.25">
      <c r="B499" s="1">
        <f t="shared" si="52"/>
        <v>493</v>
      </c>
      <c r="C499" s="1">
        <v>836</v>
      </c>
      <c r="D499" s="13">
        <v>55.4</v>
      </c>
      <c r="E499" s="1" t="s">
        <v>11</v>
      </c>
      <c r="F499" s="2">
        <v>2.83</v>
      </c>
      <c r="G499" s="1" t="s">
        <v>12</v>
      </c>
      <c r="H499" s="1" t="s">
        <v>13</v>
      </c>
      <c r="I499" s="1" t="s">
        <v>14</v>
      </c>
      <c r="J499" s="14">
        <v>0.37163194444444442</v>
      </c>
      <c r="K499" s="15">
        <v>45537</v>
      </c>
      <c r="M499" s="2">
        <v>2.68</v>
      </c>
      <c r="O499" s="2">
        <f t="shared" si="47"/>
        <v>2.605</v>
      </c>
      <c r="P499" s="2">
        <f t="shared" si="48"/>
        <v>57.885261489698891</v>
      </c>
      <c r="Q499" s="2">
        <f t="shared" si="49"/>
        <v>0.27699999999999408</v>
      </c>
      <c r="R499" s="2">
        <f t="shared" si="50"/>
        <v>0.2894425515055406</v>
      </c>
      <c r="S499" s="2">
        <f t="shared" si="51"/>
        <v>-1.2442551505546517E-2</v>
      </c>
    </row>
    <row r="500" spans="2:19" x14ac:dyDescent="0.25">
      <c r="B500" s="1">
        <f t="shared" si="52"/>
        <v>494</v>
      </c>
      <c r="C500" s="1">
        <v>837</v>
      </c>
      <c r="D500" s="13">
        <v>55.4</v>
      </c>
      <c r="E500" s="1" t="s">
        <v>11</v>
      </c>
      <c r="F500" s="2">
        <v>2.835</v>
      </c>
      <c r="G500" s="1" t="s">
        <v>12</v>
      </c>
      <c r="H500" s="1" t="s">
        <v>13</v>
      </c>
      <c r="I500" s="1" t="s">
        <v>14</v>
      </c>
      <c r="J500" s="14">
        <v>0.37163194444444442</v>
      </c>
      <c r="K500" s="15">
        <v>45537</v>
      </c>
      <c r="M500" s="2">
        <v>2.6850000000000001</v>
      </c>
      <c r="O500" s="2">
        <f t="shared" si="47"/>
        <v>2.61</v>
      </c>
      <c r="P500" s="2">
        <f t="shared" si="48"/>
        <v>57.891759112519814</v>
      </c>
      <c r="Q500" s="2">
        <f t="shared" si="49"/>
        <v>0.55450000000001287</v>
      </c>
      <c r="R500" s="2">
        <f t="shared" si="50"/>
        <v>0.57898256735342069</v>
      </c>
      <c r="S500" s="2">
        <f t="shared" si="51"/>
        <v>-2.4482567353407814E-2</v>
      </c>
    </row>
    <row r="501" spans="2:19" x14ac:dyDescent="0.25">
      <c r="B501" s="1">
        <f t="shared" si="52"/>
        <v>495</v>
      </c>
      <c r="C501" s="1">
        <v>838</v>
      </c>
      <c r="D501" s="13">
        <v>55.5</v>
      </c>
      <c r="E501" s="1" t="s">
        <v>11</v>
      </c>
      <c r="F501" s="2">
        <v>2.8450000000000002</v>
      </c>
      <c r="G501" s="1" t="s">
        <v>12</v>
      </c>
      <c r="H501" s="1" t="s">
        <v>13</v>
      </c>
      <c r="I501" s="1" t="s">
        <v>14</v>
      </c>
      <c r="J501" s="14">
        <v>0.37163194444444442</v>
      </c>
      <c r="K501" s="15">
        <v>45537</v>
      </c>
      <c r="M501" s="2">
        <v>2.6950000000000003</v>
      </c>
      <c r="O501" s="2">
        <f t="shared" si="47"/>
        <v>2.62</v>
      </c>
      <c r="P501" s="2">
        <f t="shared" si="48"/>
        <v>57.904754358161647</v>
      </c>
      <c r="Q501" s="2">
        <f t="shared" si="49"/>
        <v>0.27724999999999411</v>
      </c>
      <c r="R501" s="2">
        <f t="shared" si="50"/>
        <v>0.28954001584785438</v>
      </c>
      <c r="S501" s="2">
        <f t="shared" si="51"/>
        <v>-1.2290015847860269E-2</v>
      </c>
    </row>
    <row r="502" spans="2:19" x14ac:dyDescent="0.25">
      <c r="B502" s="1">
        <f t="shared" si="52"/>
        <v>496</v>
      </c>
      <c r="C502" s="1">
        <v>839</v>
      </c>
      <c r="D502" s="13">
        <v>55.4</v>
      </c>
      <c r="E502" s="1" t="s">
        <v>11</v>
      </c>
      <c r="F502" s="2">
        <v>2.85</v>
      </c>
      <c r="G502" s="1" t="s">
        <v>12</v>
      </c>
      <c r="H502" s="1" t="s">
        <v>13</v>
      </c>
      <c r="I502" s="1" t="s">
        <v>14</v>
      </c>
      <c r="J502" s="14">
        <v>0.37163194444444442</v>
      </c>
      <c r="K502" s="15">
        <v>45537</v>
      </c>
      <c r="M502" s="2">
        <v>2.7</v>
      </c>
      <c r="O502" s="2">
        <f t="shared" si="47"/>
        <v>2.625</v>
      </c>
      <c r="P502" s="2">
        <f t="shared" si="48"/>
        <v>57.91125198098257</v>
      </c>
      <c r="Q502" s="2">
        <f t="shared" si="49"/>
        <v>0.27724999999999411</v>
      </c>
      <c r="R502" s="2">
        <f t="shared" si="50"/>
        <v>0.28957250396195899</v>
      </c>
      <c r="S502" s="2">
        <f t="shared" si="51"/>
        <v>-1.2322503961964881E-2</v>
      </c>
    </row>
    <row r="503" spans="2:19" x14ac:dyDescent="0.25">
      <c r="B503" s="1">
        <f t="shared" si="52"/>
        <v>497</v>
      </c>
      <c r="C503" s="1">
        <v>840</v>
      </c>
      <c r="D503" s="13">
        <v>55.5</v>
      </c>
      <c r="E503" s="1" t="s">
        <v>11</v>
      </c>
      <c r="F503" s="2">
        <v>2.855</v>
      </c>
      <c r="G503" s="1" t="s">
        <v>12</v>
      </c>
      <c r="H503" s="1" t="s">
        <v>13</v>
      </c>
      <c r="I503" s="1" t="s">
        <v>14</v>
      </c>
      <c r="J503" s="14">
        <v>0.37163194444444442</v>
      </c>
      <c r="K503" s="15">
        <v>45537</v>
      </c>
      <c r="M503" s="2">
        <v>2.7050000000000001</v>
      </c>
      <c r="O503" s="2">
        <f t="shared" si="47"/>
        <v>2.63</v>
      </c>
      <c r="P503" s="2">
        <f t="shared" si="48"/>
        <v>57.917749603803486</v>
      </c>
      <c r="Q503" s="2">
        <f t="shared" si="49"/>
        <v>0.27749999999999408</v>
      </c>
      <c r="R503" s="2">
        <f t="shared" si="50"/>
        <v>0.28960499207606355</v>
      </c>
      <c r="S503" s="2">
        <f t="shared" si="51"/>
        <v>-1.2104992076069465E-2</v>
      </c>
    </row>
    <row r="504" spans="2:19" x14ac:dyDescent="0.25">
      <c r="B504" s="1">
        <f t="shared" si="52"/>
        <v>498</v>
      </c>
      <c r="C504" s="1">
        <v>841</v>
      </c>
      <c r="D504" s="13">
        <v>55.5</v>
      </c>
      <c r="E504" s="1" t="s">
        <v>11</v>
      </c>
      <c r="F504" s="2">
        <v>2.86</v>
      </c>
      <c r="G504" s="1" t="s">
        <v>12</v>
      </c>
      <c r="H504" s="1" t="s">
        <v>13</v>
      </c>
      <c r="I504" s="1" t="s">
        <v>14</v>
      </c>
      <c r="J504" s="14">
        <v>0.37163194444444442</v>
      </c>
      <c r="K504" s="15">
        <v>45537</v>
      </c>
      <c r="M504" s="2">
        <v>2.71</v>
      </c>
      <c r="O504" s="2">
        <f t="shared" si="47"/>
        <v>2.6349999999999998</v>
      </c>
      <c r="P504" s="2">
        <f t="shared" si="48"/>
        <v>57.924247226624409</v>
      </c>
      <c r="Q504" s="2">
        <f t="shared" si="49"/>
        <v>0.27750000000001873</v>
      </c>
      <c r="R504" s="2">
        <f t="shared" si="50"/>
        <v>0.28963748019019386</v>
      </c>
      <c r="S504" s="2">
        <f t="shared" si="51"/>
        <v>-1.2137480190175132E-2</v>
      </c>
    </row>
    <row r="505" spans="2:19" x14ac:dyDescent="0.25">
      <c r="B505" s="1">
        <f t="shared" si="52"/>
        <v>499</v>
      </c>
      <c r="C505" s="1">
        <v>842</v>
      </c>
      <c r="D505" s="13">
        <v>55.5</v>
      </c>
      <c r="E505" s="1" t="s">
        <v>11</v>
      </c>
      <c r="F505" s="2">
        <v>2.8650000000000002</v>
      </c>
      <c r="G505" s="1" t="s">
        <v>12</v>
      </c>
      <c r="H505" s="1" t="s">
        <v>13</v>
      </c>
      <c r="I505" s="1" t="s">
        <v>14</v>
      </c>
      <c r="J505" s="14">
        <v>0.37163194444444442</v>
      </c>
      <c r="K505" s="15">
        <v>45537</v>
      </c>
      <c r="M505" s="2">
        <v>2.7150000000000003</v>
      </c>
      <c r="O505" s="2">
        <f t="shared" si="47"/>
        <v>2.64</v>
      </c>
      <c r="P505" s="2">
        <f t="shared" si="48"/>
        <v>57.930744849445325</v>
      </c>
      <c r="Q505" s="2">
        <f t="shared" si="49"/>
        <v>0.27774999999999406</v>
      </c>
      <c r="R505" s="2">
        <f t="shared" si="50"/>
        <v>0.28966996830427277</v>
      </c>
      <c r="S505" s="2">
        <f t="shared" si="51"/>
        <v>-1.1919968304278716E-2</v>
      </c>
    </row>
    <row r="506" spans="2:19" x14ac:dyDescent="0.25">
      <c r="B506" s="1">
        <f t="shared" si="52"/>
        <v>500</v>
      </c>
      <c r="C506" s="1">
        <v>844</v>
      </c>
      <c r="D506" s="13">
        <v>55.6</v>
      </c>
      <c r="E506" s="1" t="s">
        <v>11</v>
      </c>
      <c r="F506" s="2">
        <v>2.87</v>
      </c>
      <c r="G506" s="1" t="s">
        <v>12</v>
      </c>
      <c r="H506" s="1" t="s">
        <v>13</v>
      </c>
      <c r="I506" s="1" t="s">
        <v>14</v>
      </c>
      <c r="J506" s="14">
        <v>0.37164351851851851</v>
      </c>
      <c r="K506" s="15">
        <v>45537</v>
      </c>
      <c r="M506" s="2">
        <v>2.72</v>
      </c>
      <c r="O506" s="2">
        <f t="shared" si="47"/>
        <v>2.645</v>
      </c>
      <c r="P506" s="2">
        <f t="shared" si="48"/>
        <v>57.937242472266249</v>
      </c>
      <c r="Q506" s="2">
        <f t="shared" si="49"/>
        <v>0.27799999999999409</v>
      </c>
      <c r="R506" s="2">
        <f t="shared" si="50"/>
        <v>0.28970245641837739</v>
      </c>
      <c r="S506" s="2">
        <f t="shared" si="51"/>
        <v>-1.17024564183833E-2</v>
      </c>
    </row>
    <row r="507" spans="2:19" x14ac:dyDescent="0.25">
      <c r="B507" s="1">
        <f t="shared" si="52"/>
        <v>501</v>
      </c>
      <c r="C507" s="1">
        <v>845</v>
      </c>
      <c r="D507" s="13">
        <v>55.6</v>
      </c>
      <c r="E507" s="1" t="s">
        <v>11</v>
      </c>
      <c r="F507" s="2">
        <v>2.875</v>
      </c>
      <c r="G507" s="1" t="s">
        <v>12</v>
      </c>
      <c r="H507" s="1" t="s">
        <v>13</v>
      </c>
      <c r="I507" s="1" t="s">
        <v>14</v>
      </c>
      <c r="J507" s="14">
        <v>0.37164351851851851</v>
      </c>
      <c r="K507" s="15">
        <v>45537</v>
      </c>
      <c r="M507" s="2">
        <v>2.7250000000000001</v>
      </c>
      <c r="O507" s="2">
        <f t="shared" si="47"/>
        <v>2.65</v>
      </c>
      <c r="P507" s="2">
        <f t="shared" si="48"/>
        <v>57.943740095087165</v>
      </c>
      <c r="Q507" s="2">
        <f t="shared" si="49"/>
        <v>0.27824999999999411</v>
      </c>
      <c r="R507" s="2">
        <f t="shared" si="50"/>
        <v>0.28973494453248194</v>
      </c>
      <c r="S507" s="2">
        <f t="shared" si="51"/>
        <v>-1.1484944532487829E-2</v>
      </c>
    </row>
    <row r="508" spans="2:19" x14ac:dyDescent="0.25">
      <c r="B508" s="1">
        <f t="shared" si="52"/>
        <v>502</v>
      </c>
      <c r="C508" s="1">
        <v>847</v>
      </c>
      <c r="D508" s="13">
        <v>55.7</v>
      </c>
      <c r="E508" s="1" t="s">
        <v>11</v>
      </c>
      <c r="F508" s="2">
        <v>2.88</v>
      </c>
      <c r="G508" s="1" t="s">
        <v>12</v>
      </c>
      <c r="H508" s="1" t="s">
        <v>13</v>
      </c>
      <c r="I508" s="1" t="s">
        <v>14</v>
      </c>
      <c r="J508" s="14">
        <v>0.37164351851851851</v>
      </c>
      <c r="K508" s="15">
        <v>45537</v>
      </c>
      <c r="M508" s="2">
        <v>2.73</v>
      </c>
      <c r="O508" s="2">
        <f t="shared" si="47"/>
        <v>2.6549999999999998</v>
      </c>
      <c r="P508" s="2">
        <f t="shared" si="48"/>
        <v>57.950237717908081</v>
      </c>
      <c r="Q508" s="2">
        <f t="shared" si="49"/>
        <v>0.27849999999999409</v>
      </c>
      <c r="R508" s="2">
        <f t="shared" si="50"/>
        <v>0.2897674326465865</v>
      </c>
      <c r="S508" s="2">
        <f t="shared" si="51"/>
        <v>-1.1267432646592412E-2</v>
      </c>
    </row>
    <row r="509" spans="2:19" x14ac:dyDescent="0.25">
      <c r="B509" s="1">
        <f t="shared" si="52"/>
        <v>503</v>
      </c>
      <c r="C509" s="1">
        <v>850</v>
      </c>
      <c r="D509" s="13">
        <v>55.7</v>
      </c>
      <c r="E509" s="1" t="s">
        <v>11</v>
      </c>
      <c r="F509" s="2">
        <v>2.8849999999999998</v>
      </c>
      <c r="G509" s="1" t="s">
        <v>12</v>
      </c>
      <c r="H509" s="1" t="s">
        <v>13</v>
      </c>
      <c r="I509" s="1" t="s">
        <v>14</v>
      </c>
      <c r="J509" s="14">
        <v>0.37164351851851851</v>
      </c>
      <c r="K509" s="15">
        <v>45537</v>
      </c>
      <c r="M509" s="2">
        <v>2.7349999999999999</v>
      </c>
      <c r="O509" s="2">
        <f t="shared" si="47"/>
        <v>2.6599999999999997</v>
      </c>
      <c r="P509" s="2">
        <f t="shared" si="48"/>
        <v>57.956735340729004</v>
      </c>
      <c r="Q509" s="2">
        <f t="shared" si="49"/>
        <v>0.27850000000001879</v>
      </c>
      <c r="R509" s="2">
        <f t="shared" si="50"/>
        <v>0.28979992076071687</v>
      </c>
      <c r="S509" s="2">
        <f t="shared" si="51"/>
        <v>-1.1299920760698079E-2</v>
      </c>
    </row>
    <row r="510" spans="2:19" x14ac:dyDescent="0.25">
      <c r="B510" s="1">
        <f t="shared" si="52"/>
        <v>504</v>
      </c>
      <c r="C510" s="1">
        <v>853</v>
      </c>
      <c r="D510" s="13">
        <v>55.7</v>
      </c>
      <c r="E510" s="1" t="s">
        <v>11</v>
      </c>
      <c r="F510" s="2">
        <v>2.89</v>
      </c>
      <c r="G510" s="1" t="s">
        <v>12</v>
      </c>
      <c r="H510" s="1" t="s">
        <v>13</v>
      </c>
      <c r="I510" s="1" t="s">
        <v>14</v>
      </c>
      <c r="J510" s="14">
        <v>0.37164351851851851</v>
      </c>
      <c r="K510" s="15">
        <v>45537</v>
      </c>
      <c r="M510" s="2">
        <v>2.74</v>
      </c>
      <c r="O510" s="2">
        <f t="shared" si="47"/>
        <v>2.665</v>
      </c>
      <c r="P510" s="2">
        <f t="shared" si="48"/>
        <v>57.96323296354992</v>
      </c>
      <c r="Q510" s="2">
        <f t="shared" si="49"/>
        <v>0.27849999999999409</v>
      </c>
      <c r="R510" s="2">
        <f t="shared" si="50"/>
        <v>0.28983240887479578</v>
      </c>
      <c r="S510" s="2">
        <f t="shared" si="51"/>
        <v>-1.1332408874801692E-2</v>
      </c>
    </row>
    <row r="511" spans="2:19" x14ac:dyDescent="0.25">
      <c r="B511" s="1">
        <f t="shared" si="52"/>
        <v>505</v>
      </c>
      <c r="C511" s="1">
        <v>855</v>
      </c>
      <c r="D511" s="13">
        <v>55.7</v>
      </c>
      <c r="E511" s="1" t="s">
        <v>11</v>
      </c>
      <c r="F511" s="2">
        <v>2.895</v>
      </c>
      <c r="G511" s="1" t="s">
        <v>12</v>
      </c>
      <c r="H511" s="1" t="s">
        <v>13</v>
      </c>
      <c r="I511" s="1" t="s">
        <v>14</v>
      </c>
      <c r="J511" s="14">
        <v>0.37165509259259261</v>
      </c>
      <c r="K511" s="15">
        <v>45537</v>
      </c>
      <c r="M511" s="2">
        <v>2.7450000000000001</v>
      </c>
      <c r="O511" s="2">
        <f t="shared" si="47"/>
        <v>2.67</v>
      </c>
      <c r="P511" s="2">
        <f t="shared" si="48"/>
        <v>57.969730586370844</v>
      </c>
      <c r="Q511" s="2">
        <f t="shared" si="49"/>
        <v>0.27874999999999406</v>
      </c>
      <c r="R511" s="2">
        <f t="shared" si="50"/>
        <v>0.28986489698890033</v>
      </c>
      <c r="S511" s="2">
        <f t="shared" si="51"/>
        <v>-1.1114896988906275E-2</v>
      </c>
    </row>
    <row r="512" spans="2:19" x14ac:dyDescent="0.25">
      <c r="B512" s="1">
        <f t="shared" si="52"/>
        <v>506</v>
      </c>
      <c r="C512" s="1">
        <v>857</v>
      </c>
      <c r="D512" s="13">
        <v>55.8</v>
      </c>
      <c r="E512" s="1" t="s">
        <v>11</v>
      </c>
      <c r="F512" s="2">
        <v>2.9</v>
      </c>
      <c r="G512" s="1" t="s">
        <v>12</v>
      </c>
      <c r="H512" s="1" t="s">
        <v>13</v>
      </c>
      <c r="I512" s="1" t="s">
        <v>14</v>
      </c>
      <c r="J512" s="14">
        <v>0.37165509259259261</v>
      </c>
      <c r="K512" s="15">
        <v>45537</v>
      </c>
      <c r="M512" s="2">
        <v>2.75</v>
      </c>
      <c r="O512" s="2">
        <f t="shared" si="47"/>
        <v>2.6749999999999998</v>
      </c>
      <c r="P512" s="2">
        <f t="shared" si="48"/>
        <v>57.97622820919176</v>
      </c>
      <c r="Q512" s="2">
        <f t="shared" si="49"/>
        <v>0.27899999999999403</v>
      </c>
      <c r="R512" s="2">
        <f t="shared" si="50"/>
        <v>0.28989738510300489</v>
      </c>
      <c r="S512" s="2">
        <f t="shared" si="51"/>
        <v>-1.0897385103010859E-2</v>
      </c>
    </row>
    <row r="513" spans="2:19" x14ac:dyDescent="0.25">
      <c r="B513" s="1">
        <f t="shared" si="52"/>
        <v>507</v>
      </c>
      <c r="C513" s="1">
        <v>858</v>
      </c>
      <c r="D513" s="13">
        <v>55.8</v>
      </c>
      <c r="E513" s="1" t="s">
        <v>11</v>
      </c>
      <c r="F513" s="2">
        <v>2.9049999999999998</v>
      </c>
      <c r="G513" s="1" t="s">
        <v>12</v>
      </c>
      <c r="H513" s="1" t="s">
        <v>13</v>
      </c>
      <c r="I513" s="1" t="s">
        <v>14</v>
      </c>
      <c r="J513" s="14">
        <v>0.37165509259259261</v>
      </c>
      <c r="K513" s="15">
        <v>45537</v>
      </c>
      <c r="M513" s="2">
        <v>2.7549999999999999</v>
      </c>
      <c r="O513" s="2">
        <f t="shared" si="47"/>
        <v>2.6799999999999997</v>
      </c>
      <c r="P513" s="2">
        <f t="shared" si="48"/>
        <v>57.982725832012676</v>
      </c>
      <c r="Q513" s="2">
        <f t="shared" si="49"/>
        <v>0.27925000000001882</v>
      </c>
      <c r="R513" s="2">
        <f t="shared" si="50"/>
        <v>0.28992987321713526</v>
      </c>
      <c r="S513" s="2">
        <f t="shared" si="51"/>
        <v>-1.0679873217116442E-2</v>
      </c>
    </row>
    <row r="514" spans="2:19" x14ac:dyDescent="0.25">
      <c r="B514" s="1">
        <f t="shared" si="52"/>
        <v>508</v>
      </c>
      <c r="C514" s="1">
        <v>860</v>
      </c>
      <c r="D514" s="13">
        <v>55.9</v>
      </c>
      <c r="E514" s="1" t="s">
        <v>11</v>
      </c>
      <c r="F514" s="2">
        <v>2.91</v>
      </c>
      <c r="G514" s="1" t="s">
        <v>12</v>
      </c>
      <c r="H514" s="1" t="s">
        <v>13</v>
      </c>
      <c r="I514" s="1" t="s">
        <v>14</v>
      </c>
      <c r="J514" s="14">
        <v>0.37165509259259261</v>
      </c>
      <c r="K514" s="15">
        <v>45537</v>
      </c>
      <c r="M514" s="2">
        <v>2.7600000000000002</v>
      </c>
      <c r="O514" s="2">
        <f t="shared" si="47"/>
        <v>2.6850000000000001</v>
      </c>
      <c r="P514" s="2">
        <f t="shared" si="48"/>
        <v>57.989223454833599</v>
      </c>
      <c r="Q514" s="2">
        <f t="shared" si="49"/>
        <v>0.27949999999999403</v>
      </c>
      <c r="R514" s="2">
        <f t="shared" si="50"/>
        <v>0.28996236133121411</v>
      </c>
      <c r="S514" s="2">
        <f t="shared" si="51"/>
        <v>-1.0462361331220082E-2</v>
      </c>
    </row>
    <row r="515" spans="2:19" x14ac:dyDescent="0.25">
      <c r="B515" s="1">
        <f t="shared" si="52"/>
        <v>509</v>
      </c>
      <c r="C515" s="1">
        <v>862</v>
      </c>
      <c r="D515" s="13">
        <v>55.9</v>
      </c>
      <c r="E515" s="1" t="s">
        <v>11</v>
      </c>
      <c r="F515" s="2">
        <v>2.915</v>
      </c>
      <c r="G515" s="1" t="s">
        <v>12</v>
      </c>
      <c r="H515" s="1" t="s">
        <v>13</v>
      </c>
      <c r="I515" s="1" t="s">
        <v>14</v>
      </c>
      <c r="J515" s="14">
        <v>0.37165509259259261</v>
      </c>
      <c r="K515" s="15">
        <v>45537</v>
      </c>
      <c r="M515" s="2">
        <v>2.7650000000000001</v>
      </c>
      <c r="O515" s="2">
        <f t="shared" si="47"/>
        <v>2.69</v>
      </c>
      <c r="P515" s="2">
        <f t="shared" si="48"/>
        <v>57.995721077654515</v>
      </c>
      <c r="Q515" s="2">
        <f t="shared" si="49"/>
        <v>0.27974999999999406</v>
      </c>
      <c r="R515" s="2">
        <f t="shared" si="50"/>
        <v>0.28999484944531873</v>
      </c>
      <c r="S515" s="2">
        <f t="shared" si="51"/>
        <v>-1.0244849445324666E-2</v>
      </c>
    </row>
    <row r="516" spans="2:19" x14ac:dyDescent="0.25">
      <c r="B516" s="1">
        <f t="shared" si="52"/>
        <v>510</v>
      </c>
      <c r="C516" s="1">
        <v>863</v>
      </c>
      <c r="D516" s="13">
        <v>56</v>
      </c>
      <c r="E516" s="1" t="s">
        <v>11</v>
      </c>
      <c r="F516" s="2">
        <v>2.92</v>
      </c>
      <c r="G516" s="1" t="s">
        <v>12</v>
      </c>
      <c r="H516" s="1" t="s">
        <v>13</v>
      </c>
      <c r="I516" s="1" t="s">
        <v>14</v>
      </c>
      <c r="J516" s="14">
        <v>0.37165509259259261</v>
      </c>
      <c r="K516" s="15">
        <v>45537</v>
      </c>
      <c r="M516" s="2">
        <v>2.77</v>
      </c>
      <c r="O516" s="2">
        <f t="shared" si="47"/>
        <v>2.6949999999999998</v>
      </c>
      <c r="P516" s="2">
        <f t="shared" si="48"/>
        <v>58.002218700475439</v>
      </c>
      <c r="Q516" s="2">
        <f t="shared" si="49"/>
        <v>0.27999999999999403</v>
      </c>
      <c r="R516" s="2">
        <f t="shared" si="50"/>
        <v>0.29002733755942328</v>
      </c>
      <c r="S516" s="2">
        <f t="shared" si="51"/>
        <v>-1.002733755942925E-2</v>
      </c>
    </row>
    <row r="517" spans="2:19" x14ac:dyDescent="0.25">
      <c r="B517" s="1">
        <f t="shared" si="52"/>
        <v>511</v>
      </c>
      <c r="C517" s="1">
        <v>864</v>
      </c>
      <c r="D517" s="13">
        <v>56</v>
      </c>
      <c r="E517" s="1" t="s">
        <v>11</v>
      </c>
      <c r="F517" s="2">
        <v>2.9249999999999998</v>
      </c>
      <c r="G517" s="1" t="s">
        <v>12</v>
      </c>
      <c r="H517" s="1" t="s">
        <v>13</v>
      </c>
      <c r="I517" s="1" t="s">
        <v>14</v>
      </c>
      <c r="J517" s="14">
        <v>0.37166666666666665</v>
      </c>
      <c r="K517" s="15">
        <v>45537</v>
      </c>
      <c r="M517" s="2">
        <v>2.7749999999999999</v>
      </c>
      <c r="O517" s="2">
        <f t="shared" si="47"/>
        <v>2.6999999999999997</v>
      </c>
      <c r="P517" s="2">
        <f t="shared" si="48"/>
        <v>58.008716323296355</v>
      </c>
      <c r="Q517" s="2">
        <f t="shared" si="49"/>
        <v>0.56000000000001293</v>
      </c>
      <c r="R517" s="2">
        <f t="shared" si="50"/>
        <v>0.58015213946118616</v>
      </c>
      <c r="S517" s="2">
        <f t="shared" si="51"/>
        <v>-2.0152139461173224E-2</v>
      </c>
    </row>
    <row r="518" spans="2:19" x14ac:dyDescent="0.25">
      <c r="B518" s="1">
        <f t="shared" si="52"/>
        <v>512</v>
      </c>
      <c r="C518" s="1">
        <v>865</v>
      </c>
      <c r="D518" s="13">
        <v>56</v>
      </c>
      <c r="E518" s="1" t="s">
        <v>11</v>
      </c>
      <c r="F518" s="2">
        <v>2.9350000000000001</v>
      </c>
      <c r="G518" s="1" t="s">
        <v>12</v>
      </c>
      <c r="H518" s="1" t="s">
        <v>13</v>
      </c>
      <c r="I518" s="1" t="s">
        <v>14</v>
      </c>
      <c r="J518" s="14">
        <v>0.37166666666666665</v>
      </c>
      <c r="K518" s="15">
        <v>45537</v>
      </c>
      <c r="M518" s="2">
        <v>2.7850000000000001</v>
      </c>
      <c r="O518" s="2">
        <f t="shared" si="47"/>
        <v>2.71</v>
      </c>
      <c r="P518" s="2">
        <f t="shared" si="48"/>
        <v>58.021711568938194</v>
      </c>
      <c r="Q518" s="2">
        <f t="shared" si="49"/>
        <v>0.28049999999999403</v>
      </c>
      <c r="R518" s="2">
        <f t="shared" si="50"/>
        <v>0.29012480190173712</v>
      </c>
      <c r="S518" s="2">
        <f t="shared" si="51"/>
        <v>-9.6248019017430853E-3</v>
      </c>
    </row>
    <row r="519" spans="2:19" x14ac:dyDescent="0.25">
      <c r="B519" s="1">
        <f t="shared" si="52"/>
        <v>513</v>
      </c>
      <c r="C519" s="1">
        <v>866</v>
      </c>
      <c r="D519" s="13">
        <v>56.2</v>
      </c>
      <c r="E519" s="1" t="s">
        <v>11</v>
      </c>
      <c r="F519" s="2">
        <v>2.94</v>
      </c>
      <c r="G519" s="1" t="s">
        <v>12</v>
      </c>
      <c r="H519" s="1" t="s">
        <v>13</v>
      </c>
      <c r="I519" s="1" t="s">
        <v>14</v>
      </c>
      <c r="J519" s="14">
        <v>0.37166666666666665</v>
      </c>
      <c r="K519" s="15">
        <v>45537</v>
      </c>
      <c r="M519" s="2">
        <v>2.79</v>
      </c>
      <c r="O519" s="2">
        <f t="shared" si="47"/>
        <v>2.7149999999999999</v>
      </c>
      <c r="P519" s="2">
        <f t="shared" si="48"/>
        <v>58.028209191759117</v>
      </c>
      <c r="Q519" s="2">
        <f t="shared" si="49"/>
        <v>0.28099999999999403</v>
      </c>
      <c r="R519" s="2">
        <f t="shared" si="50"/>
        <v>0.29015729001584167</v>
      </c>
      <c r="S519" s="2">
        <f t="shared" si="51"/>
        <v>-9.1572900158476411E-3</v>
      </c>
    </row>
    <row r="520" spans="2:19" x14ac:dyDescent="0.25">
      <c r="B520" s="1">
        <f t="shared" si="52"/>
        <v>514</v>
      </c>
      <c r="C520" s="1">
        <v>867</v>
      </c>
      <c r="D520" s="13">
        <v>56.2</v>
      </c>
      <c r="E520" s="1" t="s">
        <v>11</v>
      </c>
      <c r="F520" s="2">
        <v>2.9449999999999998</v>
      </c>
      <c r="G520" s="1" t="s">
        <v>12</v>
      </c>
      <c r="H520" s="1" t="s">
        <v>13</v>
      </c>
      <c r="I520" s="1" t="s">
        <v>14</v>
      </c>
      <c r="J520" s="14">
        <v>0.37166666666666665</v>
      </c>
      <c r="K520" s="15">
        <v>45537</v>
      </c>
      <c r="M520" s="2">
        <v>2.7949999999999999</v>
      </c>
      <c r="O520" s="2">
        <f t="shared" ref="O520:O583" si="53">M520-$X$23</f>
        <v>2.7199999999999998</v>
      </c>
      <c r="P520" s="2">
        <f t="shared" ref="P520:P583" si="54">O520*$AC$21+$Y$23</f>
        <v>58.034706814580034</v>
      </c>
      <c r="Q520" s="2">
        <f t="shared" ref="Q520:Q583" si="55">((D520+D521)/2)*(M521-M520)</f>
        <v>0.56200000000001304</v>
      </c>
      <c r="R520" s="2">
        <f t="shared" ref="R520:R583" si="56">((P520+P521)/2)*(O521-O520)</f>
        <v>0.58041204437402294</v>
      </c>
      <c r="S520" s="2">
        <f t="shared" ref="S520:S583" si="57">Q520-R520</f>
        <v>-1.8412044374009895E-2</v>
      </c>
    </row>
    <row r="521" spans="2:19" x14ac:dyDescent="0.25">
      <c r="B521" s="1">
        <f t="shared" ref="B521:B584" si="58">B520+1</f>
        <v>515</v>
      </c>
      <c r="C521" s="1">
        <v>868</v>
      </c>
      <c r="D521" s="13">
        <v>56.2</v>
      </c>
      <c r="E521" s="1" t="s">
        <v>11</v>
      </c>
      <c r="F521" s="2">
        <v>2.9550000000000001</v>
      </c>
      <c r="G521" s="1" t="s">
        <v>12</v>
      </c>
      <c r="H521" s="1" t="s">
        <v>13</v>
      </c>
      <c r="I521" s="1" t="s">
        <v>14</v>
      </c>
      <c r="J521" s="14">
        <v>0.37166666666666665</v>
      </c>
      <c r="K521" s="15">
        <v>45537</v>
      </c>
      <c r="M521" s="2">
        <v>2.8050000000000002</v>
      </c>
      <c r="O521" s="2">
        <f t="shared" si="53"/>
        <v>2.73</v>
      </c>
      <c r="P521" s="2">
        <f t="shared" si="54"/>
        <v>58.047702060221873</v>
      </c>
      <c r="Q521" s="2">
        <f t="shared" si="55"/>
        <v>0.56249999999998801</v>
      </c>
      <c r="R521" s="2">
        <f t="shared" si="56"/>
        <v>0.58054199683041563</v>
      </c>
      <c r="S521" s="2">
        <f t="shared" si="57"/>
        <v>-1.804199683042762E-2</v>
      </c>
    </row>
    <row r="522" spans="2:19" x14ac:dyDescent="0.25">
      <c r="B522" s="1">
        <f t="shared" si="58"/>
        <v>516</v>
      </c>
      <c r="C522" s="1">
        <v>869</v>
      </c>
      <c r="D522" s="13">
        <v>56.3</v>
      </c>
      <c r="E522" s="1" t="s">
        <v>11</v>
      </c>
      <c r="F522" s="2">
        <v>2.9649999999999999</v>
      </c>
      <c r="G522" s="1" t="s">
        <v>12</v>
      </c>
      <c r="H522" s="1" t="s">
        <v>13</v>
      </c>
      <c r="I522" s="1" t="s">
        <v>14</v>
      </c>
      <c r="J522" s="14">
        <v>0.37166666666666665</v>
      </c>
      <c r="K522" s="15">
        <v>45537</v>
      </c>
      <c r="M522" s="2">
        <v>2.8149999999999999</v>
      </c>
      <c r="O522" s="2">
        <f t="shared" si="53"/>
        <v>2.7399999999999998</v>
      </c>
      <c r="P522" s="2">
        <f t="shared" si="54"/>
        <v>58.060697305863712</v>
      </c>
      <c r="Q522" s="2">
        <f t="shared" si="55"/>
        <v>0.56300000000001293</v>
      </c>
      <c r="R522" s="2">
        <f t="shared" si="56"/>
        <v>0.58067194928685972</v>
      </c>
      <c r="S522" s="2">
        <f t="shared" si="57"/>
        <v>-1.7671949286846789E-2</v>
      </c>
    </row>
    <row r="523" spans="2:19" x14ac:dyDescent="0.25">
      <c r="B523" s="1">
        <f t="shared" si="58"/>
        <v>517</v>
      </c>
      <c r="C523" s="1">
        <v>870</v>
      </c>
      <c r="D523" s="13">
        <v>56.3</v>
      </c>
      <c r="E523" s="1" t="s">
        <v>11</v>
      </c>
      <c r="F523" s="2">
        <v>2.9750000000000001</v>
      </c>
      <c r="G523" s="1" t="s">
        <v>12</v>
      </c>
      <c r="H523" s="1" t="s">
        <v>13</v>
      </c>
      <c r="I523" s="1" t="s">
        <v>14</v>
      </c>
      <c r="J523" s="14">
        <v>0.37166666666666665</v>
      </c>
      <c r="K523" s="15">
        <v>45537</v>
      </c>
      <c r="M523" s="2">
        <v>2.8250000000000002</v>
      </c>
      <c r="O523" s="2">
        <f t="shared" si="53"/>
        <v>2.75</v>
      </c>
      <c r="P523" s="2">
        <f t="shared" si="54"/>
        <v>58.073692551505545</v>
      </c>
      <c r="Q523" s="2">
        <f t="shared" si="55"/>
        <v>0.28174999999999395</v>
      </c>
      <c r="R523" s="2">
        <f t="shared" si="56"/>
        <v>0.29038470681457385</v>
      </c>
      <c r="S523" s="2">
        <f t="shared" si="57"/>
        <v>-8.6347068145798955E-3</v>
      </c>
    </row>
    <row r="524" spans="2:19" x14ac:dyDescent="0.25">
      <c r="B524" s="1">
        <f t="shared" si="58"/>
        <v>518</v>
      </c>
      <c r="C524" s="1">
        <v>871</v>
      </c>
      <c r="D524" s="13">
        <v>56.4</v>
      </c>
      <c r="E524" s="1" t="s">
        <v>11</v>
      </c>
      <c r="F524" s="2">
        <v>2.98</v>
      </c>
      <c r="G524" s="1" t="s">
        <v>12</v>
      </c>
      <c r="H524" s="1" t="s">
        <v>13</v>
      </c>
      <c r="I524" s="1" t="s">
        <v>14</v>
      </c>
      <c r="J524" s="14">
        <v>0.37166666666666665</v>
      </c>
      <c r="K524" s="15">
        <v>45537</v>
      </c>
      <c r="M524" s="2">
        <v>2.83</v>
      </c>
      <c r="O524" s="2">
        <f t="shared" si="53"/>
        <v>2.7549999999999999</v>
      </c>
      <c r="P524" s="2">
        <f t="shared" si="54"/>
        <v>58.080190174326468</v>
      </c>
      <c r="Q524" s="2">
        <f t="shared" si="55"/>
        <v>0.56400000000001305</v>
      </c>
      <c r="R524" s="2">
        <f t="shared" si="56"/>
        <v>0.58086687797148728</v>
      </c>
      <c r="S524" s="2">
        <f t="shared" si="57"/>
        <v>-1.6866877971474237E-2</v>
      </c>
    </row>
    <row r="525" spans="2:19" x14ac:dyDescent="0.25">
      <c r="B525" s="1">
        <f t="shared" si="58"/>
        <v>519</v>
      </c>
      <c r="C525" s="1">
        <v>872</v>
      </c>
      <c r="D525" s="13">
        <v>56.4</v>
      </c>
      <c r="E525" s="1" t="s">
        <v>11</v>
      </c>
      <c r="F525" s="2">
        <v>2.99</v>
      </c>
      <c r="G525" s="1" t="s">
        <v>12</v>
      </c>
      <c r="H525" s="1" t="s">
        <v>13</v>
      </c>
      <c r="I525" s="1" t="s">
        <v>14</v>
      </c>
      <c r="J525" s="14">
        <v>0.37166666666666665</v>
      </c>
      <c r="K525" s="15">
        <v>45537</v>
      </c>
      <c r="M525" s="2">
        <v>2.8400000000000003</v>
      </c>
      <c r="O525" s="2">
        <f t="shared" si="53"/>
        <v>2.7650000000000001</v>
      </c>
      <c r="P525" s="2">
        <f t="shared" si="54"/>
        <v>58.093185419968307</v>
      </c>
      <c r="Q525" s="2">
        <f t="shared" si="55"/>
        <v>0.28224999999999401</v>
      </c>
      <c r="R525" s="2">
        <f t="shared" si="56"/>
        <v>0.29048217115688763</v>
      </c>
      <c r="S525" s="2">
        <f t="shared" si="57"/>
        <v>-8.2321711568936196E-3</v>
      </c>
    </row>
    <row r="526" spans="2:19" x14ac:dyDescent="0.25">
      <c r="B526" s="1">
        <f t="shared" si="58"/>
        <v>520</v>
      </c>
      <c r="C526" s="1">
        <v>873</v>
      </c>
      <c r="D526" s="13">
        <v>56.5</v>
      </c>
      <c r="E526" s="1" t="s">
        <v>11</v>
      </c>
      <c r="F526" s="2">
        <v>2.9950000000000001</v>
      </c>
      <c r="G526" s="1" t="s">
        <v>12</v>
      </c>
      <c r="H526" s="1" t="s">
        <v>13</v>
      </c>
      <c r="I526" s="1" t="s">
        <v>14</v>
      </c>
      <c r="J526" s="14">
        <v>0.37166666666666665</v>
      </c>
      <c r="K526" s="15">
        <v>45537</v>
      </c>
      <c r="M526" s="2">
        <v>2.8450000000000002</v>
      </c>
      <c r="O526" s="2">
        <f t="shared" si="53"/>
        <v>2.77</v>
      </c>
      <c r="P526" s="2">
        <f t="shared" si="54"/>
        <v>58.099683042789223</v>
      </c>
      <c r="Q526" s="2">
        <f t="shared" si="55"/>
        <v>0.5654999999999879</v>
      </c>
      <c r="R526" s="2">
        <f t="shared" si="56"/>
        <v>0.58106180665608897</v>
      </c>
      <c r="S526" s="2">
        <f t="shared" si="57"/>
        <v>-1.5561806656101074E-2</v>
      </c>
    </row>
    <row r="527" spans="2:19" x14ac:dyDescent="0.25">
      <c r="B527" s="1">
        <f t="shared" si="58"/>
        <v>521</v>
      </c>
      <c r="C527" s="1">
        <v>874</v>
      </c>
      <c r="D527" s="13">
        <v>56.6</v>
      </c>
      <c r="E527" s="1" t="s">
        <v>11</v>
      </c>
      <c r="F527" s="2">
        <v>3.0049999999999999</v>
      </c>
      <c r="G527" s="1" t="s">
        <v>12</v>
      </c>
      <c r="H527" s="1" t="s">
        <v>13</v>
      </c>
      <c r="I527" s="1" t="s">
        <v>14</v>
      </c>
      <c r="J527" s="14">
        <v>0.37167824074074074</v>
      </c>
      <c r="K527" s="15">
        <v>45537</v>
      </c>
      <c r="M527" s="2">
        <v>2.855</v>
      </c>
      <c r="O527" s="2">
        <f t="shared" si="53"/>
        <v>2.78</v>
      </c>
      <c r="P527" s="2">
        <f t="shared" si="54"/>
        <v>58.112678288431063</v>
      </c>
      <c r="Q527" s="2">
        <f t="shared" si="55"/>
        <v>0.28299999999999398</v>
      </c>
      <c r="R527" s="2">
        <f t="shared" si="56"/>
        <v>0.29057963549920141</v>
      </c>
      <c r="S527" s="2">
        <f t="shared" si="57"/>
        <v>-7.5796354992074266E-3</v>
      </c>
    </row>
    <row r="528" spans="2:19" x14ac:dyDescent="0.25">
      <c r="B528" s="1">
        <f t="shared" si="58"/>
        <v>522</v>
      </c>
      <c r="C528" s="1">
        <v>875</v>
      </c>
      <c r="D528" s="13">
        <v>56.6</v>
      </c>
      <c r="E528" s="1" t="s">
        <v>11</v>
      </c>
      <c r="F528" s="2">
        <v>3.01</v>
      </c>
      <c r="G528" s="1" t="s">
        <v>12</v>
      </c>
      <c r="H528" s="1" t="s">
        <v>13</v>
      </c>
      <c r="I528" s="1" t="s">
        <v>14</v>
      </c>
      <c r="J528" s="14">
        <v>0.37167824074074074</v>
      </c>
      <c r="K528" s="15">
        <v>45537</v>
      </c>
      <c r="M528" s="2">
        <v>2.86</v>
      </c>
      <c r="O528" s="2">
        <f t="shared" si="53"/>
        <v>2.7849999999999997</v>
      </c>
      <c r="P528" s="2">
        <f t="shared" si="54"/>
        <v>58.119175911251979</v>
      </c>
      <c r="Q528" s="2">
        <f t="shared" si="55"/>
        <v>0.28325000000001915</v>
      </c>
      <c r="R528" s="2">
        <f t="shared" si="56"/>
        <v>0.29061212361333183</v>
      </c>
      <c r="S528" s="2">
        <f t="shared" si="57"/>
        <v>-7.3621236133126766E-3</v>
      </c>
    </row>
    <row r="529" spans="2:19" x14ac:dyDescent="0.25">
      <c r="B529" s="1">
        <f t="shared" si="58"/>
        <v>523</v>
      </c>
      <c r="C529" s="1">
        <v>876</v>
      </c>
      <c r="D529" s="13">
        <v>56.7</v>
      </c>
      <c r="E529" s="1" t="s">
        <v>11</v>
      </c>
      <c r="F529" s="2">
        <v>3.0150000000000001</v>
      </c>
      <c r="G529" s="1" t="s">
        <v>12</v>
      </c>
      <c r="H529" s="1" t="s">
        <v>13</v>
      </c>
      <c r="I529" s="1" t="s">
        <v>14</v>
      </c>
      <c r="J529" s="14">
        <v>0.37167824074074074</v>
      </c>
      <c r="K529" s="15">
        <v>45537</v>
      </c>
      <c r="M529" s="2">
        <v>2.8650000000000002</v>
      </c>
      <c r="O529" s="2">
        <f t="shared" si="53"/>
        <v>2.79</v>
      </c>
      <c r="P529" s="2">
        <f t="shared" si="54"/>
        <v>58.125673534072902</v>
      </c>
      <c r="Q529" s="2">
        <f t="shared" si="55"/>
        <v>0.28349999999999398</v>
      </c>
      <c r="R529" s="2">
        <f t="shared" si="56"/>
        <v>0.29064461172741063</v>
      </c>
      <c r="S529" s="2">
        <f t="shared" si="57"/>
        <v>-7.1446117274166498E-3</v>
      </c>
    </row>
    <row r="530" spans="2:19" x14ac:dyDescent="0.25">
      <c r="B530" s="1">
        <f t="shared" si="58"/>
        <v>524</v>
      </c>
      <c r="C530" s="1">
        <v>877</v>
      </c>
      <c r="D530" s="13">
        <v>56.7</v>
      </c>
      <c r="E530" s="1" t="s">
        <v>11</v>
      </c>
      <c r="F530" s="2">
        <v>3.02</v>
      </c>
      <c r="G530" s="1" t="s">
        <v>12</v>
      </c>
      <c r="H530" s="1" t="s">
        <v>13</v>
      </c>
      <c r="I530" s="1" t="s">
        <v>14</v>
      </c>
      <c r="J530" s="14">
        <v>0.37167824074074074</v>
      </c>
      <c r="K530" s="15">
        <v>45537</v>
      </c>
      <c r="M530" s="2">
        <v>2.87</v>
      </c>
      <c r="O530" s="2">
        <f t="shared" si="53"/>
        <v>2.7949999999999999</v>
      </c>
      <c r="P530" s="2">
        <f t="shared" si="54"/>
        <v>58.132171156893818</v>
      </c>
      <c r="Q530" s="2">
        <f t="shared" si="55"/>
        <v>0.28349999999999398</v>
      </c>
      <c r="R530" s="2">
        <f t="shared" si="56"/>
        <v>0.29067709984151519</v>
      </c>
      <c r="S530" s="2">
        <f t="shared" si="57"/>
        <v>-7.1770998415212062E-3</v>
      </c>
    </row>
    <row r="531" spans="2:19" x14ac:dyDescent="0.25">
      <c r="B531" s="1">
        <f t="shared" si="58"/>
        <v>525</v>
      </c>
      <c r="C531" s="1">
        <v>878</v>
      </c>
      <c r="D531" s="13">
        <v>56.7</v>
      </c>
      <c r="E531" s="1" t="s">
        <v>11</v>
      </c>
      <c r="F531" s="2">
        <v>3.0249999999999999</v>
      </c>
      <c r="G531" s="1" t="s">
        <v>12</v>
      </c>
      <c r="H531" s="1" t="s">
        <v>13</v>
      </c>
      <c r="I531" s="1" t="s">
        <v>14</v>
      </c>
      <c r="J531" s="14">
        <v>0.37167824074074074</v>
      </c>
      <c r="K531" s="15">
        <v>45537</v>
      </c>
      <c r="M531" s="2">
        <v>2.875</v>
      </c>
      <c r="O531" s="2">
        <f t="shared" si="53"/>
        <v>2.8</v>
      </c>
      <c r="P531" s="2">
        <f t="shared" si="54"/>
        <v>58.138668779714742</v>
      </c>
      <c r="Q531" s="2">
        <f t="shared" si="55"/>
        <v>0.28349999999999398</v>
      </c>
      <c r="R531" s="2">
        <f t="shared" si="56"/>
        <v>0.2907095879556198</v>
      </c>
      <c r="S531" s="2">
        <f t="shared" si="57"/>
        <v>-7.209587955625818E-3</v>
      </c>
    </row>
    <row r="532" spans="2:19" x14ac:dyDescent="0.25">
      <c r="B532" s="1">
        <f t="shared" si="58"/>
        <v>526</v>
      </c>
      <c r="C532" s="1">
        <v>879</v>
      </c>
      <c r="D532" s="13">
        <v>56.7</v>
      </c>
      <c r="E532" s="1" t="s">
        <v>11</v>
      </c>
      <c r="F532" s="2">
        <v>3.03</v>
      </c>
      <c r="G532" s="1" t="s">
        <v>12</v>
      </c>
      <c r="H532" s="1" t="s">
        <v>13</v>
      </c>
      <c r="I532" s="1" t="s">
        <v>14</v>
      </c>
      <c r="J532" s="14">
        <v>0.37167824074074074</v>
      </c>
      <c r="K532" s="15">
        <v>45537</v>
      </c>
      <c r="M532" s="2">
        <v>2.88</v>
      </c>
      <c r="O532" s="2">
        <f t="shared" si="53"/>
        <v>2.8049999999999997</v>
      </c>
      <c r="P532" s="2">
        <f t="shared" si="54"/>
        <v>58.145166402535658</v>
      </c>
      <c r="Q532" s="2">
        <f t="shared" si="55"/>
        <v>0.28350000000001913</v>
      </c>
      <c r="R532" s="2">
        <f t="shared" si="56"/>
        <v>0.29074207606975022</v>
      </c>
      <c r="S532" s="2">
        <f t="shared" si="57"/>
        <v>-7.242076069731096E-3</v>
      </c>
    </row>
    <row r="533" spans="2:19" x14ac:dyDescent="0.25">
      <c r="B533" s="1">
        <f t="shared" si="58"/>
        <v>527</v>
      </c>
      <c r="C533" s="1">
        <v>880</v>
      </c>
      <c r="D533" s="13">
        <v>56.7</v>
      </c>
      <c r="E533" s="1" t="s">
        <v>11</v>
      </c>
      <c r="F533" s="2">
        <v>3.0350000000000001</v>
      </c>
      <c r="G533" s="1" t="s">
        <v>12</v>
      </c>
      <c r="H533" s="1" t="s">
        <v>13</v>
      </c>
      <c r="I533" s="1" t="s">
        <v>14</v>
      </c>
      <c r="J533" s="14">
        <v>0.37167824074074074</v>
      </c>
      <c r="K533" s="15">
        <v>45537</v>
      </c>
      <c r="M533" s="2">
        <v>2.8850000000000002</v>
      </c>
      <c r="O533" s="2">
        <f t="shared" si="53"/>
        <v>2.81</v>
      </c>
      <c r="P533" s="2">
        <f t="shared" si="54"/>
        <v>58.151664025356581</v>
      </c>
      <c r="Q533" s="2">
        <f t="shared" si="55"/>
        <v>0.28374999999999395</v>
      </c>
      <c r="R533" s="2">
        <f t="shared" si="56"/>
        <v>0.29077456418382902</v>
      </c>
      <c r="S533" s="2">
        <f t="shared" si="57"/>
        <v>-7.0245641838350692E-3</v>
      </c>
    </row>
    <row r="534" spans="2:19" x14ac:dyDescent="0.25">
      <c r="B534" s="1">
        <f t="shared" si="58"/>
        <v>528</v>
      </c>
      <c r="C534" s="1">
        <v>881</v>
      </c>
      <c r="D534" s="13">
        <v>56.8</v>
      </c>
      <c r="E534" s="1" t="s">
        <v>11</v>
      </c>
      <c r="F534" s="2">
        <v>3.04</v>
      </c>
      <c r="G534" s="1" t="s">
        <v>12</v>
      </c>
      <c r="H534" s="1" t="s">
        <v>13</v>
      </c>
      <c r="I534" s="1" t="s">
        <v>14</v>
      </c>
      <c r="J534" s="14">
        <v>0.37167824074074074</v>
      </c>
      <c r="K534" s="15">
        <v>45537</v>
      </c>
      <c r="M534" s="2">
        <v>2.89</v>
      </c>
      <c r="O534" s="2">
        <f t="shared" si="53"/>
        <v>2.8149999999999999</v>
      </c>
      <c r="P534" s="2">
        <f t="shared" si="54"/>
        <v>58.158161648177497</v>
      </c>
      <c r="Q534" s="2">
        <f t="shared" si="55"/>
        <v>0.28399999999999392</v>
      </c>
      <c r="R534" s="2">
        <f t="shared" si="56"/>
        <v>0.29080705229793358</v>
      </c>
      <c r="S534" s="2">
        <f t="shared" si="57"/>
        <v>-6.8070522979396531E-3</v>
      </c>
    </row>
    <row r="535" spans="2:19" x14ac:dyDescent="0.25">
      <c r="B535" s="1">
        <f t="shared" si="58"/>
        <v>529</v>
      </c>
      <c r="C535" s="1">
        <v>882</v>
      </c>
      <c r="D535" s="13">
        <v>56.8</v>
      </c>
      <c r="E535" s="1" t="s">
        <v>11</v>
      </c>
      <c r="F535" s="2">
        <v>3.0449999999999999</v>
      </c>
      <c r="G535" s="1" t="s">
        <v>12</v>
      </c>
      <c r="H535" s="1" t="s">
        <v>13</v>
      </c>
      <c r="I535" s="1" t="s">
        <v>14</v>
      </c>
      <c r="J535" s="14">
        <v>0.37167824074074074</v>
      </c>
      <c r="K535" s="15">
        <v>45537</v>
      </c>
      <c r="M535" s="2">
        <v>2.895</v>
      </c>
      <c r="O535" s="2">
        <f t="shared" si="53"/>
        <v>2.82</v>
      </c>
      <c r="P535" s="2">
        <f t="shared" si="54"/>
        <v>58.164659270998413</v>
      </c>
      <c r="Q535" s="2">
        <f t="shared" si="55"/>
        <v>0.28399999999999392</v>
      </c>
      <c r="R535" s="2">
        <f t="shared" si="56"/>
        <v>0.29083954041203813</v>
      </c>
      <c r="S535" s="2">
        <f t="shared" si="57"/>
        <v>-6.8395404120442094E-3</v>
      </c>
    </row>
    <row r="536" spans="2:19" x14ac:dyDescent="0.25">
      <c r="B536" s="1">
        <f t="shared" si="58"/>
        <v>530</v>
      </c>
      <c r="C536" s="1">
        <v>883</v>
      </c>
      <c r="D536" s="13">
        <v>56.8</v>
      </c>
      <c r="E536" s="1" t="s">
        <v>11</v>
      </c>
      <c r="F536" s="2">
        <v>3.05</v>
      </c>
      <c r="G536" s="1" t="s">
        <v>12</v>
      </c>
      <c r="H536" s="1" t="s">
        <v>13</v>
      </c>
      <c r="I536" s="1" t="s">
        <v>14</v>
      </c>
      <c r="J536" s="14">
        <v>0.37167824074074074</v>
      </c>
      <c r="K536" s="15">
        <v>45537</v>
      </c>
      <c r="M536" s="2">
        <v>2.9</v>
      </c>
      <c r="O536" s="2">
        <f t="shared" si="53"/>
        <v>2.8249999999999997</v>
      </c>
      <c r="P536" s="2">
        <f t="shared" si="54"/>
        <v>58.171156893819337</v>
      </c>
      <c r="Q536" s="2">
        <f t="shared" si="55"/>
        <v>0.28425000000001915</v>
      </c>
      <c r="R536" s="2">
        <f t="shared" si="56"/>
        <v>0.29087202852616861</v>
      </c>
      <c r="S536" s="2">
        <f t="shared" si="57"/>
        <v>-6.6220285261494594E-3</v>
      </c>
    </row>
    <row r="537" spans="2:19" x14ac:dyDescent="0.25">
      <c r="B537" s="1">
        <f t="shared" si="58"/>
        <v>531</v>
      </c>
      <c r="C537" s="1">
        <v>884</v>
      </c>
      <c r="D537" s="13">
        <v>56.9</v>
      </c>
      <c r="E537" s="1" t="s">
        <v>11</v>
      </c>
      <c r="F537" s="2">
        <v>3.0550000000000002</v>
      </c>
      <c r="G537" s="1" t="s">
        <v>12</v>
      </c>
      <c r="H537" s="1" t="s">
        <v>13</v>
      </c>
      <c r="I537" s="1" t="s">
        <v>14</v>
      </c>
      <c r="J537" s="14">
        <v>0.37168981481481483</v>
      </c>
      <c r="K537" s="15">
        <v>45537</v>
      </c>
      <c r="M537" s="2">
        <v>2.9050000000000002</v>
      </c>
      <c r="O537" s="2">
        <f t="shared" si="53"/>
        <v>2.83</v>
      </c>
      <c r="P537" s="2">
        <f t="shared" si="54"/>
        <v>58.177654516640253</v>
      </c>
      <c r="Q537" s="2">
        <f t="shared" si="55"/>
        <v>0.28449999999999392</v>
      </c>
      <c r="R537" s="2">
        <f t="shared" si="56"/>
        <v>0.29090451664024741</v>
      </c>
      <c r="S537" s="2">
        <f t="shared" si="57"/>
        <v>-6.4045166402534881E-3</v>
      </c>
    </row>
    <row r="538" spans="2:19" x14ac:dyDescent="0.25">
      <c r="B538" s="1">
        <f t="shared" si="58"/>
        <v>532</v>
      </c>
      <c r="C538" s="1">
        <v>885</v>
      </c>
      <c r="D538" s="13">
        <v>56.9</v>
      </c>
      <c r="E538" s="1" t="s">
        <v>11</v>
      </c>
      <c r="F538" s="2">
        <v>3.06</v>
      </c>
      <c r="G538" s="1" t="s">
        <v>12</v>
      </c>
      <c r="H538" s="1" t="s">
        <v>13</v>
      </c>
      <c r="I538" s="1" t="s">
        <v>14</v>
      </c>
      <c r="J538" s="14">
        <v>0.37168981481481483</v>
      </c>
      <c r="K538" s="15">
        <v>45537</v>
      </c>
      <c r="M538" s="2">
        <v>2.91</v>
      </c>
      <c r="O538" s="2">
        <f t="shared" si="53"/>
        <v>2.835</v>
      </c>
      <c r="P538" s="2">
        <f t="shared" si="54"/>
        <v>58.184152139461176</v>
      </c>
      <c r="Q538" s="2">
        <f t="shared" si="55"/>
        <v>0.28449999999999392</v>
      </c>
      <c r="R538" s="2">
        <f t="shared" si="56"/>
        <v>0.29093700475435197</v>
      </c>
      <c r="S538" s="2">
        <f t="shared" si="57"/>
        <v>-6.4370047543580444E-3</v>
      </c>
    </row>
    <row r="539" spans="2:19" x14ac:dyDescent="0.25">
      <c r="B539" s="1">
        <f t="shared" si="58"/>
        <v>533</v>
      </c>
      <c r="C539" s="1">
        <v>886</v>
      </c>
      <c r="D539" s="13">
        <v>56.9</v>
      </c>
      <c r="E539" s="1" t="s">
        <v>11</v>
      </c>
      <c r="F539" s="2">
        <v>3.0649999999999999</v>
      </c>
      <c r="G539" s="1" t="s">
        <v>12</v>
      </c>
      <c r="H539" s="1" t="s">
        <v>13</v>
      </c>
      <c r="I539" s="1" t="s">
        <v>14</v>
      </c>
      <c r="J539" s="14">
        <v>0.37168981481481483</v>
      </c>
      <c r="K539" s="15">
        <v>45537</v>
      </c>
      <c r="M539" s="2">
        <v>2.915</v>
      </c>
      <c r="O539" s="2">
        <f t="shared" si="53"/>
        <v>2.84</v>
      </c>
      <c r="P539" s="2">
        <f t="shared" si="54"/>
        <v>58.190649762282092</v>
      </c>
      <c r="Q539" s="2">
        <f t="shared" si="55"/>
        <v>0.28474999999999395</v>
      </c>
      <c r="R539" s="2">
        <f t="shared" si="56"/>
        <v>0.29096949286845653</v>
      </c>
      <c r="S539" s="2">
        <f t="shared" si="57"/>
        <v>-6.2194928684625728E-3</v>
      </c>
    </row>
    <row r="540" spans="2:19" x14ac:dyDescent="0.25">
      <c r="B540" s="1">
        <f t="shared" si="58"/>
        <v>534</v>
      </c>
      <c r="C540" s="1">
        <v>887</v>
      </c>
      <c r="D540" s="13">
        <v>57</v>
      </c>
      <c r="E540" s="1" t="s">
        <v>11</v>
      </c>
      <c r="F540" s="2">
        <v>3.07</v>
      </c>
      <c r="G540" s="1" t="s">
        <v>12</v>
      </c>
      <c r="H540" s="1" t="s">
        <v>13</v>
      </c>
      <c r="I540" s="1" t="s">
        <v>14</v>
      </c>
      <c r="J540" s="14">
        <v>0.37168981481481483</v>
      </c>
      <c r="K540" s="15">
        <v>45537</v>
      </c>
      <c r="M540" s="2">
        <v>2.92</v>
      </c>
      <c r="O540" s="2">
        <f t="shared" si="53"/>
        <v>2.8449999999999998</v>
      </c>
      <c r="P540" s="2">
        <f t="shared" si="54"/>
        <v>58.197147385103015</v>
      </c>
      <c r="Q540" s="2">
        <f t="shared" si="55"/>
        <v>0.28500000000001924</v>
      </c>
      <c r="R540" s="2">
        <f t="shared" si="56"/>
        <v>0.29100198098258701</v>
      </c>
      <c r="S540" s="2">
        <f t="shared" si="57"/>
        <v>-6.0019809825677672E-3</v>
      </c>
    </row>
    <row r="541" spans="2:19" x14ac:dyDescent="0.25">
      <c r="B541" s="1">
        <f t="shared" si="58"/>
        <v>535</v>
      </c>
      <c r="C541" s="1">
        <v>888</v>
      </c>
      <c r="D541" s="13">
        <v>57</v>
      </c>
      <c r="E541" s="1" t="s">
        <v>11</v>
      </c>
      <c r="F541" s="2">
        <v>3.0750000000000002</v>
      </c>
      <c r="G541" s="1" t="s">
        <v>12</v>
      </c>
      <c r="H541" s="1" t="s">
        <v>13</v>
      </c>
      <c r="I541" s="1" t="s">
        <v>14</v>
      </c>
      <c r="J541" s="14">
        <v>0.37168981481481483</v>
      </c>
      <c r="K541" s="15">
        <v>45537</v>
      </c>
      <c r="M541" s="2">
        <v>2.9250000000000003</v>
      </c>
      <c r="O541" s="2">
        <f t="shared" si="53"/>
        <v>2.85</v>
      </c>
      <c r="P541" s="2">
        <f t="shared" si="54"/>
        <v>58.203645007923932</v>
      </c>
      <c r="Q541" s="2">
        <f t="shared" si="55"/>
        <v>0.28499999999999392</v>
      </c>
      <c r="R541" s="2">
        <f t="shared" si="56"/>
        <v>0.2910344690966658</v>
      </c>
      <c r="S541" s="2">
        <f t="shared" si="57"/>
        <v>-6.0344690966718795E-3</v>
      </c>
    </row>
    <row r="542" spans="2:19" x14ac:dyDescent="0.25">
      <c r="B542" s="1">
        <f t="shared" si="58"/>
        <v>536</v>
      </c>
      <c r="C542" s="1">
        <v>889</v>
      </c>
      <c r="D542" s="13">
        <v>57</v>
      </c>
      <c r="E542" s="1" t="s">
        <v>11</v>
      </c>
      <c r="F542" s="2">
        <v>3.08</v>
      </c>
      <c r="G542" s="1" t="s">
        <v>12</v>
      </c>
      <c r="H542" s="1" t="s">
        <v>13</v>
      </c>
      <c r="I542" s="1" t="s">
        <v>14</v>
      </c>
      <c r="J542" s="14">
        <v>0.37168981481481483</v>
      </c>
      <c r="K542" s="15">
        <v>45537</v>
      </c>
      <c r="M542" s="2">
        <v>2.93</v>
      </c>
      <c r="O542" s="2">
        <f t="shared" si="53"/>
        <v>2.855</v>
      </c>
      <c r="P542" s="2">
        <f t="shared" si="54"/>
        <v>58.210142630744855</v>
      </c>
      <c r="Q542" s="2">
        <f t="shared" si="55"/>
        <v>0.2852499999999939</v>
      </c>
      <c r="R542" s="2">
        <f t="shared" si="56"/>
        <v>0.29106695721077036</v>
      </c>
      <c r="S542" s="2">
        <f t="shared" si="57"/>
        <v>-5.8169572107764633E-3</v>
      </c>
    </row>
    <row r="543" spans="2:19" x14ac:dyDescent="0.25">
      <c r="B543" s="1">
        <f t="shared" si="58"/>
        <v>537</v>
      </c>
      <c r="C543" s="1">
        <v>891</v>
      </c>
      <c r="D543" s="13">
        <v>57.1</v>
      </c>
      <c r="E543" s="1" t="s">
        <v>11</v>
      </c>
      <c r="F543" s="2">
        <v>3.085</v>
      </c>
      <c r="G543" s="1" t="s">
        <v>12</v>
      </c>
      <c r="H543" s="1" t="s">
        <v>13</v>
      </c>
      <c r="I543" s="1" t="s">
        <v>14</v>
      </c>
      <c r="J543" s="14">
        <v>0.37168981481481483</v>
      </c>
      <c r="K543" s="15">
        <v>45537</v>
      </c>
      <c r="M543" s="2">
        <v>2.9350000000000001</v>
      </c>
      <c r="O543" s="2">
        <f t="shared" si="53"/>
        <v>2.86</v>
      </c>
      <c r="P543" s="2">
        <f t="shared" si="54"/>
        <v>58.216640253565771</v>
      </c>
      <c r="Q543" s="2">
        <f t="shared" si="55"/>
        <v>0.28549999999999393</v>
      </c>
      <c r="R543" s="2">
        <f t="shared" si="56"/>
        <v>0.29109944532487492</v>
      </c>
      <c r="S543" s="2">
        <f t="shared" si="57"/>
        <v>-5.5994453248809917E-3</v>
      </c>
    </row>
    <row r="544" spans="2:19" x14ac:dyDescent="0.25">
      <c r="B544" s="1">
        <f t="shared" si="58"/>
        <v>538</v>
      </c>
      <c r="C544" s="1">
        <v>892</v>
      </c>
      <c r="D544" s="13">
        <v>57.1</v>
      </c>
      <c r="E544" s="1" t="s">
        <v>11</v>
      </c>
      <c r="F544" s="2">
        <v>3.09</v>
      </c>
      <c r="G544" s="1" t="s">
        <v>12</v>
      </c>
      <c r="H544" s="1" t="s">
        <v>13</v>
      </c>
      <c r="I544" s="1" t="s">
        <v>14</v>
      </c>
      <c r="J544" s="14">
        <v>0.37168981481481483</v>
      </c>
      <c r="K544" s="15">
        <v>45537</v>
      </c>
      <c r="M544" s="2">
        <v>2.94</v>
      </c>
      <c r="O544" s="2">
        <f t="shared" si="53"/>
        <v>2.8649999999999998</v>
      </c>
      <c r="P544" s="2">
        <f t="shared" si="54"/>
        <v>58.223137876386687</v>
      </c>
      <c r="Q544" s="2">
        <f t="shared" si="55"/>
        <v>0.28550000000001929</v>
      </c>
      <c r="R544" s="2">
        <f t="shared" si="56"/>
        <v>0.2911319334390054</v>
      </c>
      <c r="S544" s="2">
        <f t="shared" si="57"/>
        <v>-5.6319334389861031E-3</v>
      </c>
    </row>
    <row r="545" spans="2:19" x14ac:dyDescent="0.25">
      <c r="B545" s="1">
        <f t="shared" si="58"/>
        <v>539</v>
      </c>
      <c r="C545" s="1">
        <v>893</v>
      </c>
      <c r="D545" s="13">
        <v>57.1</v>
      </c>
      <c r="E545" s="1" t="s">
        <v>11</v>
      </c>
      <c r="F545" s="2">
        <v>3.0950000000000002</v>
      </c>
      <c r="G545" s="1" t="s">
        <v>12</v>
      </c>
      <c r="H545" s="1" t="s">
        <v>13</v>
      </c>
      <c r="I545" s="1" t="s">
        <v>14</v>
      </c>
      <c r="J545" s="14">
        <v>0.37168981481481483</v>
      </c>
      <c r="K545" s="15">
        <v>45537</v>
      </c>
      <c r="M545" s="2">
        <v>2.9450000000000003</v>
      </c>
      <c r="O545" s="2">
        <f t="shared" si="53"/>
        <v>2.87</v>
      </c>
      <c r="P545" s="2">
        <f t="shared" si="54"/>
        <v>58.22963549920761</v>
      </c>
      <c r="Q545" s="2">
        <f t="shared" si="55"/>
        <v>0.28549999999999393</v>
      </c>
      <c r="R545" s="2">
        <f t="shared" si="56"/>
        <v>0.29116442155308414</v>
      </c>
      <c r="S545" s="2">
        <f t="shared" si="57"/>
        <v>-5.6644215530902153E-3</v>
      </c>
    </row>
    <row r="546" spans="2:19" x14ac:dyDescent="0.25">
      <c r="B546" s="1">
        <f t="shared" si="58"/>
        <v>540</v>
      </c>
      <c r="C546" s="1">
        <v>894</v>
      </c>
      <c r="D546" s="13">
        <v>57.1</v>
      </c>
      <c r="E546" s="1" t="s">
        <v>11</v>
      </c>
      <c r="F546" s="2">
        <v>3.1</v>
      </c>
      <c r="G546" s="1" t="s">
        <v>12</v>
      </c>
      <c r="H546" s="1" t="s">
        <v>13</v>
      </c>
      <c r="I546" s="1" t="s">
        <v>14</v>
      </c>
      <c r="J546" s="14">
        <v>0.37170138888888887</v>
      </c>
      <c r="K546" s="15">
        <v>45537</v>
      </c>
      <c r="M546" s="2">
        <v>2.95</v>
      </c>
      <c r="O546" s="2">
        <f t="shared" si="53"/>
        <v>2.875</v>
      </c>
      <c r="P546" s="2">
        <f t="shared" si="54"/>
        <v>58.236133122028527</v>
      </c>
      <c r="Q546" s="2">
        <f t="shared" si="55"/>
        <v>0.28549999999999393</v>
      </c>
      <c r="R546" s="2">
        <f t="shared" si="56"/>
        <v>0.29119690966718875</v>
      </c>
      <c r="S546" s="2">
        <f t="shared" si="57"/>
        <v>-5.6969096671948272E-3</v>
      </c>
    </row>
    <row r="547" spans="2:19" x14ac:dyDescent="0.25">
      <c r="B547" s="1">
        <f t="shared" si="58"/>
        <v>541</v>
      </c>
      <c r="C547" s="1">
        <v>895</v>
      </c>
      <c r="D547" s="13">
        <v>57.1</v>
      </c>
      <c r="E547" s="1" t="s">
        <v>11</v>
      </c>
      <c r="F547" s="2">
        <v>3.105</v>
      </c>
      <c r="G547" s="1" t="s">
        <v>12</v>
      </c>
      <c r="H547" s="1" t="s">
        <v>13</v>
      </c>
      <c r="I547" s="1" t="s">
        <v>14</v>
      </c>
      <c r="J547" s="14">
        <v>0.37170138888888887</v>
      </c>
      <c r="K547" s="15">
        <v>45537</v>
      </c>
      <c r="M547" s="2">
        <v>2.9550000000000001</v>
      </c>
      <c r="O547" s="2">
        <f t="shared" si="53"/>
        <v>2.88</v>
      </c>
      <c r="P547" s="2">
        <f t="shared" si="54"/>
        <v>58.24263074484945</v>
      </c>
      <c r="Q547" s="2">
        <f t="shared" si="55"/>
        <v>0.57150000000001322</v>
      </c>
      <c r="R547" s="2">
        <f t="shared" si="56"/>
        <v>0.5824912836767171</v>
      </c>
      <c r="S547" s="2">
        <f t="shared" si="57"/>
        <v>-1.0991283676703878E-2</v>
      </c>
    </row>
    <row r="548" spans="2:19" x14ac:dyDescent="0.25">
      <c r="B548" s="1">
        <f t="shared" si="58"/>
        <v>542</v>
      </c>
      <c r="C548" s="1">
        <v>896</v>
      </c>
      <c r="D548" s="13">
        <v>57.2</v>
      </c>
      <c r="E548" s="1" t="s">
        <v>11</v>
      </c>
      <c r="F548" s="2">
        <v>3.1150000000000002</v>
      </c>
      <c r="G548" s="1" t="s">
        <v>12</v>
      </c>
      <c r="H548" s="1" t="s">
        <v>13</v>
      </c>
      <c r="I548" s="1" t="s">
        <v>14</v>
      </c>
      <c r="J548" s="14">
        <v>0.37170138888888887</v>
      </c>
      <c r="K548" s="15">
        <v>45537</v>
      </c>
      <c r="M548" s="2">
        <v>2.9650000000000003</v>
      </c>
      <c r="O548" s="2">
        <f t="shared" si="53"/>
        <v>2.89</v>
      </c>
      <c r="P548" s="2">
        <f t="shared" si="54"/>
        <v>58.255625990491282</v>
      </c>
      <c r="Q548" s="2">
        <f t="shared" si="55"/>
        <v>0.28599999999999393</v>
      </c>
      <c r="R548" s="2">
        <f t="shared" si="56"/>
        <v>0.29129437400950248</v>
      </c>
      <c r="S548" s="2">
        <f t="shared" si="57"/>
        <v>-5.2943740095085512E-3</v>
      </c>
    </row>
    <row r="549" spans="2:19" x14ac:dyDescent="0.25">
      <c r="B549" s="1">
        <f t="shared" si="58"/>
        <v>543</v>
      </c>
      <c r="C549" s="1">
        <v>897</v>
      </c>
      <c r="D549" s="13">
        <v>57.2</v>
      </c>
      <c r="E549" s="1" t="s">
        <v>11</v>
      </c>
      <c r="F549" s="2">
        <v>3.12</v>
      </c>
      <c r="G549" s="1" t="s">
        <v>12</v>
      </c>
      <c r="H549" s="1" t="s">
        <v>13</v>
      </c>
      <c r="I549" s="1" t="s">
        <v>14</v>
      </c>
      <c r="J549" s="14">
        <v>0.37170138888888887</v>
      </c>
      <c r="K549" s="15">
        <v>45537</v>
      </c>
      <c r="M549" s="2">
        <v>2.97</v>
      </c>
      <c r="O549" s="2">
        <f t="shared" si="53"/>
        <v>2.895</v>
      </c>
      <c r="P549" s="2">
        <f t="shared" si="54"/>
        <v>58.262123613312205</v>
      </c>
      <c r="Q549" s="2">
        <f t="shared" si="55"/>
        <v>0.2862499999999939</v>
      </c>
      <c r="R549" s="2">
        <f t="shared" si="56"/>
        <v>0.29132686212360709</v>
      </c>
      <c r="S549" s="2">
        <f t="shared" si="57"/>
        <v>-5.0768621236131906E-3</v>
      </c>
    </row>
    <row r="550" spans="2:19" x14ac:dyDescent="0.25">
      <c r="B550" s="1">
        <f t="shared" si="58"/>
        <v>544</v>
      </c>
      <c r="C550" s="1">
        <v>898</v>
      </c>
      <c r="D550" s="13">
        <v>57.3</v>
      </c>
      <c r="E550" s="1" t="s">
        <v>11</v>
      </c>
      <c r="F550" s="2">
        <v>3.125</v>
      </c>
      <c r="G550" s="1" t="s">
        <v>12</v>
      </c>
      <c r="H550" s="1" t="s">
        <v>13</v>
      </c>
      <c r="I550" s="1" t="s">
        <v>14</v>
      </c>
      <c r="J550" s="14">
        <v>0.37170138888888887</v>
      </c>
      <c r="K550" s="15">
        <v>45537</v>
      </c>
      <c r="M550" s="2">
        <v>2.9750000000000001</v>
      </c>
      <c r="O550" s="2">
        <f t="shared" si="53"/>
        <v>2.9</v>
      </c>
      <c r="P550" s="2">
        <f t="shared" si="54"/>
        <v>58.268621236133121</v>
      </c>
      <c r="Q550" s="2">
        <f t="shared" si="55"/>
        <v>0.28649999999999387</v>
      </c>
      <c r="R550" s="2">
        <f t="shared" si="56"/>
        <v>0.2913593502377117</v>
      </c>
      <c r="S550" s="2">
        <f t="shared" si="57"/>
        <v>-4.8593502377178299E-3</v>
      </c>
    </row>
    <row r="551" spans="2:19" x14ac:dyDescent="0.25">
      <c r="B551" s="1">
        <f t="shared" si="58"/>
        <v>545</v>
      </c>
      <c r="C551" s="1">
        <v>899</v>
      </c>
      <c r="D551" s="13">
        <v>57.3</v>
      </c>
      <c r="E551" s="1" t="s">
        <v>11</v>
      </c>
      <c r="F551" s="2">
        <v>3.13</v>
      </c>
      <c r="G551" s="1" t="s">
        <v>12</v>
      </c>
      <c r="H551" s="1" t="s">
        <v>13</v>
      </c>
      <c r="I551" s="1" t="s">
        <v>14</v>
      </c>
      <c r="J551" s="14">
        <v>0.37170138888888887</v>
      </c>
      <c r="K551" s="15">
        <v>45537</v>
      </c>
      <c r="M551" s="2">
        <v>2.98</v>
      </c>
      <c r="O551" s="2">
        <f t="shared" si="53"/>
        <v>2.9049999999999998</v>
      </c>
      <c r="P551" s="2">
        <f t="shared" si="54"/>
        <v>58.275118858954045</v>
      </c>
      <c r="Q551" s="2">
        <f t="shared" si="55"/>
        <v>0.28649999999999387</v>
      </c>
      <c r="R551" s="2">
        <f t="shared" si="56"/>
        <v>0.29139183835181631</v>
      </c>
      <c r="S551" s="2">
        <f t="shared" si="57"/>
        <v>-4.8918383518224418E-3</v>
      </c>
    </row>
    <row r="552" spans="2:19" x14ac:dyDescent="0.25">
      <c r="B552" s="1">
        <f t="shared" si="58"/>
        <v>546</v>
      </c>
      <c r="C552" s="1">
        <v>900</v>
      </c>
      <c r="D552" s="13">
        <v>57.3</v>
      </c>
      <c r="E552" s="1" t="s">
        <v>11</v>
      </c>
      <c r="F552" s="2">
        <v>3.1349999999999998</v>
      </c>
      <c r="G552" s="1" t="s">
        <v>12</v>
      </c>
      <c r="H552" s="1" t="s">
        <v>13</v>
      </c>
      <c r="I552" s="1" t="s">
        <v>14</v>
      </c>
      <c r="J552" s="14">
        <v>0.37170138888888887</v>
      </c>
      <c r="K552" s="15">
        <v>45537</v>
      </c>
      <c r="M552" s="2">
        <v>2.9849999999999999</v>
      </c>
      <c r="O552" s="2">
        <f t="shared" si="53"/>
        <v>2.9099999999999997</v>
      </c>
      <c r="P552" s="2">
        <f t="shared" si="54"/>
        <v>58.281616481774961</v>
      </c>
      <c r="Q552" s="2">
        <f t="shared" si="55"/>
        <v>0.28650000000001935</v>
      </c>
      <c r="R552" s="2">
        <f t="shared" si="56"/>
        <v>0.29142432646594679</v>
      </c>
      <c r="S552" s="2">
        <f t="shared" si="57"/>
        <v>-4.9243264659274422E-3</v>
      </c>
    </row>
    <row r="553" spans="2:19" x14ac:dyDescent="0.25">
      <c r="B553" s="1">
        <f t="shared" si="58"/>
        <v>547</v>
      </c>
      <c r="C553" s="1">
        <v>901</v>
      </c>
      <c r="D553" s="13">
        <v>57.3</v>
      </c>
      <c r="E553" s="1" t="s">
        <v>11</v>
      </c>
      <c r="F553" s="2">
        <v>3.14</v>
      </c>
      <c r="G553" s="1" t="s">
        <v>12</v>
      </c>
      <c r="H553" s="1" t="s">
        <v>13</v>
      </c>
      <c r="I553" s="1" t="s">
        <v>14</v>
      </c>
      <c r="J553" s="14">
        <v>0.37170138888888887</v>
      </c>
      <c r="K553" s="15">
        <v>45537</v>
      </c>
      <c r="M553" s="2">
        <v>2.99</v>
      </c>
      <c r="O553" s="2">
        <f t="shared" si="53"/>
        <v>2.915</v>
      </c>
      <c r="P553" s="2">
        <f t="shared" si="54"/>
        <v>58.288114104595884</v>
      </c>
      <c r="Q553" s="2">
        <f t="shared" si="55"/>
        <v>0.28674999999999384</v>
      </c>
      <c r="R553" s="2">
        <f t="shared" si="56"/>
        <v>0.29145681458002548</v>
      </c>
      <c r="S553" s="2">
        <f t="shared" si="57"/>
        <v>-4.7068145800316374E-3</v>
      </c>
    </row>
    <row r="554" spans="2:19" x14ac:dyDescent="0.25">
      <c r="B554" s="1">
        <f t="shared" si="58"/>
        <v>548</v>
      </c>
      <c r="C554" s="1">
        <v>903</v>
      </c>
      <c r="D554" s="13">
        <v>57.4</v>
      </c>
      <c r="E554" s="1" t="s">
        <v>11</v>
      </c>
      <c r="F554" s="2">
        <v>3.145</v>
      </c>
      <c r="G554" s="1" t="s">
        <v>12</v>
      </c>
      <c r="H554" s="1" t="s">
        <v>13</v>
      </c>
      <c r="I554" s="1" t="s">
        <v>14</v>
      </c>
      <c r="J554" s="14">
        <v>0.37170138888888887</v>
      </c>
      <c r="K554" s="15">
        <v>45537</v>
      </c>
      <c r="M554" s="2">
        <v>2.9950000000000001</v>
      </c>
      <c r="O554" s="2">
        <f t="shared" si="53"/>
        <v>2.92</v>
      </c>
      <c r="P554" s="2">
        <f t="shared" si="54"/>
        <v>58.2946117274168</v>
      </c>
      <c r="Q554" s="2">
        <f t="shared" si="55"/>
        <v>0.28699999999999387</v>
      </c>
      <c r="R554" s="2">
        <f t="shared" si="56"/>
        <v>0.29148930269413009</v>
      </c>
      <c r="S554" s="2">
        <f t="shared" si="57"/>
        <v>-4.4893026941362213E-3</v>
      </c>
    </row>
    <row r="555" spans="2:19" x14ac:dyDescent="0.25">
      <c r="B555" s="1">
        <f t="shared" si="58"/>
        <v>549</v>
      </c>
      <c r="C555" s="1">
        <v>905</v>
      </c>
      <c r="D555" s="13">
        <v>57.4</v>
      </c>
      <c r="E555" s="1" t="s">
        <v>11</v>
      </c>
      <c r="F555" s="2">
        <v>3.15</v>
      </c>
      <c r="G555" s="1" t="s">
        <v>12</v>
      </c>
      <c r="H555" s="1" t="s">
        <v>13</v>
      </c>
      <c r="I555" s="1" t="s">
        <v>14</v>
      </c>
      <c r="J555" s="14">
        <v>0.37171296296296297</v>
      </c>
      <c r="K555" s="15">
        <v>45537</v>
      </c>
      <c r="M555" s="2">
        <v>3</v>
      </c>
      <c r="O555" s="2">
        <f t="shared" si="53"/>
        <v>2.9249999999999998</v>
      </c>
      <c r="P555" s="2">
        <f t="shared" si="54"/>
        <v>58.301109350237716</v>
      </c>
      <c r="Q555" s="2">
        <f t="shared" si="55"/>
        <v>0.2872499999999939</v>
      </c>
      <c r="R555" s="2">
        <f t="shared" si="56"/>
        <v>0.2915217908082347</v>
      </c>
      <c r="S555" s="2">
        <f t="shared" si="57"/>
        <v>-4.2717908082408051E-3</v>
      </c>
    </row>
    <row r="556" spans="2:19" x14ac:dyDescent="0.25">
      <c r="B556" s="1">
        <f t="shared" si="58"/>
        <v>550</v>
      </c>
      <c r="C556" s="1">
        <v>908</v>
      </c>
      <c r="D556" s="13">
        <v>57.5</v>
      </c>
      <c r="E556" s="1" t="s">
        <v>11</v>
      </c>
      <c r="F556" s="2">
        <v>3.1549999999999998</v>
      </c>
      <c r="G556" s="1" t="s">
        <v>12</v>
      </c>
      <c r="H556" s="1" t="s">
        <v>13</v>
      </c>
      <c r="I556" s="1" t="s">
        <v>14</v>
      </c>
      <c r="J556" s="14">
        <v>0.37171296296296297</v>
      </c>
      <c r="K556" s="15">
        <v>45537</v>
      </c>
      <c r="M556" s="2">
        <v>3.0049999999999999</v>
      </c>
      <c r="O556" s="2">
        <f t="shared" si="53"/>
        <v>2.9299999999999997</v>
      </c>
      <c r="P556" s="2">
        <f t="shared" si="54"/>
        <v>58.30760697305864</v>
      </c>
      <c r="Q556" s="2">
        <f t="shared" si="55"/>
        <v>0.28750000000001941</v>
      </c>
      <c r="R556" s="2">
        <f t="shared" si="56"/>
        <v>0.29155427892236518</v>
      </c>
      <c r="S556" s="2">
        <f t="shared" si="57"/>
        <v>-4.0542789223457776E-3</v>
      </c>
    </row>
    <row r="557" spans="2:19" x14ac:dyDescent="0.25">
      <c r="B557" s="1">
        <f t="shared" si="58"/>
        <v>551</v>
      </c>
      <c r="C557" s="1">
        <v>911</v>
      </c>
      <c r="D557" s="13">
        <v>57.5</v>
      </c>
      <c r="E557" s="1" t="s">
        <v>11</v>
      </c>
      <c r="F557" s="2">
        <v>3.16</v>
      </c>
      <c r="G557" s="1" t="s">
        <v>12</v>
      </c>
      <c r="H557" s="1" t="s">
        <v>13</v>
      </c>
      <c r="I557" s="1" t="s">
        <v>14</v>
      </c>
      <c r="J557" s="14">
        <v>0.37171296296296297</v>
      </c>
      <c r="K557" s="15">
        <v>45537</v>
      </c>
      <c r="M557" s="2">
        <v>3.0100000000000002</v>
      </c>
      <c r="O557" s="2">
        <f t="shared" si="53"/>
        <v>2.9350000000000001</v>
      </c>
      <c r="P557" s="2">
        <f t="shared" si="54"/>
        <v>58.314104595879556</v>
      </c>
      <c r="Q557" s="2">
        <f t="shared" si="55"/>
        <v>0.28749999999999387</v>
      </c>
      <c r="R557" s="2">
        <f t="shared" si="56"/>
        <v>0.29158676703644387</v>
      </c>
      <c r="S557" s="2">
        <f t="shared" si="57"/>
        <v>-4.0867670364500008E-3</v>
      </c>
    </row>
    <row r="558" spans="2:19" x14ac:dyDescent="0.25">
      <c r="B558" s="1">
        <f t="shared" si="58"/>
        <v>552</v>
      </c>
      <c r="C558" s="1">
        <v>913</v>
      </c>
      <c r="D558" s="13">
        <v>57.5</v>
      </c>
      <c r="E558" s="1" t="s">
        <v>11</v>
      </c>
      <c r="F558" s="2">
        <v>3.165</v>
      </c>
      <c r="G558" s="1" t="s">
        <v>12</v>
      </c>
      <c r="H558" s="1" t="s">
        <v>13</v>
      </c>
      <c r="I558" s="1" t="s">
        <v>14</v>
      </c>
      <c r="J558" s="14">
        <v>0.37171296296296297</v>
      </c>
      <c r="K558" s="15">
        <v>45537</v>
      </c>
      <c r="M558" s="2">
        <v>3.0150000000000001</v>
      </c>
      <c r="O558" s="2">
        <f t="shared" si="53"/>
        <v>2.94</v>
      </c>
      <c r="P558" s="2">
        <f t="shared" si="54"/>
        <v>58.320602218700479</v>
      </c>
      <c r="Q558" s="2">
        <f t="shared" si="55"/>
        <v>0.28749999999999387</v>
      </c>
      <c r="R558" s="2">
        <f t="shared" si="56"/>
        <v>0.29161925515054848</v>
      </c>
      <c r="S558" s="2">
        <f t="shared" si="57"/>
        <v>-4.1192551505546127E-3</v>
      </c>
    </row>
    <row r="559" spans="2:19" x14ac:dyDescent="0.25">
      <c r="B559" s="1">
        <f t="shared" si="58"/>
        <v>553</v>
      </c>
      <c r="C559" s="1">
        <v>916</v>
      </c>
      <c r="D559" s="13">
        <v>57.5</v>
      </c>
      <c r="E559" s="1" t="s">
        <v>11</v>
      </c>
      <c r="F559" s="2">
        <v>3.17</v>
      </c>
      <c r="G559" s="1" t="s">
        <v>12</v>
      </c>
      <c r="H559" s="1" t="s">
        <v>13</v>
      </c>
      <c r="I559" s="1" t="s">
        <v>14</v>
      </c>
      <c r="J559" s="14">
        <v>0.37172453703703706</v>
      </c>
      <c r="K559" s="15">
        <v>45537</v>
      </c>
      <c r="M559" s="2">
        <v>3.02</v>
      </c>
      <c r="O559" s="2">
        <f t="shared" si="53"/>
        <v>2.9449999999999998</v>
      </c>
      <c r="P559" s="2">
        <f t="shared" si="54"/>
        <v>58.327099841521395</v>
      </c>
      <c r="Q559" s="2">
        <f t="shared" si="55"/>
        <v>0.28749999999999387</v>
      </c>
      <c r="R559" s="2">
        <f t="shared" si="56"/>
        <v>0.2916517432646531</v>
      </c>
      <c r="S559" s="2">
        <f t="shared" si="57"/>
        <v>-4.1517432646592245E-3</v>
      </c>
    </row>
    <row r="560" spans="2:19" x14ac:dyDescent="0.25">
      <c r="B560" s="1">
        <f t="shared" si="58"/>
        <v>554</v>
      </c>
      <c r="C560" s="1">
        <v>921</v>
      </c>
      <c r="D560" s="13">
        <v>57.5</v>
      </c>
      <c r="E560" s="1" t="s">
        <v>11</v>
      </c>
      <c r="F560" s="2">
        <v>3.1749999999999998</v>
      </c>
      <c r="G560" s="1" t="s">
        <v>12</v>
      </c>
      <c r="H560" s="1" t="s">
        <v>13</v>
      </c>
      <c r="I560" s="1" t="s">
        <v>14</v>
      </c>
      <c r="J560" s="14">
        <v>0.37172453703703706</v>
      </c>
      <c r="K560" s="15">
        <v>45537</v>
      </c>
      <c r="M560" s="2">
        <v>3.0249999999999999</v>
      </c>
      <c r="O560" s="2">
        <f t="shared" si="53"/>
        <v>2.9499999999999997</v>
      </c>
      <c r="P560" s="2">
        <f t="shared" si="54"/>
        <v>58.333597464342319</v>
      </c>
      <c r="Q560" s="2">
        <f t="shared" si="55"/>
        <v>0.28775000000001943</v>
      </c>
      <c r="R560" s="2">
        <f t="shared" si="56"/>
        <v>0.29168423137878358</v>
      </c>
      <c r="S560" s="2">
        <f t="shared" si="57"/>
        <v>-3.9342313787641414E-3</v>
      </c>
    </row>
    <row r="561" spans="2:19" x14ac:dyDescent="0.25">
      <c r="B561" s="1">
        <f t="shared" si="58"/>
        <v>555</v>
      </c>
      <c r="C561" s="1">
        <v>925</v>
      </c>
      <c r="D561" s="13">
        <v>57.6</v>
      </c>
      <c r="E561" s="1" t="s">
        <v>11</v>
      </c>
      <c r="F561" s="2">
        <v>3.18</v>
      </c>
      <c r="G561" s="1" t="s">
        <v>12</v>
      </c>
      <c r="H561" s="1" t="s">
        <v>13</v>
      </c>
      <c r="I561" s="1" t="s">
        <v>14</v>
      </c>
      <c r="J561" s="14">
        <v>0.3717361111111111</v>
      </c>
      <c r="K561" s="15">
        <v>45537</v>
      </c>
      <c r="M561" s="2">
        <v>3.0300000000000002</v>
      </c>
      <c r="O561" s="2">
        <f t="shared" si="53"/>
        <v>2.9550000000000001</v>
      </c>
      <c r="P561" s="2">
        <f t="shared" si="54"/>
        <v>58.340095087163235</v>
      </c>
      <c r="Q561" s="2">
        <f t="shared" si="55"/>
        <v>0.28799999999999387</v>
      </c>
      <c r="R561" s="2">
        <f t="shared" si="56"/>
        <v>0.29171671949286226</v>
      </c>
      <c r="S561" s="2">
        <f t="shared" si="57"/>
        <v>-3.7167194928683922E-3</v>
      </c>
    </row>
    <row r="562" spans="2:19" x14ac:dyDescent="0.25">
      <c r="B562" s="1">
        <f t="shared" si="58"/>
        <v>556</v>
      </c>
      <c r="C562" s="1">
        <v>927</v>
      </c>
      <c r="D562" s="13">
        <v>57.6</v>
      </c>
      <c r="E562" s="1" t="s">
        <v>11</v>
      </c>
      <c r="F562" s="2">
        <v>3.1850000000000001</v>
      </c>
      <c r="G562" s="1" t="s">
        <v>12</v>
      </c>
      <c r="H562" s="1" t="s">
        <v>13</v>
      </c>
      <c r="I562" s="1" t="s">
        <v>14</v>
      </c>
      <c r="J562" s="14">
        <v>0.3717361111111111</v>
      </c>
      <c r="K562" s="15">
        <v>45537</v>
      </c>
      <c r="M562" s="2">
        <v>3.0350000000000001</v>
      </c>
      <c r="O562" s="2">
        <f t="shared" si="53"/>
        <v>2.96</v>
      </c>
      <c r="P562" s="2">
        <f t="shared" si="54"/>
        <v>58.346592709984151</v>
      </c>
      <c r="Q562" s="2">
        <f t="shared" si="55"/>
        <v>0.28799999999999387</v>
      </c>
      <c r="R562" s="2">
        <f t="shared" si="56"/>
        <v>0.29174920760696682</v>
      </c>
      <c r="S562" s="2">
        <f t="shared" si="57"/>
        <v>-3.7492076069729485E-3</v>
      </c>
    </row>
    <row r="563" spans="2:19" x14ac:dyDescent="0.25">
      <c r="B563" s="1">
        <f t="shared" si="58"/>
        <v>557</v>
      </c>
      <c r="C563" s="1">
        <v>930</v>
      </c>
      <c r="D563" s="13">
        <v>57.6</v>
      </c>
      <c r="E563" s="1" t="s">
        <v>11</v>
      </c>
      <c r="F563" s="2">
        <v>3.19</v>
      </c>
      <c r="G563" s="1" t="s">
        <v>12</v>
      </c>
      <c r="H563" s="1" t="s">
        <v>13</v>
      </c>
      <c r="I563" s="1" t="s">
        <v>14</v>
      </c>
      <c r="J563" s="14">
        <v>0.3717361111111111</v>
      </c>
      <c r="K563" s="15">
        <v>45537</v>
      </c>
      <c r="M563" s="2">
        <v>3.04</v>
      </c>
      <c r="O563" s="2">
        <f t="shared" si="53"/>
        <v>2.9649999999999999</v>
      </c>
      <c r="P563" s="2">
        <f t="shared" si="54"/>
        <v>58.353090332805074</v>
      </c>
      <c r="Q563" s="2">
        <f t="shared" si="55"/>
        <v>0.2882499999999939</v>
      </c>
      <c r="R563" s="2">
        <f t="shared" si="56"/>
        <v>0.29178169572107143</v>
      </c>
      <c r="S563" s="2">
        <f t="shared" si="57"/>
        <v>-3.5316957210775324E-3</v>
      </c>
    </row>
    <row r="564" spans="2:19" x14ac:dyDescent="0.25">
      <c r="B564" s="1">
        <f t="shared" si="58"/>
        <v>558</v>
      </c>
      <c r="C564" s="1">
        <v>932</v>
      </c>
      <c r="D564" s="13">
        <v>57.7</v>
      </c>
      <c r="E564" s="1" t="s">
        <v>11</v>
      </c>
      <c r="F564" s="2">
        <v>3.1949999999999998</v>
      </c>
      <c r="G564" s="1" t="s">
        <v>12</v>
      </c>
      <c r="H564" s="1" t="s">
        <v>13</v>
      </c>
      <c r="I564" s="1" t="s">
        <v>14</v>
      </c>
      <c r="J564" s="14">
        <v>0.3717361111111111</v>
      </c>
      <c r="K564" s="15">
        <v>45537</v>
      </c>
      <c r="M564" s="2">
        <v>3.0449999999999999</v>
      </c>
      <c r="O564" s="2">
        <f t="shared" si="53"/>
        <v>2.9699999999999998</v>
      </c>
      <c r="P564" s="2">
        <f t="shared" si="54"/>
        <v>58.35958795562599</v>
      </c>
      <c r="Q564" s="2">
        <f t="shared" si="55"/>
        <v>0.28850000000001946</v>
      </c>
      <c r="R564" s="2">
        <f t="shared" si="56"/>
        <v>0.29181418383520197</v>
      </c>
      <c r="S564" s="2">
        <f t="shared" si="57"/>
        <v>-3.3141838351825048E-3</v>
      </c>
    </row>
    <row r="565" spans="2:19" x14ac:dyDescent="0.25">
      <c r="B565" s="1">
        <f t="shared" si="58"/>
        <v>559</v>
      </c>
      <c r="C565" s="1">
        <v>935</v>
      </c>
      <c r="D565" s="13">
        <v>57.7</v>
      </c>
      <c r="E565" s="1" t="s">
        <v>11</v>
      </c>
      <c r="F565" s="2">
        <v>3.2</v>
      </c>
      <c r="G565" s="1" t="s">
        <v>12</v>
      </c>
      <c r="H565" s="1" t="s">
        <v>13</v>
      </c>
      <c r="I565" s="1" t="s">
        <v>14</v>
      </c>
      <c r="J565" s="14">
        <v>0.37174768518518519</v>
      </c>
      <c r="K565" s="15">
        <v>45537</v>
      </c>
      <c r="M565" s="2">
        <v>3.0500000000000003</v>
      </c>
      <c r="O565" s="2">
        <f t="shared" si="53"/>
        <v>2.9750000000000001</v>
      </c>
      <c r="P565" s="2">
        <f t="shared" si="54"/>
        <v>58.366085578446913</v>
      </c>
      <c r="Q565" s="2">
        <f t="shared" si="55"/>
        <v>0.28849999999999387</v>
      </c>
      <c r="R565" s="2">
        <f t="shared" si="56"/>
        <v>0.29184667194928066</v>
      </c>
      <c r="S565" s="2">
        <f t="shared" si="57"/>
        <v>-3.3466719492867836E-3</v>
      </c>
    </row>
    <row r="566" spans="2:19" x14ac:dyDescent="0.25">
      <c r="B566" s="1">
        <f t="shared" si="58"/>
        <v>560</v>
      </c>
      <c r="C566" s="1">
        <v>936</v>
      </c>
      <c r="D566" s="13">
        <v>57.7</v>
      </c>
      <c r="E566" s="1" t="s">
        <v>11</v>
      </c>
      <c r="F566" s="2">
        <v>3.2050000000000001</v>
      </c>
      <c r="G566" s="1" t="s">
        <v>12</v>
      </c>
      <c r="H566" s="1" t="s">
        <v>13</v>
      </c>
      <c r="I566" s="1" t="s">
        <v>14</v>
      </c>
      <c r="J566" s="14">
        <v>0.37174768518518519</v>
      </c>
      <c r="K566" s="15">
        <v>45537</v>
      </c>
      <c r="M566" s="2">
        <v>3.0550000000000002</v>
      </c>
      <c r="O566" s="2">
        <f t="shared" si="53"/>
        <v>2.98</v>
      </c>
      <c r="P566" s="2">
        <f t="shared" si="54"/>
        <v>58.37258320126783</v>
      </c>
      <c r="Q566" s="2">
        <f t="shared" si="55"/>
        <v>0.28849999999999387</v>
      </c>
      <c r="R566" s="2">
        <f t="shared" si="56"/>
        <v>0.29187916006338521</v>
      </c>
      <c r="S566" s="2">
        <f t="shared" si="57"/>
        <v>-3.3791600633913399E-3</v>
      </c>
    </row>
    <row r="567" spans="2:19" x14ac:dyDescent="0.25">
      <c r="B567" s="1">
        <f t="shared" si="58"/>
        <v>561</v>
      </c>
      <c r="C567" s="1">
        <v>938</v>
      </c>
      <c r="D567" s="13">
        <v>57.7</v>
      </c>
      <c r="E567" s="1" t="s">
        <v>11</v>
      </c>
      <c r="F567" s="2">
        <v>3.21</v>
      </c>
      <c r="G567" s="1" t="s">
        <v>12</v>
      </c>
      <c r="H567" s="1" t="s">
        <v>13</v>
      </c>
      <c r="I567" s="1" t="s">
        <v>14</v>
      </c>
      <c r="J567" s="14">
        <v>0.37174768518518519</v>
      </c>
      <c r="K567" s="15">
        <v>45537</v>
      </c>
      <c r="M567" s="2">
        <v>3.06</v>
      </c>
      <c r="O567" s="2">
        <f t="shared" si="53"/>
        <v>2.9849999999999999</v>
      </c>
      <c r="P567" s="2">
        <f t="shared" si="54"/>
        <v>58.379080824088753</v>
      </c>
      <c r="Q567" s="2">
        <f t="shared" si="55"/>
        <v>0.28874999999999384</v>
      </c>
      <c r="R567" s="2">
        <f t="shared" si="56"/>
        <v>0.29191164817748982</v>
      </c>
      <c r="S567" s="2">
        <f t="shared" si="57"/>
        <v>-3.1616481774959793E-3</v>
      </c>
    </row>
    <row r="568" spans="2:19" x14ac:dyDescent="0.25">
      <c r="B568" s="1">
        <f t="shared" si="58"/>
        <v>562</v>
      </c>
      <c r="C568" s="1">
        <v>940</v>
      </c>
      <c r="D568" s="13">
        <v>57.8</v>
      </c>
      <c r="E568" s="1" t="s">
        <v>11</v>
      </c>
      <c r="F568" s="2">
        <v>3.2149999999999999</v>
      </c>
      <c r="G568" s="1" t="s">
        <v>12</v>
      </c>
      <c r="H568" s="1" t="s">
        <v>13</v>
      </c>
      <c r="I568" s="1" t="s">
        <v>14</v>
      </c>
      <c r="J568" s="14">
        <v>0.37174768518518519</v>
      </c>
      <c r="K568" s="15">
        <v>45537</v>
      </c>
      <c r="M568" s="2">
        <v>3.0649999999999999</v>
      </c>
      <c r="O568" s="2">
        <f t="shared" si="53"/>
        <v>2.9899999999999998</v>
      </c>
      <c r="P568" s="2">
        <f t="shared" si="54"/>
        <v>58.385578446909669</v>
      </c>
      <c r="Q568" s="2">
        <f t="shared" si="55"/>
        <v>0.28900000000001952</v>
      </c>
      <c r="R568" s="2">
        <f t="shared" si="56"/>
        <v>0.29194413629162036</v>
      </c>
      <c r="S568" s="2">
        <f t="shared" si="57"/>
        <v>-2.9441362916008407E-3</v>
      </c>
    </row>
    <row r="569" spans="2:19" x14ac:dyDescent="0.25">
      <c r="B569" s="1">
        <f t="shared" si="58"/>
        <v>563</v>
      </c>
      <c r="C569" s="1">
        <v>941</v>
      </c>
      <c r="D569" s="13">
        <v>57.8</v>
      </c>
      <c r="E569" s="1" t="s">
        <v>11</v>
      </c>
      <c r="F569" s="2">
        <v>3.22</v>
      </c>
      <c r="G569" s="1" t="s">
        <v>12</v>
      </c>
      <c r="H569" s="1" t="s">
        <v>13</v>
      </c>
      <c r="I569" s="1" t="s">
        <v>14</v>
      </c>
      <c r="J569" s="14">
        <v>0.37174768518518519</v>
      </c>
      <c r="K569" s="15">
        <v>45537</v>
      </c>
      <c r="M569" s="2">
        <v>3.0700000000000003</v>
      </c>
      <c r="O569" s="2">
        <f t="shared" si="53"/>
        <v>2.9950000000000001</v>
      </c>
      <c r="P569" s="2">
        <f t="shared" si="54"/>
        <v>58.392076069730585</v>
      </c>
      <c r="Q569" s="2">
        <f t="shared" si="55"/>
        <v>0.28899999999999382</v>
      </c>
      <c r="R569" s="2">
        <f t="shared" si="56"/>
        <v>0.29197662440569905</v>
      </c>
      <c r="S569" s="2">
        <f t="shared" si="57"/>
        <v>-2.9766244057052305E-3</v>
      </c>
    </row>
    <row r="570" spans="2:19" x14ac:dyDescent="0.25">
      <c r="B570" s="1">
        <f t="shared" si="58"/>
        <v>564</v>
      </c>
      <c r="C570" s="1">
        <v>942</v>
      </c>
      <c r="D570" s="13">
        <v>57.8</v>
      </c>
      <c r="E570" s="1" t="s">
        <v>11</v>
      </c>
      <c r="F570" s="2">
        <v>3.2250000000000001</v>
      </c>
      <c r="G570" s="1" t="s">
        <v>12</v>
      </c>
      <c r="H570" s="1" t="s">
        <v>13</v>
      </c>
      <c r="I570" s="1" t="s">
        <v>14</v>
      </c>
      <c r="J570" s="14">
        <v>0.37174768518518519</v>
      </c>
      <c r="K570" s="15">
        <v>45537</v>
      </c>
      <c r="M570" s="2">
        <v>3.0750000000000002</v>
      </c>
      <c r="O570" s="2">
        <f t="shared" si="53"/>
        <v>3</v>
      </c>
      <c r="P570" s="2">
        <f t="shared" si="54"/>
        <v>58.398573692551508</v>
      </c>
      <c r="Q570" s="2">
        <f t="shared" si="55"/>
        <v>0.28924999999999379</v>
      </c>
      <c r="R570" s="2">
        <f t="shared" si="56"/>
        <v>0.2920091125198036</v>
      </c>
      <c r="S570" s="2">
        <f t="shared" si="57"/>
        <v>-2.7591125198098143E-3</v>
      </c>
    </row>
    <row r="571" spans="2:19" x14ac:dyDescent="0.25">
      <c r="B571" s="1">
        <f t="shared" si="58"/>
        <v>565</v>
      </c>
      <c r="C571" s="1">
        <v>944</v>
      </c>
      <c r="D571" s="13">
        <v>57.9</v>
      </c>
      <c r="E571" s="1" t="s">
        <v>11</v>
      </c>
      <c r="F571" s="2">
        <v>3.23</v>
      </c>
      <c r="G571" s="1" t="s">
        <v>12</v>
      </c>
      <c r="H571" s="1" t="s">
        <v>13</v>
      </c>
      <c r="I571" s="1" t="s">
        <v>14</v>
      </c>
      <c r="J571" s="14">
        <v>0.37175925925925923</v>
      </c>
      <c r="K571" s="15">
        <v>45537</v>
      </c>
      <c r="M571" s="2">
        <v>3.08</v>
      </c>
      <c r="O571" s="2">
        <f t="shared" si="53"/>
        <v>3.0049999999999999</v>
      </c>
      <c r="P571" s="2">
        <f t="shared" si="54"/>
        <v>58.405071315372425</v>
      </c>
      <c r="Q571" s="2">
        <f t="shared" si="55"/>
        <v>0.28949999999999382</v>
      </c>
      <c r="R571" s="2">
        <f t="shared" si="56"/>
        <v>0.29204160063390816</v>
      </c>
      <c r="S571" s="2">
        <f t="shared" si="57"/>
        <v>-2.5416006339143427E-3</v>
      </c>
    </row>
    <row r="572" spans="2:19" x14ac:dyDescent="0.25">
      <c r="B572" s="1">
        <f t="shared" si="58"/>
        <v>566</v>
      </c>
      <c r="C572" s="1">
        <v>947</v>
      </c>
      <c r="D572" s="13">
        <v>57.9</v>
      </c>
      <c r="E572" s="1" t="s">
        <v>11</v>
      </c>
      <c r="F572" s="2">
        <v>3.2349999999999999</v>
      </c>
      <c r="G572" s="1" t="s">
        <v>12</v>
      </c>
      <c r="H572" s="1" t="s">
        <v>13</v>
      </c>
      <c r="I572" s="1" t="s">
        <v>14</v>
      </c>
      <c r="J572" s="14">
        <v>0.37175925925925923</v>
      </c>
      <c r="K572" s="15">
        <v>45537</v>
      </c>
      <c r="M572" s="2">
        <v>3.085</v>
      </c>
      <c r="O572" s="2">
        <f t="shared" si="53"/>
        <v>3.01</v>
      </c>
      <c r="P572" s="2">
        <f t="shared" si="54"/>
        <v>58.411568938193348</v>
      </c>
      <c r="Q572" s="2">
        <f t="shared" si="55"/>
        <v>0.28950000000001952</v>
      </c>
      <c r="R572" s="2">
        <f t="shared" si="56"/>
        <v>0.29207408874803875</v>
      </c>
      <c r="S572" s="2">
        <f t="shared" si="57"/>
        <v>-2.574088748019232E-3</v>
      </c>
    </row>
    <row r="573" spans="2:19" x14ac:dyDescent="0.25">
      <c r="B573" s="1">
        <f t="shared" si="58"/>
        <v>567</v>
      </c>
      <c r="C573" s="1">
        <v>951</v>
      </c>
      <c r="D573" s="13">
        <v>57.9</v>
      </c>
      <c r="E573" s="1" t="s">
        <v>11</v>
      </c>
      <c r="F573" s="2">
        <v>3.24</v>
      </c>
      <c r="G573" s="1" t="s">
        <v>12</v>
      </c>
      <c r="H573" s="1" t="s">
        <v>13</v>
      </c>
      <c r="I573" s="1" t="s">
        <v>14</v>
      </c>
      <c r="J573" s="14">
        <v>0.37175925925925923</v>
      </c>
      <c r="K573" s="15">
        <v>45537</v>
      </c>
      <c r="M573" s="2">
        <v>3.0900000000000003</v>
      </c>
      <c r="O573" s="2">
        <f t="shared" si="53"/>
        <v>3.0150000000000001</v>
      </c>
      <c r="P573" s="2">
        <f t="shared" si="54"/>
        <v>58.418066561014264</v>
      </c>
      <c r="Q573" s="2">
        <f t="shared" si="55"/>
        <v>0.28949999999999382</v>
      </c>
      <c r="R573" s="2">
        <f t="shared" si="56"/>
        <v>0.29210657686211744</v>
      </c>
      <c r="S573" s="2">
        <f t="shared" si="57"/>
        <v>-2.6065768621236218E-3</v>
      </c>
    </row>
    <row r="574" spans="2:19" x14ac:dyDescent="0.25">
      <c r="B574" s="1">
        <f t="shared" si="58"/>
        <v>568</v>
      </c>
      <c r="C574" s="1">
        <v>953</v>
      </c>
      <c r="D574" s="13">
        <v>57.9</v>
      </c>
      <c r="E574" s="1" t="s">
        <v>11</v>
      </c>
      <c r="F574" s="2">
        <v>3.2450000000000001</v>
      </c>
      <c r="G574" s="1" t="s">
        <v>12</v>
      </c>
      <c r="H574" s="1" t="s">
        <v>13</v>
      </c>
      <c r="I574" s="1" t="s">
        <v>14</v>
      </c>
      <c r="J574" s="14">
        <v>0.37175925925925923</v>
      </c>
      <c r="K574" s="15">
        <v>45537</v>
      </c>
      <c r="M574" s="2">
        <v>3.0950000000000002</v>
      </c>
      <c r="O574" s="2">
        <f t="shared" si="53"/>
        <v>3.02</v>
      </c>
      <c r="P574" s="2">
        <f t="shared" si="54"/>
        <v>58.424564183835187</v>
      </c>
      <c r="Q574" s="2">
        <f t="shared" si="55"/>
        <v>0.28949999999999382</v>
      </c>
      <c r="R574" s="2">
        <f t="shared" si="56"/>
        <v>0.292139064976222</v>
      </c>
      <c r="S574" s="2">
        <f t="shared" si="57"/>
        <v>-2.6390649762281781E-3</v>
      </c>
    </row>
    <row r="575" spans="2:19" x14ac:dyDescent="0.25">
      <c r="B575" s="1">
        <f t="shared" si="58"/>
        <v>569</v>
      </c>
      <c r="C575" s="1">
        <v>955</v>
      </c>
      <c r="D575" s="13">
        <v>57.9</v>
      </c>
      <c r="E575" s="1" t="s">
        <v>11</v>
      </c>
      <c r="F575" s="2">
        <v>3.25</v>
      </c>
      <c r="G575" s="1" t="s">
        <v>12</v>
      </c>
      <c r="H575" s="1" t="s">
        <v>13</v>
      </c>
      <c r="I575" s="1" t="s">
        <v>14</v>
      </c>
      <c r="J575" s="14">
        <v>0.37177083333333333</v>
      </c>
      <c r="K575" s="15">
        <v>45537</v>
      </c>
      <c r="M575" s="2">
        <v>3.1</v>
      </c>
      <c r="O575" s="2">
        <f t="shared" si="53"/>
        <v>3.0249999999999999</v>
      </c>
      <c r="P575" s="2">
        <f t="shared" si="54"/>
        <v>58.431061806656103</v>
      </c>
      <c r="Q575" s="2">
        <f t="shared" si="55"/>
        <v>0.28974999999999385</v>
      </c>
      <c r="R575" s="2">
        <f t="shared" si="56"/>
        <v>0.29217155309032655</v>
      </c>
      <c r="S575" s="2">
        <f t="shared" si="57"/>
        <v>-2.4215530903327065E-3</v>
      </c>
    </row>
    <row r="576" spans="2:19" x14ac:dyDescent="0.25">
      <c r="B576" s="1">
        <f t="shared" si="58"/>
        <v>570</v>
      </c>
      <c r="C576" s="1">
        <v>957</v>
      </c>
      <c r="D576" s="13">
        <v>58</v>
      </c>
      <c r="E576" s="1" t="s">
        <v>11</v>
      </c>
      <c r="F576" s="2">
        <v>3.2549999999999999</v>
      </c>
      <c r="G576" s="1" t="s">
        <v>12</v>
      </c>
      <c r="H576" s="1" t="s">
        <v>13</v>
      </c>
      <c r="I576" s="1" t="s">
        <v>14</v>
      </c>
      <c r="J576" s="14">
        <v>0.37177083333333333</v>
      </c>
      <c r="K576" s="15">
        <v>45537</v>
      </c>
      <c r="M576" s="2">
        <v>3.105</v>
      </c>
      <c r="O576" s="2">
        <f t="shared" si="53"/>
        <v>3.03</v>
      </c>
      <c r="P576" s="2">
        <f t="shared" si="54"/>
        <v>58.43755942947702</v>
      </c>
      <c r="Q576" s="2">
        <f t="shared" si="55"/>
        <v>0.28999999999999382</v>
      </c>
      <c r="R576" s="2">
        <f t="shared" si="56"/>
        <v>0.29220404120443116</v>
      </c>
      <c r="S576" s="2">
        <f t="shared" si="57"/>
        <v>-2.2040412044373459E-3</v>
      </c>
    </row>
    <row r="577" spans="2:19" x14ac:dyDescent="0.25">
      <c r="B577" s="1">
        <f t="shared" si="58"/>
        <v>571</v>
      </c>
      <c r="C577" s="1">
        <v>959</v>
      </c>
      <c r="D577" s="13">
        <v>58</v>
      </c>
      <c r="E577" s="1" t="s">
        <v>11</v>
      </c>
      <c r="F577" s="2">
        <v>3.26</v>
      </c>
      <c r="G577" s="1" t="s">
        <v>12</v>
      </c>
      <c r="H577" s="1" t="s">
        <v>13</v>
      </c>
      <c r="I577" s="1" t="s">
        <v>14</v>
      </c>
      <c r="J577" s="14">
        <v>0.37177083333333333</v>
      </c>
      <c r="K577" s="15">
        <v>45537</v>
      </c>
      <c r="M577" s="2">
        <v>3.11</v>
      </c>
      <c r="O577" s="2">
        <f t="shared" si="53"/>
        <v>3.0349999999999997</v>
      </c>
      <c r="P577" s="2">
        <f t="shared" si="54"/>
        <v>58.444057052297943</v>
      </c>
      <c r="Q577" s="2">
        <f t="shared" si="55"/>
        <v>0.29000000000001958</v>
      </c>
      <c r="R577" s="2">
        <f t="shared" si="56"/>
        <v>0.29223652931856176</v>
      </c>
      <c r="S577" s="2">
        <f t="shared" si="57"/>
        <v>-2.2365293185421797E-3</v>
      </c>
    </row>
    <row r="578" spans="2:19" x14ac:dyDescent="0.25">
      <c r="B578" s="1">
        <f t="shared" si="58"/>
        <v>572</v>
      </c>
      <c r="C578" s="1">
        <v>960</v>
      </c>
      <c r="D578" s="13">
        <v>58</v>
      </c>
      <c r="E578" s="1" t="s">
        <v>11</v>
      </c>
      <c r="F578" s="2">
        <v>3.2650000000000001</v>
      </c>
      <c r="G578" s="1" t="s">
        <v>12</v>
      </c>
      <c r="H578" s="1" t="s">
        <v>13</v>
      </c>
      <c r="I578" s="1" t="s">
        <v>14</v>
      </c>
      <c r="J578" s="14">
        <v>0.37177083333333333</v>
      </c>
      <c r="K578" s="15">
        <v>45537</v>
      </c>
      <c r="M578" s="2">
        <v>3.1150000000000002</v>
      </c>
      <c r="O578" s="2">
        <f t="shared" si="53"/>
        <v>3.04</v>
      </c>
      <c r="P578" s="2">
        <f t="shared" si="54"/>
        <v>58.450554675118859</v>
      </c>
      <c r="Q578" s="2">
        <f t="shared" si="55"/>
        <v>0.58099999999998764</v>
      </c>
      <c r="R578" s="2">
        <f t="shared" si="56"/>
        <v>0.58457052297938539</v>
      </c>
      <c r="S578" s="2">
        <f t="shared" si="57"/>
        <v>-3.57052297939775E-3</v>
      </c>
    </row>
    <row r="579" spans="2:19" x14ac:dyDescent="0.25">
      <c r="B579" s="1">
        <f t="shared" si="58"/>
        <v>573</v>
      </c>
      <c r="C579" s="1">
        <v>961</v>
      </c>
      <c r="D579" s="13">
        <v>58.2</v>
      </c>
      <c r="E579" s="1" t="s">
        <v>11</v>
      </c>
      <c r="F579" s="2">
        <v>3.2749999999999999</v>
      </c>
      <c r="G579" s="1" t="s">
        <v>12</v>
      </c>
      <c r="H579" s="1" t="s">
        <v>13</v>
      </c>
      <c r="I579" s="1" t="s">
        <v>14</v>
      </c>
      <c r="J579" s="14">
        <v>0.37177083333333333</v>
      </c>
      <c r="K579" s="15">
        <v>45537</v>
      </c>
      <c r="M579" s="2">
        <v>3.125</v>
      </c>
      <c r="O579" s="2">
        <f t="shared" si="53"/>
        <v>3.05</v>
      </c>
      <c r="P579" s="2">
        <f t="shared" si="54"/>
        <v>58.463549920760698</v>
      </c>
      <c r="Q579" s="2">
        <f t="shared" si="55"/>
        <v>0.87300000000000733</v>
      </c>
      <c r="R579" s="2">
        <f t="shared" si="56"/>
        <v>0.87709944532488837</v>
      </c>
      <c r="S579" s="2">
        <f t="shared" si="57"/>
        <v>-4.0994453248810458E-3</v>
      </c>
    </row>
    <row r="580" spans="2:19" x14ac:dyDescent="0.25">
      <c r="B580" s="1">
        <f t="shared" si="58"/>
        <v>574</v>
      </c>
      <c r="C580" s="1">
        <v>962</v>
      </c>
      <c r="D580" s="13">
        <v>58.2</v>
      </c>
      <c r="E580" s="1" t="s">
        <v>11</v>
      </c>
      <c r="F580" s="2">
        <v>3.29</v>
      </c>
      <c r="G580" s="1" t="s">
        <v>12</v>
      </c>
      <c r="H580" s="1" t="s">
        <v>13</v>
      </c>
      <c r="I580" s="1" t="s">
        <v>14</v>
      </c>
      <c r="J580" s="14">
        <v>0.37177083333333333</v>
      </c>
      <c r="K580" s="15">
        <v>45537</v>
      </c>
      <c r="M580" s="2">
        <v>3.14</v>
      </c>
      <c r="O580" s="2">
        <f t="shared" si="53"/>
        <v>3.0649999999999999</v>
      </c>
      <c r="P580" s="2">
        <f t="shared" si="54"/>
        <v>58.483042789223454</v>
      </c>
      <c r="Q580" s="2">
        <f t="shared" si="55"/>
        <v>0.58249999999998758</v>
      </c>
      <c r="R580" s="2">
        <f t="shared" si="56"/>
        <v>0.58489540412043128</v>
      </c>
      <c r="S580" s="2">
        <f t="shared" si="57"/>
        <v>-2.3954041204437004E-3</v>
      </c>
    </row>
    <row r="581" spans="2:19" x14ac:dyDescent="0.25">
      <c r="B581" s="1">
        <f t="shared" si="58"/>
        <v>575</v>
      </c>
      <c r="C581" s="1">
        <v>963</v>
      </c>
      <c r="D581" s="13">
        <v>58.3</v>
      </c>
      <c r="E581" s="1" t="s">
        <v>11</v>
      </c>
      <c r="F581" s="2">
        <v>3.3</v>
      </c>
      <c r="G581" s="1" t="s">
        <v>12</v>
      </c>
      <c r="H581" s="1" t="s">
        <v>13</v>
      </c>
      <c r="I581" s="1" t="s">
        <v>14</v>
      </c>
      <c r="J581" s="14">
        <v>0.37177083333333333</v>
      </c>
      <c r="K581" s="15">
        <v>45537</v>
      </c>
      <c r="M581" s="2">
        <v>3.15</v>
      </c>
      <c r="O581" s="2">
        <f t="shared" si="53"/>
        <v>3.0749999999999997</v>
      </c>
      <c r="P581" s="2">
        <f t="shared" si="54"/>
        <v>58.496038034865293</v>
      </c>
      <c r="Q581" s="2">
        <f t="shared" si="55"/>
        <v>0.29150000000001969</v>
      </c>
      <c r="R581" s="2">
        <f t="shared" si="56"/>
        <v>0.29249643423139848</v>
      </c>
      <c r="S581" s="2">
        <f t="shared" si="57"/>
        <v>-9.964342313787955E-4</v>
      </c>
    </row>
    <row r="582" spans="2:19" x14ac:dyDescent="0.25">
      <c r="B582" s="1">
        <f t="shared" si="58"/>
        <v>576</v>
      </c>
      <c r="C582" s="1">
        <v>964</v>
      </c>
      <c r="D582" s="13">
        <v>58.3</v>
      </c>
      <c r="E582" s="1" t="s">
        <v>11</v>
      </c>
      <c r="F582" s="2">
        <v>3.3050000000000002</v>
      </c>
      <c r="G582" s="1" t="s">
        <v>12</v>
      </c>
      <c r="H582" s="1" t="s">
        <v>13</v>
      </c>
      <c r="I582" s="1" t="s">
        <v>14</v>
      </c>
      <c r="J582" s="14">
        <v>0.37178240740740742</v>
      </c>
      <c r="K582" s="15">
        <v>45537</v>
      </c>
      <c r="M582" s="2">
        <v>3.1550000000000002</v>
      </c>
      <c r="O582" s="2">
        <f t="shared" si="53"/>
        <v>3.08</v>
      </c>
      <c r="P582" s="2">
        <f t="shared" si="54"/>
        <v>58.502535657686217</v>
      </c>
      <c r="Q582" s="2">
        <f t="shared" si="55"/>
        <v>0.29149999999999376</v>
      </c>
      <c r="R582" s="2">
        <f t="shared" si="56"/>
        <v>0.29252892234547712</v>
      </c>
      <c r="S582" s="2">
        <f t="shared" si="57"/>
        <v>-1.0289223454833518E-3</v>
      </c>
    </row>
    <row r="583" spans="2:19" x14ac:dyDescent="0.25">
      <c r="B583" s="1">
        <f t="shared" si="58"/>
        <v>577</v>
      </c>
      <c r="C583" s="1">
        <v>965</v>
      </c>
      <c r="D583" s="13">
        <v>58.3</v>
      </c>
      <c r="E583" s="1" t="s">
        <v>11</v>
      </c>
      <c r="F583" s="2">
        <v>3.31</v>
      </c>
      <c r="G583" s="1" t="s">
        <v>12</v>
      </c>
      <c r="H583" s="1" t="s">
        <v>13</v>
      </c>
      <c r="I583" s="1" t="s">
        <v>14</v>
      </c>
      <c r="J583" s="14">
        <v>0.37178240740740742</v>
      </c>
      <c r="K583" s="15">
        <v>45537</v>
      </c>
      <c r="M583" s="2">
        <v>3.16</v>
      </c>
      <c r="O583" s="2">
        <f t="shared" si="53"/>
        <v>3.085</v>
      </c>
      <c r="P583" s="2">
        <f t="shared" si="54"/>
        <v>58.509033280507133</v>
      </c>
      <c r="Q583" s="2">
        <f t="shared" si="55"/>
        <v>0.29174999999999374</v>
      </c>
      <c r="R583" s="2">
        <f t="shared" si="56"/>
        <v>0.29256141045958173</v>
      </c>
      <c r="S583" s="2">
        <f t="shared" si="57"/>
        <v>-8.1141045958799118E-4</v>
      </c>
    </row>
    <row r="584" spans="2:19" x14ac:dyDescent="0.25">
      <c r="B584" s="1">
        <f t="shared" si="58"/>
        <v>578</v>
      </c>
      <c r="C584" s="1">
        <v>966</v>
      </c>
      <c r="D584" s="13">
        <v>58.4</v>
      </c>
      <c r="E584" s="1" t="s">
        <v>11</v>
      </c>
      <c r="F584" s="2">
        <v>3.3149999999999999</v>
      </c>
      <c r="G584" s="1" t="s">
        <v>12</v>
      </c>
      <c r="H584" s="1" t="s">
        <v>13</v>
      </c>
      <c r="I584" s="1" t="s">
        <v>14</v>
      </c>
      <c r="J584" s="14">
        <v>0.37178240740740742</v>
      </c>
      <c r="K584" s="15">
        <v>45537</v>
      </c>
      <c r="M584" s="2">
        <v>3.165</v>
      </c>
      <c r="O584" s="2">
        <f t="shared" ref="O584:O647" si="59">M584-$X$23</f>
        <v>3.09</v>
      </c>
      <c r="P584" s="2">
        <f t="shared" ref="P584:P647" si="60">O584*$AC$21+$Y$23</f>
        <v>58.515530903328056</v>
      </c>
      <c r="Q584" s="2">
        <f t="shared" ref="Q584:Q647" si="61">((D584+D585)/2)*(M585-M584)</f>
        <v>0.29199999999999376</v>
      </c>
      <c r="R584" s="2">
        <f t="shared" ref="R584:R647" si="62">((P584+P585)/2)*(O585-O584)</f>
        <v>0.29259389857368634</v>
      </c>
      <c r="S584" s="2">
        <f t="shared" ref="S584:S647" si="63">Q584-R584</f>
        <v>-5.9389857369257504E-4</v>
      </c>
    </row>
    <row r="585" spans="2:19" x14ac:dyDescent="0.25">
      <c r="B585" s="1">
        <f t="shared" ref="B585:B648" si="64">B584+1</f>
        <v>579</v>
      </c>
      <c r="C585" s="1">
        <v>967</v>
      </c>
      <c r="D585" s="13">
        <v>58.4</v>
      </c>
      <c r="E585" s="1" t="s">
        <v>11</v>
      </c>
      <c r="F585" s="2">
        <v>3.32</v>
      </c>
      <c r="G585" s="1" t="s">
        <v>12</v>
      </c>
      <c r="H585" s="1" t="s">
        <v>13</v>
      </c>
      <c r="I585" s="1" t="s">
        <v>14</v>
      </c>
      <c r="J585" s="14">
        <v>0.37178240740740742</v>
      </c>
      <c r="K585" s="15">
        <v>45537</v>
      </c>
      <c r="M585" s="2">
        <v>3.17</v>
      </c>
      <c r="O585" s="2">
        <f t="shared" si="59"/>
        <v>3.0949999999999998</v>
      </c>
      <c r="P585" s="2">
        <f t="shared" si="60"/>
        <v>58.522028526148972</v>
      </c>
      <c r="Q585" s="2">
        <f t="shared" si="61"/>
        <v>0.29225000000001972</v>
      </c>
      <c r="R585" s="2">
        <f t="shared" si="62"/>
        <v>0.29262638668781693</v>
      </c>
      <c r="S585" s="2">
        <f t="shared" si="63"/>
        <v>-3.763866877972144E-4</v>
      </c>
    </row>
    <row r="586" spans="2:19" x14ac:dyDescent="0.25">
      <c r="B586" s="1">
        <f t="shared" si="64"/>
        <v>580</v>
      </c>
      <c r="C586" s="1">
        <v>968</v>
      </c>
      <c r="D586" s="13">
        <v>58.5</v>
      </c>
      <c r="E586" s="1" t="s">
        <v>11</v>
      </c>
      <c r="F586" s="2">
        <v>3.3250000000000002</v>
      </c>
      <c r="G586" s="1" t="s">
        <v>12</v>
      </c>
      <c r="H586" s="1" t="s">
        <v>13</v>
      </c>
      <c r="I586" s="1" t="s">
        <v>14</v>
      </c>
      <c r="J586" s="14">
        <v>0.37178240740740742</v>
      </c>
      <c r="K586" s="15">
        <v>45537</v>
      </c>
      <c r="M586" s="2">
        <v>3.1750000000000003</v>
      </c>
      <c r="O586" s="2">
        <f t="shared" si="59"/>
        <v>3.1</v>
      </c>
      <c r="P586" s="2">
        <f t="shared" si="60"/>
        <v>58.528526148969888</v>
      </c>
      <c r="Q586" s="2">
        <f t="shared" si="61"/>
        <v>0.29249999999999376</v>
      </c>
      <c r="R586" s="2">
        <f t="shared" si="62"/>
        <v>0.29265887480189551</v>
      </c>
      <c r="S586" s="2">
        <f t="shared" si="63"/>
        <v>-1.5887480190174275E-4</v>
      </c>
    </row>
    <row r="587" spans="2:19" x14ac:dyDescent="0.25">
      <c r="B587" s="1">
        <f t="shared" si="64"/>
        <v>581</v>
      </c>
      <c r="C587" s="1">
        <v>969</v>
      </c>
      <c r="D587" s="13">
        <v>58.5</v>
      </c>
      <c r="E587" s="1" t="s">
        <v>11</v>
      </c>
      <c r="F587" s="2">
        <v>3.33</v>
      </c>
      <c r="G587" s="1" t="s">
        <v>12</v>
      </c>
      <c r="H587" s="1" t="s">
        <v>13</v>
      </c>
      <c r="I587" s="1" t="s">
        <v>14</v>
      </c>
      <c r="J587" s="14">
        <v>0.37178240740740742</v>
      </c>
      <c r="K587" s="15">
        <v>45537</v>
      </c>
      <c r="M587" s="2">
        <v>3.18</v>
      </c>
      <c r="O587" s="2">
        <f t="shared" si="59"/>
        <v>3.105</v>
      </c>
      <c r="P587" s="2">
        <f t="shared" si="60"/>
        <v>58.535023771790812</v>
      </c>
      <c r="Q587" s="2">
        <f t="shared" si="61"/>
        <v>0.29249999999999376</v>
      </c>
      <c r="R587" s="2">
        <f t="shared" si="62"/>
        <v>0.29269136291600012</v>
      </c>
      <c r="S587" s="2">
        <f t="shared" si="63"/>
        <v>-1.9136291600635458E-4</v>
      </c>
    </row>
    <row r="588" spans="2:19" x14ac:dyDescent="0.25">
      <c r="B588" s="1">
        <f t="shared" si="64"/>
        <v>582</v>
      </c>
      <c r="C588" s="1">
        <v>970</v>
      </c>
      <c r="D588" s="13">
        <v>58.5</v>
      </c>
      <c r="E588" s="1" t="s">
        <v>11</v>
      </c>
      <c r="F588" s="2">
        <v>3.335</v>
      </c>
      <c r="G588" s="1" t="s">
        <v>12</v>
      </c>
      <c r="H588" s="1" t="s">
        <v>13</v>
      </c>
      <c r="I588" s="1" t="s">
        <v>14</v>
      </c>
      <c r="J588" s="14">
        <v>0.37178240740740742</v>
      </c>
      <c r="K588" s="15">
        <v>45537</v>
      </c>
      <c r="M588" s="2">
        <v>3.1850000000000001</v>
      </c>
      <c r="O588" s="2">
        <f t="shared" si="59"/>
        <v>3.11</v>
      </c>
      <c r="P588" s="2">
        <f t="shared" si="60"/>
        <v>58.541521394611728</v>
      </c>
      <c r="Q588" s="2">
        <f t="shared" si="61"/>
        <v>0.29249999999999376</v>
      </c>
      <c r="R588" s="2">
        <f t="shared" si="62"/>
        <v>0.29272385103010473</v>
      </c>
      <c r="S588" s="2">
        <f t="shared" si="63"/>
        <v>-2.2385103011096641E-4</v>
      </c>
    </row>
    <row r="589" spans="2:19" x14ac:dyDescent="0.25">
      <c r="B589" s="1">
        <f t="shared" si="64"/>
        <v>583</v>
      </c>
      <c r="C589" s="1">
        <v>971</v>
      </c>
      <c r="D589" s="13">
        <v>58.5</v>
      </c>
      <c r="E589" s="1" t="s">
        <v>11</v>
      </c>
      <c r="F589" s="2">
        <v>3.34</v>
      </c>
      <c r="G589" s="1" t="s">
        <v>12</v>
      </c>
      <c r="H589" s="1" t="s">
        <v>13</v>
      </c>
      <c r="I589" s="1" t="s">
        <v>14</v>
      </c>
      <c r="J589" s="14">
        <v>0.37178240740740742</v>
      </c>
      <c r="K589" s="15">
        <v>45537</v>
      </c>
      <c r="M589" s="2">
        <v>3.19</v>
      </c>
      <c r="O589" s="2">
        <f t="shared" si="59"/>
        <v>3.1149999999999998</v>
      </c>
      <c r="P589" s="2">
        <f t="shared" si="60"/>
        <v>58.548019017432651</v>
      </c>
      <c r="Q589" s="2">
        <f t="shared" si="61"/>
        <v>0.29250000000001974</v>
      </c>
      <c r="R589" s="2">
        <f t="shared" si="62"/>
        <v>0.29275633914423532</v>
      </c>
      <c r="S589" s="2">
        <f t="shared" si="63"/>
        <v>-2.5633914421557824E-4</v>
      </c>
    </row>
    <row r="590" spans="2:19" x14ac:dyDescent="0.25">
      <c r="B590" s="1">
        <f t="shared" si="64"/>
        <v>584</v>
      </c>
      <c r="C590" s="1">
        <v>972</v>
      </c>
      <c r="D590" s="13">
        <v>58.5</v>
      </c>
      <c r="E590" s="1" t="s">
        <v>11</v>
      </c>
      <c r="F590" s="2">
        <v>3.3450000000000002</v>
      </c>
      <c r="G590" s="1" t="s">
        <v>12</v>
      </c>
      <c r="H590" s="1" t="s">
        <v>13</v>
      </c>
      <c r="I590" s="1" t="s">
        <v>14</v>
      </c>
      <c r="J590" s="14">
        <v>0.37178240740740742</v>
      </c>
      <c r="K590" s="15">
        <v>45537</v>
      </c>
      <c r="M590" s="2">
        <v>3.1950000000000003</v>
      </c>
      <c r="O590" s="2">
        <f t="shared" si="59"/>
        <v>3.12</v>
      </c>
      <c r="P590" s="2">
        <f t="shared" si="60"/>
        <v>58.554516640253567</v>
      </c>
      <c r="Q590" s="2">
        <f t="shared" si="61"/>
        <v>0.29274999999999374</v>
      </c>
      <c r="R590" s="2">
        <f t="shared" si="62"/>
        <v>0.2927888272583139</v>
      </c>
      <c r="S590" s="2">
        <f t="shared" si="63"/>
        <v>-3.8827258320162095E-5</v>
      </c>
    </row>
    <row r="591" spans="2:19" x14ac:dyDescent="0.25">
      <c r="B591" s="1">
        <f t="shared" si="64"/>
        <v>585</v>
      </c>
      <c r="C591" s="1">
        <v>974</v>
      </c>
      <c r="D591" s="13">
        <v>58.6</v>
      </c>
      <c r="E591" s="1" t="s">
        <v>11</v>
      </c>
      <c r="F591" s="2">
        <v>3.35</v>
      </c>
      <c r="G591" s="1" t="s">
        <v>12</v>
      </c>
      <c r="H591" s="1" t="s">
        <v>13</v>
      </c>
      <c r="I591" s="1" t="s">
        <v>14</v>
      </c>
      <c r="J591" s="14">
        <v>0.37179398148148146</v>
      </c>
      <c r="K591" s="15">
        <v>45537</v>
      </c>
      <c r="M591" s="2">
        <v>3.2</v>
      </c>
      <c r="O591" s="2">
        <f t="shared" si="59"/>
        <v>3.125</v>
      </c>
      <c r="P591" s="2">
        <f t="shared" si="60"/>
        <v>58.561014263074483</v>
      </c>
      <c r="Q591" s="2">
        <f t="shared" si="61"/>
        <v>0.29299999999999377</v>
      </c>
      <c r="R591" s="2">
        <f t="shared" si="62"/>
        <v>0.29282131537241846</v>
      </c>
      <c r="S591" s="2">
        <f t="shared" si="63"/>
        <v>1.7868462757530956E-4</v>
      </c>
    </row>
    <row r="592" spans="2:19" x14ac:dyDescent="0.25">
      <c r="B592" s="1">
        <f t="shared" si="64"/>
        <v>586</v>
      </c>
      <c r="C592" s="1">
        <v>975</v>
      </c>
      <c r="D592" s="13">
        <v>58.6</v>
      </c>
      <c r="E592" s="1" t="s">
        <v>11</v>
      </c>
      <c r="F592" s="2">
        <v>3.355</v>
      </c>
      <c r="G592" s="1" t="s">
        <v>12</v>
      </c>
      <c r="H592" s="1" t="s">
        <v>13</v>
      </c>
      <c r="I592" s="1" t="s">
        <v>14</v>
      </c>
      <c r="J592" s="14">
        <v>0.37179398148148146</v>
      </c>
      <c r="K592" s="15">
        <v>45537</v>
      </c>
      <c r="M592" s="2">
        <v>3.2050000000000001</v>
      </c>
      <c r="O592" s="2">
        <f t="shared" si="59"/>
        <v>3.13</v>
      </c>
      <c r="P592" s="2">
        <f t="shared" si="60"/>
        <v>58.567511885895406</v>
      </c>
      <c r="Q592" s="2">
        <f t="shared" si="61"/>
        <v>0.58650000000001357</v>
      </c>
      <c r="R592" s="2">
        <f t="shared" si="62"/>
        <v>0.58574009508717684</v>
      </c>
      <c r="S592" s="2">
        <f t="shared" si="63"/>
        <v>7.5990491283672856E-4</v>
      </c>
    </row>
    <row r="593" spans="2:19" x14ac:dyDescent="0.25">
      <c r="B593" s="1">
        <f t="shared" si="64"/>
        <v>587</v>
      </c>
      <c r="C593" s="1">
        <v>976</v>
      </c>
      <c r="D593" s="13">
        <v>58.7</v>
      </c>
      <c r="E593" s="1" t="s">
        <v>11</v>
      </c>
      <c r="F593" s="2">
        <v>3.3650000000000002</v>
      </c>
      <c r="G593" s="1" t="s">
        <v>12</v>
      </c>
      <c r="H593" s="1" t="s">
        <v>13</v>
      </c>
      <c r="I593" s="1" t="s">
        <v>14</v>
      </c>
      <c r="J593" s="14">
        <v>0.37179398148148146</v>
      </c>
      <c r="K593" s="15">
        <v>45537</v>
      </c>
      <c r="M593" s="2">
        <v>3.2150000000000003</v>
      </c>
      <c r="O593" s="2">
        <f t="shared" si="59"/>
        <v>3.14</v>
      </c>
      <c r="P593" s="2">
        <f t="shared" si="60"/>
        <v>58.580507131537246</v>
      </c>
      <c r="Q593" s="2">
        <f t="shared" si="61"/>
        <v>0.29349999999999377</v>
      </c>
      <c r="R593" s="2">
        <f t="shared" si="62"/>
        <v>0.29291877971473229</v>
      </c>
      <c r="S593" s="2">
        <f t="shared" si="63"/>
        <v>5.8122028526147451E-4</v>
      </c>
    </row>
    <row r="594" spans="2:19" x14ac:dyDescent="0.25">
      <c r="B594" s="1">
        <f t="shared" si="64"/>
        <v>588</v>
      </c>
      <c r="C594" s="1">
        <v>977</v>
      </c>
      <c r="D594" s="13">
        <v>58.7</v>
      </c>
      <c r="E594" s="1" t="s">
        <v>11</v>
      </c>
      <c r="F594" s="2">
        <v>3.37</v>
      </c>
      <c r="G594" s="1" t="s">
        <v>12</v>
      </c>
      <c r="H594" s="1" t="s">
        <v>13</v>
      </c>
      <c r="I594" s="1" t="s">
        <v>14</v>
      </c>
      <c r="J594" s="14">
        <v>0.37179398148148146</v>
      </c>
      <c r="K594" s="15">
        <v>45537</v>
      </c>
      <c r="M594" s="2">
        <v>3.22</v>
      </c>
      <c r="O594" s="2">
        <f t="shared" si="59"/>
        <v>3.145</v>
      </c>
      <c r="P594" s="2">
        <f t="shared" si="60"/>
        <v>58.587004754358162</v>
      </c>
      <c r="Q594" s="2">
        <f t="shared" si="61"/>
        <v>0.29349999999999377</v>
      </c>
      <c r="R594" s="2">
        <f t="shared" si="62"/>
        <v>0.29295126782883685</v>
      </c>
      <c r="S594" s="2">
        <f t="shared" si="63"/>
        <v>5.4873217115691819E-4</v>
      </c>
    </row>
    <row r="595" spans="2:19" x14ac:dyDescent="0.25">
      <c r="B595" s="1">
        <f t="shared" si="64"/>
        <v>589</v>
      </c>
      <c r="C595" s="1">
        <v>978</v>
      </c>
      <c r="D595" s="13">
        <v>58.7</v>
      </c>
      <c r="E595" s="1" t="s">
        <v>11</v>
      </c>
      <c r="F595" s="2">
        <v>3.375</v>
      </c>
      <c r="G595" s="1" t="s">
        <v>12</v>
      </c>
      <c r="H595" s="1" t="s">
        <v>13</v>
      </c>
      <c r="I595" s="1" t="s">
        <v>14</v>
      </c>
      <c r="J595" s="14">
        <v>0.37179398148148146</v>
      </c>
      <c r="K595" s="15">
        <v>45537</v>
      </c>
      <c r="M595" s="2">
        <v>3.2250000000000001</v>
      </c>
      <c r="O595" s="2">
        <f t="shared" si="59"/>
        <v>3.15</v>
      </c>
      <c r="P595" s="2">
        <f t="shared" si="60"/>
        <v>58.593502377179085</v>
      </c>
      <c r="Q595" s="2">
        <f t="shared" si="61"/>
        <v>0.29324999999999379</v>
      </c>
      <c r="R595" s="2">
        <f t="shared" si="62"/>
        <v>0.29298375594294146</v>
      </c>
      <c r="S595" s="2">
        <f t="shared" si="63"/>
        <v>2.6624405705233389E-4</v>
      </c>
    </row>
    <row r="596" spans="2:19" x14ac:dyDescent="0.25">
      <c r="B596" s="1">
        <f t="shared" si="64"/>
        <v>590</v>
      </c>
      <c r="C596" s="1">
        <v>979</v>
      </c>
      <c r="D596" s="13">
        <v>58.6</v>
      </c>
      <c r="E596" s="1" t="s">
        <v>11</v>
      </c>
      <c r="F596" s="2">
        <v>3.38</v>
      </c>
      <c r="G596" s="1" t="s">
        <v>12</v>
      </c>
      <c r="H596" s="1" t="s">
        <v>13</v>
      </c>
      <c r="I596" s="1" t="s">
        <v>14</v>
      </c>
      <c r="J596" s="14">
        <v>0.37179398148148146</v>
      </c>
      <c r="K596" s="15">
        <v>45537</v>
      </c>
      <c r="M596" s="2">
        <v>3.23</v>
      </c>
      <c r="O596" s="2">
        <f t="shared" si="59"/>
        <v>3.1549999999999998</v>
      </c>
      <c r="P596" s="2">
        <f t="shared" si="60"/>
        <v>58.6</v>
      </c>
      <c r="Q596" s="2">
        <f t="shared" si="61"/>
        <v>0.30099999999999361</v>
      </c>
      <c r="R596" s="2">
        <f t="shared" si="62"/>
        <v>0.29301624405704607</v>
      </c>
      <c r="S596" s="2">
        <f t="shared" si="63"/>
        <v>7.9837559429475347E-3</v>
      </c>
    </row>
    <row r="597" spans="2:19" x14ac:dyDescent="0.25">
      <c r="B597" s="1">
        <f t="shared" si="64"/>
        <v>591</v>
      </c>
      <c r="C597" s="1">
        <v>980</v>
      </c>
      <c r="D597" s="13">
        <v>61.8</v>
      </c>
      <c r="E597" s="1" t="s">
        <v>11</v>
      </c>
      <c r="F597" s="2">
        <v>3.3849999999999998</v>
      </c>
      <c r="G597" s="1" t="s">
        <v>12</v>
      </c>
      <c r="H597" s="1" t="s">
        <v>13</v>
      </c>
      <c r="I597" s="1" t="s">
        <v>14</v>
      </c>
      <c r="J597" s="14">
        <v>0.37179398148148146</v>
      </c>
      <c r="K597" s="15">
        <v>45537</v>
      </c>
      <c r="M597" s="2">
        <v>3.2349999999999999</v>
      </c>
      <c r="O597" s="2">
        <f t="shared" si="59"/>
        <v>3.1599999999999997</v>
      </c>
      <c r="P597" s="2">
        <f t="shared" si="60"/>
        <v>58.606497622820918</v>
      </c>
      <c r="Q597" s="2">
        <f t="shared" si="61"/>
        <v>0.32175000000002169</v>
      </c>
      <c r="R597" s="2">
        <f t="shared" si="62"/>
        <v>0.29304873217117672</v>
      </c>
      <c r="S597" s="2">
        <f t="shared" si="63"/>
        <v>2.8701267828844967E-2</v>
      </c>
    </row>
    <row r="598" spans="2:19" x14ac:dyDescent="0.25">
      <c r="B598" s="1">
        <f t="shared" si="64"/>
        <v>592</v>
      </c>
      <c r="C598" s="1">
        <v>981</v>
      </c>
      <c r="D598" s="13">
        <v>66.900000000000006</v>
      </c>
      <c r="E598" s="1" t="s">
        <v>11</v>
      </c>
      <c r="F598" s="2">
        <v>3.39</v>
      </c>
      <c r="G598" s="1" t="s">
        <v>12</v>
      </c>
      <c r="H598" s="1" t="s">
        <v>13</v>
      </c>
      <c r="I598" s="1" t="s">
        <v>14</v>
      </c>
      <c r="J598" s="14">
        <v>0.37179398148148146</v>
      </c>
      <c r="K598" s="15">
        <v>45537</v>
      </c>
      <c r="M598" s="2">
        <v>3.24</v>
      </c>
      <c r="O598" s="2">
        <f t="shared" si="59"/>
        <v>3.165</v>
      </c>
      <c r="P598" s="2">
        <f t="shared" si="60"/>
        <v>58.612995245641841</v>
      </c>
      <c r="Q598" s="2">
        <f t="shared" si="61"/>
        <v>0.34549999999999259</v>
      </c>
      <c r="R598" s="2">
        <f t="shared" si="62"/>
        <v>0.29308122028525524</v>
      </c>
      <c r="S598" s="2">
        <f t="shared" si="63"/>
        <v>5.2418779714737351E-2</v>
      </c>
    </row>
    <row r="599" spans="2:19" x14ac:dyDescent="0.25">
      <c r="B599" s="1">
        <f t="shared" si="64"/>
        <v>593</v>
      </c>
      <c r="C599" s="1">
        <v>982</v>
      </c>
      <c r="D599" s="13">
        <v>71.3</v>
      </c>
      <c r="E599" s="1" t="s">
        <v>11</v>
      </c>
      <c r="F599" s="2">
        <v>3.395</v>
      </c>
      <c r="G599" s="1" t="s">
        <v>12</v>
      </c>
      <c r="H599" s="1" t="s">
        <v>13</v>
      </c>
      <c r="I599" s="1" t="s">
        <v>14</v>
      </c>
      <c r="J599" s="14">
        <v>0.37179398148148146</v>
      </c>
      <c r="K599" s="15">
        <v>45537</v>
      </c>
      <c r="M599" s="2">
        <v>3.2450000000000001</v>
      </c>
      <c r="O599" s="2">
        <f t="shared" si="59"/>
        <v>3.17</v>
      </c>
      <c r="P599" s="2">
        <f t="shared" si="60"/>
        <v>58.619492868462757</v>
      </c>
      <c r="Q599" s="2">
        <f t="shared" si="61"/>
        <v>0.36524999999999219</v>
      </c>
      <c r="R599" s="2">
        <f t="shared" si="62"/>
        <v>0.29311370839935985</v>
      </c>
      <c r="S599" s="2">
        <f t="shared" si="63"/>
        <v>7.2136291600632341E-2</v>
      </c>
    </row>
    <row r="600" spans="2:19" x14ac:dyDescent="0.25">
      <c r="B600" s="1">
        <f t="shared" si="64"/>
        <v>594</v>
      </c>
      <c r="C600" s="1">
        <v>983</v>
      </c>
      <c r="D600" s="13">
        <v>74.8</v>
      </c>
      <c r="E600" s="1" t="s">
        <v>11</v>
      </c>
      <c r="F600" s="2">
        <v>3.4</v>
      </c>
      <c r="G600" s="1" t="s">
        <v>12</v>
      </c>
      <c r="H600" s="1" t="s">
        <v>13</v>
      </c>
      <c r="I600" s="1" t="s">
        <v>14</v>
      </c>
      <c r="J600" s="14">
        <v>0.37179398148148146</v>
      </c>
      <c r="K600" s="15">
        <v>45537</v>
      </c>
      <c r="M600" s="2">
        <v>3.25</v>
      </c>
      <c r="O600" s="2">
        <f t="shared" si="59"/>
        <v>3.1749999999999998</v>
      </c>
      <c r="P600" s="2">
        <f t="shared" si="60"/>
        <v>58.62599049128368</v>
      </c>
      <c r="Q600" s="2">
        <f t="shared" si="61"/>
        <v>0.38974999999999166</v>
      </c>
      <c r="R600" s="2">
        <f t="shared" si="62"/>
        <v>0.29314619651346446</v>
      </c>
      <c r="S600" s="2">
        <f t="shared" si="63"/>
        <v>9.6603803486527196E-2</v>
      </c>
    </row>
    <row r="601" spans="2:19" x14ac:dyDescent="0.25">
      <c r="B601" s="1">
        <f t="shared" si="64"/>
        <v>595</v>
      </c>
      <c r="C601" s="1">
        <v>985</v>
      </c>
      <c r="D601" s="13">
        <v>81.099999999999994</v>
      </c>
      <c r="E601" s="1" t="s">
        <v>11</v>
      </c>
      <c r="F601" s="2">
        <v>3.4049999999999998</v>
      </c>
      <c r="G601" s="1" t="s">
        <v>12</v>
      </c>
      <c r="H601" s="1" t="s">
        <v>13</v>
      </c>
      <c r="I601" s="1" t="s">
        <v>14</v>
      </c>
      <c r="J601" s="14">
        <v>0.37180555555555556</v>
      </c>
      <c r="K601" s="15">
        <v>45537</v>
      </c>
      <c r="M601" s="2">
        <v>3.2549999999999999</v>
      </c>
      <c r="O601" s="2">
        <f t="shared" si="59"/>
        <v>3.1799999999999997</v>
      </c>
      <c r="P601" s="2">
        <f t="shared" si="60"/>
        <v>58.632488114104596</v>
      </c>
      <c r="Q601" s="2">
        <f t="shared" si="61"/>
        <v>0.41400000000002796</v>
      </c>
      <c r="R601" s="2">
        <f t="shared" si="62"/>
        <v>0.29317868462759511</v>
      </c>
      <c r="S601" s="2">
        <f t="shared" si="63"/>
        <v>0.12082131537243285</v>
      </c>
    </row>
    <row r="602" spans="2:19" x14ac:dyDescent="0.25">
      <c r="B602" s="1">
        <f t="shared" si="64"/>
        <v>596</v>
      </c>
      <c r="C602" s="1">
        <v>986</v>
      </c>
      <c r="D602" s="13">
        <v>84.5</v>
      </c>
      <c r="E602" s="1" t="s">
        <v>11</v>
      </c>
      <c r="F602" s="2">
        <v>3.41</v>
      </c>
      <c r="G602" s="1" t="s">
        <v>12</v>
      </c>
      <c r="H602" s="1" t="s">
        <v>13</v>
      </c>
      <c r="I602" s="1" t="s">
        <v>14</v>
      </c>
      <c r="J602" s="14">
        <v>0.37180555555555556</v>
      </c>
      <c r="K602" s="15">
        <v>45537</v>
      </c>
      <c r="M602" s="2">
        <v>3.2600000000000002</v>
      </c>
      <c r="O602" s="2">
        <f t="shared" si="59"/>
        <v>3.1850000000000001</v>
      </c>
      <c r="P602" s="2">
        <f t="shared" si="60"/>
        <v>58.63898573692552</v>
      </c>
      <c r="Q602" s="2">
        <f t="shared" si="61"/>
        <v>0.43799999999999062</v>
      </c>
      <c r="R602" s="2">
        <f t="shared" si="62"/>
        <v>0.29321117274167363</v>
      </c>
      <c r="S602" s="2">
        <f t="shared" si="63"/>
        <v>0.14478882725831699</v>
      </c>
    </row>
    <row r="603" spans="2:19" x14ac:dyDescent="0.25">
      <c r="B603" s="1">
        <f t="shared" si="64"/>
        <v>597</v>
      </c>
      <c r="C603" s="1">
        <v>988</v>
      </c>
      <c r="D603" s="13">
        <v>90.7</v>
      </c>
      <c r="E603" s="1" t="s">
        <v>11</v>
      </c>
      <c r="F603" s="2">
        <v>3.415</v>
      </c>
      <c r="G603" s="1" t="s">
        <v>12</v>
      </c>
      <c r="H603" s="1" t="s">
        <v>13</v>
      </c>
      <c r="I603" s="1" t="s">
        <v>14</v>
      </c>
      <c r="J603" s="14">
        <v>0.37180555555555556</v>
      </c>
      <c r="K603" s="15">
        <v>45537</v>
      </c>
      <c r="M603" s="2">
        <v>3.2650000000000001</v>
      </c>
      <c r="O603" s="2">
        <f t="shared" si="59"/>
        <v>3.19</v>
      </c>
      <c r="P603" s="2">
        <f t="shared" si="60"/>
        <v>58.645483359746436</v>
      </c>
      <c r="Q603" s="2">
        <f t="shared" si="61"/>
        <v>0.46324999999999017</v>
      </c>
      <c r="R603" s="2">
        <f t="shared" si="62"/>
        <v>0.29324366085577824</v>
      </c>
      <c r="S603" s="2">
        <f t="shared" si="63"/>
        <v>0.17000633914421193</v>
      </c>
    </row>
    <row r="604" spans="2:19" x14ac:dyDescent="0.25">
      <c r="B604" s="1">
        <f t="shared" si="64"/>
        <v>598</v>
      </c>
      <c r="C604" s="1">
        <v>990</v>
      </c>
      <c r="D604" s="13">
        <v>94.6</v>
      </c>
      <c r="E604" s="1" t="s">
        <v>11</v>
      </c>
      <c r="F604" s="2">
        <v>3.42</v>
      </c>
      <c r="G604" s="1" t="s">
        <v>12</v>
      </c>
      <c r="H604" s="1" t="s">
        <v>13</v>
      </c>
      <c r="I604" s="1" t="s">
        <v>14</v>
      </c>
      <c r="J604" s="14">
        <v>0.37180555555555556</v>
      </c>
      <c r="K604" s="15">
        <v>45537</v>
      </c>
      <c r="M604" s="2">
        <v>3.27</v>
      </c>
      <c r="O604" s="2">
        <f t="shared" si="59"/>
        <v>3.1949999999999998</v>
      </c>
      <c r="P604" s="2">
        <f t="shared" si="60"/>
        <v>58.651980982567352</v>
      </c>
      <c r="Q604" s="2">
        <f t="shared" si="61"/>
        <v>0.48724999999998958</v>
      </c>
      <c r="R604" s="2">
        <f t="shared" si="62"/>
        <v>0.2932761489698828</v>
      </c>
      <c r="S604" s="2">
        <f t="shared" si="63"/>
        <v>0.19397385103010678</v>
      </c>
    </row>
    <row r="605" spans="2:19" x14ac:dyDescent="0.25">
      <c r="B605" s="1">
        <f t="shared" si="64"/>
        <v>599</v>
      </c>
      <c r="C605" s="1">
        <v>992</v>
      </c>
      <c r="D605" s="13">
        <v>100.3</v>
      </c>
      <c r="E605" s="1" t="s">
        <v>11</v>
      </c>
      <c r="F605" s="2">
        <v>3.4249999999999998</v>
      </c>
      <c r="G605" s="1" t="s">
        <v>12</v>
      </c>
      <c r="H605" s="1" t="s">
        <v>13</v>
      </c>
      <c r="I605" s="1" t="s">
        <v>14</v>
      </c>
      <c r="J605" s="14">
        <v>0.37180555555555556</v>
      </c>
      <c r="K605" s="15">
        <v>45537</v>
      </c>
      <c r="M605" s="2">
        <v>3.2749999999999999</v>
      </c>
      <c r="O605" s="2">
        <f t="shared" si="59"/>
        <v>3.1999999999999997</v>
      </c>
      <c r="P605" s="2">
        <f t="shared" si="60"/>
        <v>58.658478605388275</v>
      </c>
      <c r="Q605" s="2">
        <f t="shared" si="61"/>
        <v>0.51800000000003499</v>
      </c>
      <c r="R605" s="2">
        <f t="shared" si="62"/>
        <v>0.29330863708401345</v>
      </c>
      <c r="S605" s="2">
        <f t="shared" si="63"/>
        <v>0.22469136291602154</v>
      </c>
    </row>
    <row r="606" spans="2:19" x14ac:dyDescent="0.25">
      <c r="B606" s="1">
        <f t="shared" si="64"/>
        <v>600</v>
      </c>
      <c r="C606" s="1">
        <v>994</v>
      </c>
      <c r="D606" s="13">
        <v>106.9</v>
      </c>
      <c r="E606" s="1" t="s">
        <v>11</v>
      </c>
      <c r="F606" s="2">
        <v>3.43</v>
      </c>
      <c r="G606" s="1" t="s">
        <v>12</v>
      </c>
      <c r="H606" s="1" t="s">
        <v>13</v>
      </c>
      <c r="I606" s="1" t="s">
        <v>14</v>
      </c>
      <c r="J606" s="14">
        <v>0.37181712962962965</v>
      </c>
      <c r="K606" s="15">
        <v>45537</v>
      </c>
      <c r="M606" s="2">
        <v>3.2800000000000002</v>
      </c>
      <c r="O606" s="2">
        <f t="shared" si="59"/>
        <v>3.2050000000000001</v>
      </c>
      <c r="P606" s="2">
        <f t="shared" si="60"/>
        <v>58.664976228209191</v>
      </c>
      <c r="Q606" s="2">
        <f t="shared" si="61"/>
        <v>0.54149999999998855</v>
      </c>
      <c r="R606" s="2">
        <f t="shared" si="62"/>
        <v>0.29334112519809202</v>
      </c>
      <c r="S606" s="2">
        <f t="shared" si="63"/>
        <v>0.24815887480189652</v>
      </c>
    </row>
    <row r="607" spans="2:19" x14ac:dyDescent="0.25">
      <c r="B607" s="1">
        <f t="shared" si="64"/>
        <v>601</v>
      </c>
      <c r="C607" s="1">
        <v>995</v>
      </c>
      <c r="D607" s="13">
        <v>109.7</v>
      </c>
      <c r="E607" s="1" t="s">
        <v>11</v>
      </c>
      <c r="F607" s="2">
        <v>3.4350000000000001</v>
      </c>
      <c r="G607" s="1" t="s">
        <v>12</v>
      </c>
      <c r="H607" s="1" t="s">
        <v>13</v>
      </c>
      <c r="I607" s="1" t="s">
        <v>14</v>
      </c>
      <c r="J607" s="14">
        <v>0.37181712962962965</v>
      </c>
      <c r="K607" s="15">
        <v>45537</v>
      </c>
      <c r="M607" s="2">
        <v>3.2850000000000001</v>
      </c>
      <c r="O607" s="2">
        <f t="shared" si="59"/>
        <v>3.21</v>
      </c>
      <c r="P607" s="2">
        <f t="shared" si="60"/>
        <v>58.671473851030115</v>
      </c>
      <c r="Q607" s="2">
        <f t="shared" si="61"/>
        <v>0.56049999999998801</v>
      </c>
      <c r="R607" s="2">
        <f t="shared" si="62"/>
        <v>0.29337361331219663</v>
      </c>
      <c r="S607" s="2">
        <f t="shared" si="63"/>
        <v>0.26712638668779137</v>
      </c>
    </row>
    <row r="608" spans="2:19" x14ac:dyDescent="0.25">
      <c r="B608" s="1">
        <f t="shared" si="64"/>
        <v>602</v>
      </c>
      <c r="C608" s="1">
        <v>997</v>
      </c>
      <c r="D608" s="13">
        <v>114.5</v>
      </c>
      <c r="E608" s="1" t="s">
        <v>11</v>
      </c>
      <c r="F608" s="2">
        <v>3.44</v>
      </c>
      <c r="G608" s="1" t="s">
        <v>12</v>
      </c>
      <c r="H608" s="1" t="s">
        <v>13</v>
      </c>
      <c r="I608" s="1" t="s">
        <v>14</v>
      </c>
      <c r="J608" s="14">
        <v>0.37181712962962965</v>
      </c>
      <c r="K608" s="15">
        <v>45537</v>
      </c>
      <c r="M608" s="2">
        <v>3.29</v>
      </c>
      <c r="O608" s="2">
        <f t="shared" si="59"/>
        <v>3.2149999999999999</v>
      </c>
      <c r="P608" s="2">
        <f t="shared" si="60"/>
        <v>58.677971473851031</v>
      </c>
      <c r="Q608" s="2">
        <f t="shared" si="61"/>
        <v>0.58999999999998742</v>
      </c>
      <c r="R608" s="2">
        <f t="shared" si="62"/>
        <v>0.29340610142630119</v>
      </c>
      <c r="S608" s="2">
        <f t="shared" si="63"/>
        <v>0.29659389857368623</v>
      </c>
    </row>
    <row r="609" spans="2:19" x14ac:dyDescent="0.25">
      <c r="B609" s="1">
        <f t="shared" si="64"/>
        <v>603</v>
      </c>
      <c r="C609" s="1">
        <v>999</v>
      </c>
      <c r="D609" s="13">
        <v>121.5</v>
      </c>
      <c r="E609" s="1" t="s">
        <v>11</v>
      </c>
      <c r="F609" s="2">
        <v>3.4449999999999998</v>
      </c>
      <c r="G609" s="1" t="s">
        <v>12</v>
      </c>
      <c r="H609" s="1" t="s">
        <v>13</v>
      </c>
      <c r="I609" s="1" t="s">
        <v>14</v>
      </c>
      <c r="J609" s="14">
        <v>0.37181712962962965</v>
      </c>
      <c r="K609" s="15">
        <v>45537</v>
      </c>
      <c r="M609" s="2">
        <v>3.2949999999999999</v>
      </c>
      <c r="O609" s="2">
        <f t="shared" si="59"/>
        <v>3.2199999999999998</v>
      </c>
      <c r="P609" s="2">
        <f t="shared" si="60"/>
        <v>58.684469096671947</v>
      </c>
      <c r="Q609" s="2">
        <f t="shared" si="61"/>
        <v>0.61650000000004157</v>
      </c>
      <c r="R609" s="2">
        <f t="shared" si="62"/>
        <v>0.29343858954043184</v>
      </c>
      <c r="S609" s="2">
        <f t="shared" si="63"/>
        <v>0.32306141045960973</v>
      </c>
    </row>
    <row r="610" spans="2:19" x14ac:dyDescent="0.25">
      <c r="B610" s="1">
        <f t="shared" si="64"/>
        <v>604</v>
      </c>
      <c r="C610" s="1">
        <v>1000</v>
      </c>
      <c r="D610" s="13">
        <v>125.1</v>
      </c>
      <c r="E610" s="1" t="s">
        <v>11</v>
      </c>
      <c r="F610" s="2">
        <v>3.45</v>
      </c>
      <c r="G610" s="1" t="s">
        <v>12</v>
      </c>
      <c r="H610" s="1" t="s">
        <v>13</v>
      </c>
      <c r="I610" s="1" t="s">
        <v>14</v>
      </c>
      <c r="J610" s="14">
        <v>0.37181712962962965</v>
      </c>
      <c r="K610" s="15">
        <v>45537</v>
      </c>
      <c r="M610" s="2">
        <v>3.3000000000000003</v>
      </c>
      <c r="O610" s="2">
        <f t="shared" si="59"/>
        <v>3.2250000000000001</v>
      </c>
      <c r="P610" s="2">
        <f t="shared" si="60"/>
        <v>58.69096671949287</v>
      </c>
      <c r="Q610" s="2">
        <f t="shared" si="61"/>
        <v>0.63774999999998638</v>
      </c>
      <c r="R610" s="2">
        <f t="shared" si="62"/>
        <v>0.29347107765451041</v>
      </c>
      <c r="S610" s="2">
        <f t="shared" si="63"/>
        <v>0.34427892234547597</v>
      </c>
    </row>
    <row r="611" spans="2:19" x14ac:dyDescent="0.25">
      <c r="B611" s="1">
        <f t="shared" si="64"/>
        <v>605</v>
      </c>
      <c r="C611" s="1">
        <v>1002</v>
      </c>
      <c r="D611" s="13">
        <v>130</v>
      </c>
      <c r="E611" s="1" t="s">
        <v>11</v>
      </c>
      <c r="F611" s="2">
        <v>3.4550000000000001</v>
      </c>
      <c r="G611" s="1" t="s">
        <v>12</v>
      </c>
      <c r="H611" s="1" t="s">
        <v>13</v>
      </c>
      <c r="I611" s="1" t="s">
        <v>14</v>
      </c>
      <c r="J611" s="14">
        <v>0.37181712962962965</v>
      </c>
      <c r="K611" s="15">
        <v>45537</v>
      </c>
      <c r="M611" s="2">
        <v>3.3050000000000002</v>
      </c>
      <c r="O611" s="2">
        <f t="shared" si="59"/>
        <v>3.23</v>
      </c>
      <c r="P611" s="2">
        <f t="shared" si="60"/>
        <v>58.697464342313793</v>
      </c>
      <c r="Q611" s="2">
        <f t="shared" si="61"/>
        <v>0.66399999999998593</v>
      </c>
      <c r="R611" s="2">
        <f t="shared" si="62"/>
        <v>0.29350356576861503</v>
      </c>
      <c r="S611" s="2">
        <f t="shared" si="63"/>
        <v>0.37049643423137091</v>
      </c>
    </row>
    <row r="612" spans="2:19" x14ac:dyDescent="0.25">
      <c r="B612" s="1">
        <f t="shared" si="64"/>
        <v>606</v>
      </c>
      <c r="C612" s="1">
        <v>1004</v>
      </c>
      <c r="D612" s="13">
        <v>135.6</v>
      </c>
      <c r="E612" s="1" t="s">
        <v>11</v>
      </c>
      <c r="F612" s="2">
        <v>3.46</v>
      </c>
      <c r="G612" s="1" t="s">
        <v>12</v>
      </c>
      <c r="H612" s="1" t="s">
        <v>13</v>
      </c>
      <c r="I612" s="1" t="s">
        <v>14</v>
      </c>
      <c r="J612" s="14">
        <v>0.37182870370370369</v>
      </c>
      <c r="K612" s="15">
        <v>45537</v>
      </c>
      <c r="M612" s="2">
        <v>3.31</v>
      </c>
      <c r="O612" s="2">
        <f t="shared" si="59"/>
        <v>3.2349999999999999</v>
      </c>
      <c r="P612" s="2">
        <f t="shared" si="60"/>
        <v>58.70396196513471</v>
      </c>
      <c r="Q612" s="2">
        <f t="shared" si="61"/>
        <v>0.69274999999998532</v>
      </c>
      <c r="R612" s="2">
        <f t="shared" si="62"/>
        <v>0.29353605388271958</v>
      </c>
      <c r="S612" s="2">
        <f t="shared" si="63"/>
        <v>0.39921394611726574</v>
      </c>
    </row>
    <row r="613" spans="2:19" x14ac:dyDescent="0.25">
      <c r="B613" s="1">
        <f t="shared" si="64"/>
        <v>607</v>
      </c>
      <c r="C613" s="1">
        <v>1006</v>
      </c>
      <c r="D613" s="13">
        <v>141.5</v>
      </c>
      <c r="E613" s="1" t="s">
        <v>11</v>
      </c>
      <c r="F613" s="2">
        <v>3.4649999999999999</v>
      </c>
      <c r="G613" s="1" t="s">
        <v>12</v>
      </c>
      <c r="H613" s="1" t="s">
        <v>13</v>
      </c>
      <c r="I613" s="1" t="s">
        <v>14</v>
      </c>
      <c r="J613" s="14">
        <v>0.37182870370370369</v>
      </c>
      <c r="K613" s="15">
        <v>45537</v>
      </c>
      <c r="M613" s="2">
        <v>3.3149999999999999</v>
      </c>
      <c r="O613" s="2">
        <f t="shared" si="59"/>
        <v>3.2399999999999998</v>
      </c>
      <c r="P613" s="2">
        <f t="shared" si="60"/>
        <v>58.710459587955626</v>
      </c>
      <c r="Q613" s="2">
        <f t="shared" si="61"/>
        <v>0.72525000000004902</v>
      </c>
      <c r="R613" s="2">
        <f t="shared" si="62"/>
        <v>0.29356854199685023</v>
      </c>
      <c r="S613" s="2">
        <f t="shared" si="63"/>
        <v>0.43168145800319879</v>
      </c>
    </row>
    <row r="614" spans="2:19" x14ac:dyDescent="0.25">
      <c r="B614" s="1">
        <f t="shared" si="64"/>
        <v>608</v>
      </c>
      <c r="C614" s="1">
        <v>1008</v>
      </c>
      <c r="D614" s="13">
        <v>148.6</v>
      </c>
      <c r="E614" s="1" t="s">
        <v>11</v>
      </c>
      <c r="F614" s="2">
        <v>3.47</v>
      </c>
      <c r="G614" s="1" t="s">
        <v>12</v>
      </c>
      <c r="H614" s="1" t="s">
        <v>13</v>
      </c>
      <c r="I614" s="1" t="s">
        <v>14</v>
      </c>
      <c r="J614" s="14">
        <v>0.37182870370370369</v>
      </c>
      <c r="K614" s="15">
        <v>45537</v>
      </c>
      <c r="M614" s="2">
        <v>3.3200000000000003</v>
      </c>
      <c r="O614" s="2">
        <f t="shared" si="59"/>
        <v>3.2450000000000001</v>
      </c>
      <c r="P614" s="2">
        <f t="shared" si="60"/>
        <v>58.716957210776549</v>
      </c>
      <c r="Q614" s="2">
        <f t="shared" si="61"/>
        <v>0.74999999999998401</v>
      </c>
      <c r="R614" s="2">
        <f t="shared" si="62"/>
        <v>0.29360103011092875</v>
      </c>
      <c r="S614" s="2">
        <f t="shared" si="63"/>
        <v>0.45639896988905526</v>
      </c>
    </row>
    <row r="615" spans="2:19" x14ac:dyDescent="0.25">
      <c r="B615" s="1">
        <f t="shared" si="64"/>
        <v>609</v>
      </c>
      <c r="C615" s="1">
        <v>1009</v>
      </c>
      <c r="D615" s="13">
        <v>151.4</v>
      </c>
      <c r="E615" s="1" t="s">
        <v>11</v>
      </c>
      <c r="F615" s="2">
        <v>3.4750000000000001</v>
      </c>
      <c r="G615" s="1" t="s">
        <v>12</v>
      </c>
      <c r="H615" s="1" t="s">
        <v>13</v>
      </c>
      <c r="I615" s="1" t="s">
        <v>14</v>
      </c>
      <c r="J615" s="14">
        <v>0.37182870370370369</v>
      </c>
      <c r="K615" s="15">
        <v>45537</v>
      </c>
      <c r="M615" s="2">
        <v>3.3250000000000002</v>
      </c>
      <c r="O615" s="2">
        <f t="shared" si="59"/>
        <v>3.25</v>
      </c>
      <c r="P615" s="2">
        <f t="shared" si="60"/>
        <v>58.723454833597465</v>
      </c>
      <c r="Q615" s="2">
        <f t="shared" si="61"/>
        <v>0.7679999999999837</v>
      </c>
      <c r="R615" s="2">
        <f t="shared" si="62"/>
        <v>0.29363351822503342</v>
      </c>
      <c r="S615" s="2">
        <f t="shared" si="63"/>
        <v>0.47436648177495028</v>
      </c>
    </row>
    <row r="616" spans="2:19" x14ac:dyDescent="0.25">
      <c r="B616" s="1">
        <f t="shared" si="64"/>
        <v>610</v>
      </c>
      <c r="C616" s="1">
        <v>1011</v>
      </c>
      <c r="D616" s="13">
        <v>155.80000000000001</v>
      </c>
      <c r="E616" s="1" t="s">
        <v>11</v>
      </c>
      <c r="F616" s="2">
        <v>3.48</v>
      </c>
      <c r="G616" s="1" t="s">
        <v>12</v>
      </c>
      <c r="H616" s="1" t="s">
        <v>13</v>
      </c>
      <c r="I616" s="1" t="s">
        <v>14</v>
      </c>
      <c r="J616" s="14">
        <v>0.37182870370370369</v>
      </c>
      <c r="K616" s="15">
        <v>45537</v>
      </c>
      <c r="M616" s="2">
        <v>3.33</v>
      </c>
      <c r="O616" s="2">
        <f t="shared" si="59"/>
        <v>3.2549999999999999</v>
      </c>
      <c r="P616" s="2">
        <f t="shared" si="60"/>
        <v>58.729952456418388</v>
      </c>
      <c r="Q616" s="2">
        <f t="shared" si="61"/>
        <v>0.79424999999998314</v>
      </c>
      <c r="R616" s="2">
        <f t="shared" si="62"/>
        <v>0.29366600633913797</v>
      </c>
      <c r="S616" s="2">
        <f t="shared" si="63"/>
        <v>0.50058399366084516</v>
      </c>
    </row>
    <row r="617" spans="2:19" x14ac:dyDescent="0.25">
      <c r="B617" s="1">
        <f t="shared" si="64"/>
        <v>611</v>
      </c>
      <c r="C617" s="1">
        <v>1014</v>
      </c>
      <c r="D617" s="13">
        <v>161.9</v>
      </c>
      <c r="E617" s="1" t="s">
        <v>11</v>
      </c>
      <c r="F617" s="2">
        <v>3.4849999999999999</v>
      </c>
      <c r="G617" s="1" t="s">
        <v>12</v>
      </c>
      <c r="H617" s="1" t="s">
        <v>13</v>
      </c>
      <c r="I617" s="1" t="s">
        <v>14</v>
      </c>
      <c r="J617" s="14">
        <v>0.37184027777777778</v>
      </c>
      <c r="K617" s="15">
        <v>45537</v>
      </c>
      <c r="M617" s="2">
        <v>3.335</v>
      </c>
      <c r="O617" s="2">
        <f t="shared" si="59"/>
        <v>3.26</v>
      </c>
      <c r="P617" s="2">
        <f t="shared" si="60"/>
        <v>58.736450079239305</v>
      </c>
      <c r="Q617" s="2">
        <f t="shared" si="61"/>
        <v>0.8227500000000556</v>
      </c>
      <c r="R617" s="2">
        <f t="shared" si="62"/>
        <v>0.29369849445326862</v>
      </c>
      <c r="S617" s="2">
        <f t="shared" si="63"/>
        <v>0.52905150554678704</v>
      </c>
    </row>
    <row r="618" spans="2:19" x14ac:dyDescent="0.25">
      <c r="B618" s="1">
        <f t="shared" si="64"/>
        <v>612</v>
      </c>
      <c r="C618" s="1">
        <v>1017</v>
      </c>
      <c r="D618" s="13">
        <v>167.2</v>
      </c>
      <c r="E618" s="1" t="s">
        <v>11</v>
      </c>
      <c r="F618" s="2">
        <v>3.49</v>
      </c>
      <c r="G618" s="1" t="s">
        <v>12</v>
      </c>
      <c r="H618" s="1" t="s">
        <v>13</v>
      </c>
      <c r="I618" s="1" t="s">
        <v>14</v>
      </c>
      <c r="J618" s="14">
        <v>0.37184027777777778</v>
      </c>
      <c r="K618" s="15">
        <v>45537</v>
      </c>
      <c r="M618" s="2">
        <v>3.3400000000000003</v>
      </c>
      <c r="O618" s="2">
        <f t="shared" si="59"/>
        <v>3.2650000000000001</v>
      </c>
      <c r="P618" s="2">
        <f t="shared" si="60"/>
        <v>58.742947702060221</v>
      </c>
      <c r="Q618" s="2">
        <f t="shared" si="61"/>
        <v>-279.22399999999999</v>
      </c>
      <c r="R618" s="2">
        <f t="shared" si="62"/>
        <v>-188.95295721077656</v>
      </c>
      <c r="S618" s="2">
        <f t="shared" si="63"/>
        <v>-90.271042789223429</v>
      </c>
    </row>
    <row r="619" spans="2:19" x14ac:dyDescent="0.25">
      <c r="B619" s="1">
        <f t="shared" si="64"/>
        <v>613</v>
      </c>
      <c r="O619" s="2">
        <f t="shared" si="59"/>
        <v>-7.4999999999999997E-2</v>
      </c>
      <c r="P619" s="2">
        <f t="shared" si="60"/>
        <v>54.402535657686215</v>
      </c>
      <c r="Q619" s="2">
        <f t="shared" si="61"/>
        <v>0</v>
      </c>
      <c r="R619" s="2">
        <f t="shared" si="62"/>
        <v>0</v>
      </c>
      <c r="S619" s="2">
        <f t="shared" si="63"/>
        <v>0</v>
      </c>
    </row>
    <row r="620" spans="2:19" x14ac:dyDescent="0.25">
      <c r="B620" s="1">
        <f t="shared" si="64"/>
        <v>614</v>
      </c>
      <c r="O620" s="2">
        <f t="shared" si="59"/>
        <v>-7.4999999999999997E-2</v>
      </c>
      <c r="P620" s="2">
        <f t="shared" si="60"/>
        <v>54.402535657686215</v>
      </c>
      <c r="Q620" s="2">
        <f t="shared" si="61"/>
        <v>0</v>
      </c>
      <c r="R620" s="2">
        <f t="shared" si="62"/>
        <v>0</v>
      </c>
      <c r="S620" s="2">
        <f t="shared" si="63"/>
        <v>0</v>
      </c>
    </row>
    <row r="621" spans="2:19" x14ac:dyDescent="0.25">
      <c r="B621" s="1">
        <f t="shared" si="64"/>
        <v>615</v>
      </c>
      <c r="O621" s="2">
        <f t="shared" si="59"/>
        <v>-7.4999999999999997E-2</v>
      </c>
      <c r="P621" s="2">
        <f t="shared" si="60"/>
        <v>54.402535657686215</v>
      </c>
      <c r="Q621" s="2">
        <f t="shared" si="61"/>
        <v>0</v>
      </c>
      <c r="R621" s="2">
        <f t="shared" si="62"/>
        <v>0</v>
      </c>
      <c r="S621" s="2">
        <f t="shared" si="63"/>
        <v>0</v>
      </c>
    </row>
    <row r="622" spans="2:19" x14ac:dyDescent="0.25">
      <c r="B622" s="1">
        <f t="shared" si="64"/>
        <v>616</v>
      </c>
      <c r="O622" s="2">
        <f t="shared" si="59"/>
        <v>-7.4999999999999997E-2</v>
      </c>
      <c r="P622" s="2">
        <f t="shared" si="60"/>
        <v>54.402535657686215</v>
      </c>
      <c r="Q622" s="2">
        <f t="shared" si="61"/>
        <v>0</v>
      </c>
      <c r="R622" s="2">
        <f t="shared" si="62"/>
        <v>0</v>
      </c>
      <c r="S622" s="2">
        <f t="shared" si="63"/>
        <v>0</v>
      </c>
    </row>
    <row r="623" spans="2:19" x14ac:dyDescent="0.25">
      <c r="B623" s="1">
        <f t="shared" si="64"/>
        <v>617</v>
      </c>
      <c r="O623" s="2">
        <f t="shared" si="59"/>
        <v>-7.4999999999999997E-2</v>
      </c>
      <c r="P623" s="2">
        <f t="shared" si="60"/>
        <v>54.402535657686215</v>
      </c>
      <c r="Q623" s="2">
        <f t="shared" si="61"/>
        <v>0</v>
      </c>
      <c r="R623" s="2">
        <f t="shared" si="62"/>
        <v>0</v>
      </c>
      <c r="S623" s="2">
        <f t="shared" si="63"/>
        <v>0</v>
      </c>
    </row>
    <row r="624" spans="2:19" x14ac:dyDescent="0.25">
      <c r="B624" s="1">
        <f t="shared" si="64"/>
        <v>618</v>
      </c>
      <c r="O624" s="2">
        <f t="shared" si="59"/>
        <v>-7.4999999999999997E-2</v>
      </c>
      <c r="P624" s="2">
        <f t="shared" si="60"/>
        <v>54.402535657686215</v>
      </c>
      <c r="Q624" s="2">
        <f t="shared" si="61"/>
        <v>0</v>
      </c>
      <c r="R624" s="2">
        <f t="shared" si="62"/>
        <v>0</v>
      </c>
      <c r="S624" s="2">
        <f t="shared" si="63"/>
        <v>0</v>
      </c>
    </row>
    <row r="625" spans="2:19" x14ac:dyDescent="0.25">
      <c r="B625" s="1">
        <f t="shared" si="64"/>
        <v>619</v>
      </c>
      <c r="O625" s="2">
        <f t="shared" si="59"/>
        <v>-7.4999999999999997E-2</v>
      </c>
      <c r="P625" s="2">
        <f t="shared" si="60"/>
        <v>54.402535657686215</v>
      </c>
      <c r="Q625" s="2">
        <f t="shared" si="61"/>
        <v>0</v>
      </c>
      <c r="R625" s="2">
        <f t="shared" si="62"/>
        <v>0</v>
      </c>
      <c r="S625" s="2">
        <f t="shared" si="63"/>
        <v>0</v>
      </c>
    </row>
    <row r="626" spans="2:19" x14ac:dyDescent="0.25">
      <c r="B626" s="1">
        <f t="shared" si="64"/>
        <v>620</v>
      </c>
      <c r="O626" s="2">
        <f t="shared" si="59"/>
        <v>-7.4999999999999997E-2</v>
      </c>
      <c r="P626" s="2">
        <f t="shared" si="60"/>
        <v>54.402535657686215</v>
      </c>
      <c r="Q626" s="2">
        <f t="shared" si="61"/>
        <v>0</v>
      </c>
      <c r="R626" s="2">
        <f t="shared" si="62"/>
        <v>0</v>
      </c>
      <c r="S626" s="2">
        <f t="shared" si="63"/>
        <v>0</v>
      </c>
    </row>
    <row r="627" spans="2:19" x14ac:dyDescent="0.25">
      <c r="B627" s="1">
        <f t="shared" si="64"/>
        <v>621</v>
      </c>
      <c r="O627" s="2">
        <f t="shared" si="59"/>
        <v>-7.4999999999999997E-2</v>
      </c>
      <c r="P627" s="2">
        <f t="shared" si="60"/>
        <v>54.402535657686215</v>
      </c>
      <c r="Q627" s="2">
        <f t="shared" si="61"/>
        <v>0</v>
      </c>
      <c r="R627" s="2">
        <f t="shared" si="62"/>
        <v>0</v>
      </c>
      <c r="S627" s="2">
        <f t="shared" si="63"/>
        <v>0</v>
      </c>
    </row>
    <row r="628" spans="2:19" x14ac:dyDescent="0.25">
      <c r="B628" s="1">
        <f t="shared" si="64"/>
        <v>622</v>
      </c>
      <c r="O628" s="2">
        <f t="shared" si="59"/>
        <v>-7.4999999999999997E-2</v>
      </c>
      <c r="P628" s="2">
        <f t="shared" si="60"/>
        <v>54.402535657686215</v>
      </c>
      <c r="Q628" s="2">
        <f t="shared" si="61"/>
        <v>0</v>
      </c>
      <c r="R628" s="2">
        <f t="shared" si="62"/>
        <v>0</v>
      </c>
      <c r="S628" s="2">
        <f t="shared" si="63"/>
        <v>0</v>
      </c>
    </row>
    <row r="629" spans="2:19" x14ac:dyDescent="0.25">
      <c r="B629" s="1">
        <f t="shared" si="64"/>
        <v>623</v>
      </c>
      <c r="O629" s="2">
        <f t="shared" si="59"/>
        <v>-7.4999999999999997E-2</v>
      </c>
      <c r="P629" s="2">
        <f t="shared" si="60"/>
        <v>54.402535657686215</v>
      </c>
      <c r="Q629" s="2">
        <f t="shared" si="61"/>
        <v>0</v>
      </c>
      <c r="R629" s="2">
        <f t="shared" si="62"/>
        <v>0</v>
      </c>
      <c r="S629" s="2">
        <f t="shared" si="63"/>
        <v>0</v>
      </c>
    </row>
    <row r="630" spans="2:19" x14ac:dyDescent="0.25">
      <c r="B630" s="1">
        <f t="shared" si="64"/>
        <v>624</v>
      </c>
      <c r="O630" s="2">
        <f t="shared" si="59"/>
        <v>-7.4999999999999997E-2</v>
      </c>
      <c r="P630" s="2">
        <f t="shared" si="60"/>
        <v>54.402535657686215</v>
      </c>
      <c r="Q630" s="2">
        <f t="shared" si="61"/>
        <v>0</v>
      </c>
      <c r="R630" s="2">
        <f t="shared" si="62"/>
        <v>0</v>
      </c>
      <c r="S630" s="2">
        <f t="shared" si="63"/>
        <v>0</v>
      </c>
    </row>
    <row r="631" spans="2:19" x14ac:dyDescent="0.25">
      <c r="B631" s="1">
        <f t="shared" si="64"/>
        <v>625</v>
      </c>
      <c r="O631" s="2">
        <f t="shared" si="59"/>
        <v>-7.4999999999999997E-2</v>
      </c>
      <c r="P631" s="2">
        <f t="shared" si="60"/>
        <v>54.402535657686215</v>
      </c>
      <c r="Q631" s="2">
        <f t="shared" si="61"/>
        <v>0</v>
      </c>
      <c r="R631" s="2">
        <f t="shared" si="62"/>
        <v>0</v>
      </c>
      <c r="S631" s="2">
        <f t="shared" si="63"/>
        <v>0</v>
      </c>
    </row>
    <row r="632" spans="2:19" x14ac:dyDescent="0.25">
      <c r="B632" s="1">
        <f t="shared" si="64"/>
        <v>626</v>
      </c>
      <c r="O632" s="2">
        <f t="shared" si="59"/>
        <v>-7.4999999999999997E-2</v>
      </c>
      <c r="P632" s="2">
        <f t="shared" si="60"/>
        <v>54.402535657686215</v>
      </c>
      <c r="Q632" s="2">
        <f t="shared" si="61"/>
        <v>0</v>
      </c>
      <c r="R632" s="2">
        <f t="shared" si="62"/>
        <v>0</v>
      </c>
      <c r="S632" s="2">
        <f t="shared" si="63"/>
        <v>0</v>
      </c>
    </row>
    <row r="633" spans="2:19" x14ac:dyDescent="0.25">
      <c r="B633" s="1">
        <f t="shared" si="64"/>
        <v>627</v>
      </c>
      <c r="O633" s="2">
        <f t="shared" si="59"/>
        <v>-7.4999999999999997E-2</v>
      </c>
      <c r="P633" s="2">
        <f t="shared" si="60"/>
        <v>54.402535657686215</v>
      </c>
      <c r="Q633" s="2">
        <f t="shared" si="61"/>
        <v>0</v>
      </c>
      <c r="R633" s="2">
        <f t="shared" si="62"/>
        <v>0</v>
      </c>
      <c r="S633" s="2">
        <f t="shared" si="63"/>
        <v>0</v>
      </c>
    </row>
    <row r="634" spans="2:19" x14ac:dyDescent="0.25">
      <c r="B634" s="1">
        <f t="shared" si="64"/>
        <v>628</v>
      </c>
      <c r="O634" s="2">
        <f t="shared" si="59"/>
        <v>-7.4999999999999997E-2</v>
      </c>
      <c r="P634" s="2">
        <f t="shared" si="60"/>
        <v>54.402535657686215</v>
      </c>
      <c r="Q634" s="2">
        <f t="shared" si="61"/>
        <v>0</v>
      </c>
      <c r="R634" s="2">
        <f t="shared" si="62"/>
        <v>0</v>
      </c>
      <c r="S634" s="2">
        <f t="shared" si="63"/>
        <v>0</v>
      </c>
    </row>
    <row r="635" spans="2:19" x14ac:dyDescent="0.25">
      <c r="B635" s="1">
        <f t="shared" si="64"/>
        <v>629</v>
      </c>
      <c r="O635" s="2">
        <f t="shared" si="59"/>
        <v>-7.4999999999999997E-2</v>
      </c>
      <c r="P635" s="2">
        <f t="shared" si="60"/>
        <v>54.402535657686215</v>
      </c>
      <c r="Q635" s="2">
        <f t="shared" si="61"/>
        <v>0</v>
      </c>
      <c r="R635" s="2">
        <f t="shared" si="62"/>
        <v>0</v>
      </c>
      <c r="S635" s="2">
        <f t="shared" si="63"/>
        <v>0</v>
      </c>
    </row>
    <row r="636" spans="2:19" x14ac:dyDescent="0.25">
      <c r="B636" s="1">
        <f t="shared" si="64"/>
        <v>630</v>
      </c>
      <c r="O636" s="2">
        <f t="shared" si="59"/>
        <v>-7.4999999999999997E-2</v>
      </c>
      <c r="P636" s="2">
        <f t="shared" si="60"/>
        <v>54.402535657686215</v>
      </c>
      <c r="Q636" s="2">
        <f t="shared" si="61"/>
        <v>0</v>
      </c>
      <c r="R636" s="2">
        <f t="shared" si="62"/>
        <v>0</v>
      </c>
      <c r="S636" s="2">
        <f t="shared" si="63"/>
        <v>0</v>
      </c>
    </row>
    <row r="637" spans="2:19" x14ac:dyDescent="0.25">
      <c r="B637" s="1">
        <f t="shared" si="64"/>
        <v>631</v>
      </c>
      <c r="O637" s="2">
        <f t="shared" si="59"/>
        <v>-7.4999999999999997E-2</v>
      </c>
      <c r="P637" s="2">
        <f t="shared" si="60"/>
        <v>54.402535657686215</v>
      </c>
      <c r="Q637" s="2">
        <f t="shared" si="61"/>
        <v>0</v>
      </c>
      <c r="R637" s="2">
        <f t="shared" si="62"/>
        <v>0</v>
      </c>
      <c r="S637" s="2">
        <f t="shared" si="63"/>
        <v>0</v>
      </c>
    </row>
    <row r="638" spans="2:19" x14ac:dyDescent="0.25">
      <c r="B638" s="1">
        <f t="shared" si="64"/>
        <v>632</v>
      </c>
      <c r="O638" s="2">
        <f t="shared" si="59"/>
        <v>-7.4999999999999997E-2</v>
      </c>
      <c r="P638" s="2">
        <f t="shared" si="60"/>
        <v>54.402535657686215</v>
      </c>
      <c r="Q638" s="2">
        <f t="shared" si="61"/>
        <v>0</v>
      </c>
      <c r="R638" s="2">
        <f t="shared" si="62"/>
        <v>0</v>
      </c>
      <c r="S638" s="2">
        <f t="shared" si="63"/>
        <v>0</v>
      </c>
    </row>
    <row r="639" spans="2:19" x14ac:dyDescent="0.25">
      <c r="B639" s="1">
        <f t="shared" si="64"/>
        <v>633</v>
      </c>
      <c r="O639" s="2">
        <f t="shared" si="59"/>
        <v>-7.4999999999999997E-2</v>
      </c>
      <c r="P639" s="2">
        <f t="shared" si="60"/>
        <v>54.402535657686215</v>
      </c>
      <c r="Q639" s="2">
        <f t="shared" si="61"/>
        <v>0</v>
      </c>
      <c r="R639" s="2">
        <f t="shared" si="62"/>
        <v>0</v>
      </c>
      <c r="S639" s="2">
        <f t="shared" si="63"/>
        <v>0</v>
      </c>
    </row>
    <row r="640" spans="2:19" x14ac:dyDescent="0.25">
      <c r="B640" s="1">
        <f t="shared" si="64"/>
        <v>634</v>
      </c>
      <c r="O640" s="2">
        <f t="shared" si="59"/>
        <v>-7.4999999999999997E-2</v>
      </c>
      <c r="P640" s="2">
        <f t="shared" si="60"/>
        <v>54.402535657686215</v>
      </c>
      <c r="Q640" s="2">
        <f t="shared" si="61"/>
        <v>0</v>
      </c>
      <c r="R640" s="2">
        <f t="shared" si="62"/>
        <v>0</v>
      </c>
      <c r="S640" s="2">
        <f t="shared" si="63"/>
        <v>0</v>
      </c>
    </row>
    <row r="641" spans="2:19" x14ac:dyDescent="0.25">
      <c r="B641" s="1">
        <f t="shared" si="64"/>
        <v>635</v>
      </c>
      <c r="O641" s="2">
        <f t="shared" si="59"/>
        <v>-7.4999999999999997E-2</v>
      </c>
      <c r="P641" s="2">
        <f t="shared" si="60"/>
        <v>54.402535657686215</v>
      </c>
      <c r="Q641" s="2">
        <f t="shared" si="61"/>
        <v>0</v>
      </c>
      <c r="R641" s="2">
        <f t="shared" si="62"/>
        <v>0</v>
      </c>
      <c r="S641" s="2">
        <f t="shared" si="63"/>
        <v>0</v>
      </c>
    </row>
    <row r="642" spans="2:19" x14ac:dyDescent="0.25">
      <c r="B642" s="1">
        <f t="shared" si="64"/>
        <v>636</v>
      </c>
      <c r="O642" s="2">
        <f t="shared" si="59"/>
        <v>-7.4999999999999997E-2</v>
      </c>
      <c r="P642" s="2">
        <f t="shared" si="60"/>
        <v>54.402535657686215</v>
      </c>
      <c r="Q642" s="2">
        <f t="shared" si="61"/>
        <v>0</v>
      </c>
      <c r="R642" s="2">
        <f t="shared" si="62"/>
        <v>0</v>
      </c>
      <c r="S642" s="2">
        <f t="shared" si="63"/>
        <v>0</v>
      </c>
    </row>
    <row r="643" spans="2:19" x14ac:dyDescent="0.25">
      <c r="B643" s="1">
        <f t="shared" si="64"/>
        <v>637</v>
      </c>
      <c r="O643" s="2">
        <f t="shared" si="59"/>
        <v>-7.4999999999999997E-2</v>
      </c>
      <c r="P643" s="2">
        <f t="shared" si="60"/>
        <v>54.402535657686215</v>
      </c>
      <c r="Q643" s="2">
        <f t="shared" si="61"/>
        <v>0</v>
      </c>
      <c r="R643" s="2">
        <f t="shared" si="62"/>
        <v>0</v>
      </c>
      <c r="S643" s="2">
        <f t="shared" si="63"/>
        <v>0</v>
      </c>
    </row>
    <row r="644" spans="2:19" x14ac:dyDescent="0.25">
      <c r="B644" s="1">
        <f t="shared" si="64"/>
        <v>638</v>
      </c>
      <c r="O644" s="2">
        <f t="shared" si="59"/>
        <v>-7.4999999999999997E-2</v>
      </c>
      <c r="P644" s="2">
        <f t="shared" si="60"/>
        <v>54.402535657686215</v>
      </c>
      <c r="Q644" s="2">
        <f t="shared" si="61"/>
        <v>0</v>
      </c>
      <c r="R644" s="2">
        <f t="shared" si="62"/>
        <v>0</v>
      </c>
      <c r="S644" s="2">
        <f t="shared" si="63"/>
        <v>0</v>
      </c>
    </row>
    <row r="645" spans="2:19" x14ac:dyDescent="0.25">
      <c r="B645" s="1">
        <f t="shared" si="64"/>
        <v>639</v>
      </c>
      <c r="O645" s="2">
        <f t="shared" si="59"/>
        <v>-7.4999999999999997E-2</v>
      </c>
      <c r="P645" s="2">
        <f t="shared" si="60"/>
        <v>54.402535657686215</v>
      </c>
      <c r="Q645" s="2">
        <f t="shared" si="61"/>
        <v>0</v>
      </c>
      <c r="R645" s="2">
        <f t="shared" si="62"/>
        <v>0</v>
      </c>
      <c r="S645" s="2">
        <f t="shared" si="63"/>
        <v>0</v>
      </c>
    </row>
    <row r="646" spans="2:19" x14ac:dyDescent="0.25">
      <c r="B646" s="1">
        <f t="shared" si="64"/>
        <v>640</v>
      </c>
      <c r="O646" s="2">
        <f t="shared" si="59"/>
        <v>-7.4999999999999997E-2</v>
      </c>
      <c r="P646" s="2">
        <f t="shared" si="60"/>
        <v>54.402535657686215</v>
      </c>
      <c r="Q646" s="2">
        <f t="shared" si="61"/>
        <v>0</v>
      </c>
      <c r="R646" s="2">
        <f t="shared" si="62"/>
        <v>0</v>
      </c>
      <c r="S646" s="2">
        <f t="shared" si="63"/>
        <v>0</v>
      </c>
    </row>
    <row r="647" spans="2:19" x14ac:dyDescent="0.25">
      <c r="B647" s="1">
        <f t="shared" si="64"/>
        <v>641</v>
      </c>
      <c r="O647" s="2">
        <f t="shared" si="59"/>
        <v>-7.4999999999999997E-2</v>
      </c>
      <c r="P647" s="2">
        <f t="shared" si="60"/>
        <v>54.402535657686215</v>
      </c>
      <c r="Q647" s="2">
        <f t="shared" si="61"/>
        <v>0</v>
      </c>
      <c r="R647" s="2">
        <f t="shared" si="62"/>
        <v>0</v>
      </c>
      <c r="S647" s="2">
        <f t="shared" si="63"/>
        <v>0</v>
      </c>
    </row>
    <row r="648" spans="2:19" x14ac:dyDescent="0.25">
      <c r="B648" s="1">
        <f t="shared" si="64"/>
        <v>642</v>
      </c>
      <c r="O648" s="2">
        <f t="shared" ref="O648:O711" si="65">M648-$X$23</f>
        <v>-7.4999999999999997E-2</v>
      </c>
      <c r="P648" s="2">
        <f t="shared" ref="P648:P711" si="66">O648*$AC$21+$Y$23</f>
        <v>54.402535657686215</v>
      </c>
      <c r="Q648" s="2">
        <f t="shared" ref="Q648:Q711" si="67">((D648+D649)/2)*(M649-M648)</f>
        <v>0</v>
      </c>
      <c r="R648" s="2">
        <f t="shared" ref="R648:R711" si="68">((P648+P649)/2)*(O649-O648)</f>
        <v>0</v>
      </c>
      <c r="S648" s="2">
        <f t="shared" ref="S648:S711" si="69">Q648-R648</f>
        <v>0</v>
      </c>
    </row>
    <row r="649" spans="2:19" x14ac:dyDescent="0.25">
      <c r="B649" s="1">
        <f t="shared" ref="B649:B712" si="70">B648+1</f>
        <v>643</v>
      </c>
      <c r="O649" s="2">
        <f t="shared" si="65"/>
        <v>-7.4999999999999997E-2</v>
      </c>
      <c r="P649" s="2">
        <f t="shared" si="66"/>
        <v>54.402535657686215</v>
      </c>
      <c r="Q649" s="2">
        <f t="shared" si="67"/>
        <v>0</v>
      </c>
      <c r="R649" s="2">
        <f t="shared" si="68"/>
        <v>0</v>
      </c>
      <c r="S649" s="2">
        <f t="shared" si="69"/>
        <v>0</v>
      </c>
    </row>
    <row r="650" spans="2:19" x14ac:dyDescent="0.25">
      <c r="B650" s="1">
        <f t="shared" si="70"/>
        <v>644</v>
      </c>
      <c r="O650" s="2">
        <f t="shared" si="65"/>
        <v>-7.4999999999999997E-2</v>
      </c>
      <c r="P650" s="2">
        <f t="shared" si="66"/>
        <v>54.402535657686215</v>
      </c>
      <c r="Q650" s="2">
        <f t="shared" si="67"/>
        <v>0</v>
      </c>
      <c r="R650" s="2">
        <f t="shared" si="68"/>
        <v>0</v>
      </c>
      <c r="S650" s="2">
        <f t="shared" si="69"/>
        <v>0</v>
      </c>
    </row>
    <row r="651" spans="2:19" x14ac:dyDescent="0.25">
      <c r="B651" s="1">
        <f t="shared" si="70"/>
        <v>645</v>
      </c>
      <c r="O651" s="2">
        <f t="shared" si="65"/>
        <v>-7.4999999999999997E-2</v>
      </c>
      <c r="P651" s="2">
        <f t="shared" si="66"/>
        <v>54.402535657686215</v>
      </c>
      <c r="Q651" s="2">
        <f t="shared" si="67"/>
        <v>0</v>
      </c>
      <c r="R651" s="2">
        <f t="shared" si="68"/>
        <v>0</v>
      </c>
      <c r="S651" s="2">
        <f t="shared" si="69"/>
        <v>0</v>
      </c>
    </row>
    <row r="652" spans="2:19" x14ac:dyDescent="0.25">
      <c r="B652" s="1">
        <f t="shared" si="70"/>
        <v>646</v>
      </c>
      <c r="O652" s="2">
        <f t="shared" si="65"/>
        <v>-7.4999999999999997E-2</v>
      </c>
      <c r="P652" s="2">
        <f t="shared" si="66"/>
        <v>54.402535657686215</v>
      </c>
      <c r="Q652" s="2">
        <f t="shared" si="67"/>
        <v>0</v>
      </c>
      <c r="R652" s="2">
        <f t="shared" si="68"/>
        <v>0</v>
      </c>
      <c r="S652" s="2">
        <f t="shared" si="69"/>
        <v>0</v>
      </c>
    </row>
    <row r="653" spans="2:19" x14ac:dyDescent="0.25">
      <c r="B653" s="1">
        <f t="shared" si="70"/>
        <v>647</v>
      </c>
      <c r="O653" s="2">
        <f t="shared" si="65"/>
        <v>-7.4999999999999997E-2</v>
      </c>
      <c r="P653" s="2">
        <f t="shared" si="66"/>
        <v>54.402535657686215</v>
      </c>
      <c r="Q653" s="2">
        <f t="shared" si="67"/>
        <v>0</v>
      </c>
      <c r="R653" s="2">
        <f t="shared" si="68"/>
        <v>0</v>
      </c>
      <c r="S653" s="2">
        <f t="shared" si="69"/>
        <v>0</v>
      </c>
    </row>
    <row r="654" spans="2:19" x14ac:dyDescent="0.25">
      <c r="B654" s="1">
        <f t="shared" si="70"/>
        <v>648</v>
      </c>
      <c r="O654" s="2">
        <f t="shared" si="65"/>
        <v>-7.4999999999999997E-2</v>
      </c>
      <c r="P654" s="2">
        <f t="shared" si="66"/>
        <v>54.402535657686215</v>
      </c>
      <c r="Q654" s="2">
        <f t="shared" si="67"/>
        <v>0</v>
      </c>
      <c r="R654" s="2">
        <f t="shared" si="68"/>
        <v>0</v>
      </c>
      <c r="S654" s="2">
        <f t="shared" si="69"/>
        <v>0</v>
      </c>
    </row>
    <row r="655" spans="2:19" x14ac:dyDescent="0.25">
      <c r="B655" s="1">
        <f t="shared" si="70"/>
        <v>649</v>
      </c>
      <c r="O655" s="2">
        <f t="shared" si="65"/>
        <v>-7.4999999999999997E-2</v>
      </c>
      <c r="P655" s="2">
        <f t="shared" si="66"/>
        <v>54.402535657686215</v>
      </c>
      <c r="Q655" s="2">
        <f t="shared" si="67"/>
        <v>0</v>
      </c>
      <c r="R655" s="2">
        <f t="shared" si="68"/>
        <v>0</v>
      </c>
      <c r="S655" s="2">
        <f t="shared" si="69"/>
        <v>0</v>
      </c>
    </row>
    <row r="656" spans="2:19" x14ac:dyDescent="0.25">
      <c r="B656" s="1">
        <f t="shared" si="70"/>
        <v>650</v>
      </c>
      <c r="O656" s="2">
        <f t="shared" si="65"/>
        <v>-7.4999999999999997E-2</v>
      </c>
      <c r="P656" s="2">
        <f t="shared" si="66"/>
        <v>54.402535657686215</v>
      </c>
      <c r="Q656" s="2">
        <f t="shared" si="67"/>
        <v>0</v>
      </c>
      <c r="R656" s="2">
        <f t="shared" si="68"/>
        <v>0</v>
      </c>
      <c r="S656" s="2">
        <f t="shared" si="69"/>
        <v>0</v>
      </c>
    </row>
    <row r="657" spans="2:19" x14ac:dyDescent="0.25">
      <c r="B657" s="1">
        <f t="shared" si="70"/>
        <v>651</v>
      </c>
      <c r="O657" s="2">
        <f t="shared" si="65"/>
        <v>-7.4999999999999997E-2</v>
      </c>
      <c r="P657" s="2">
        <f t="shared" si="66"/>
        <v>54.402535657686215</v>
      </c>
      <c r="Q657" s="2">
        <f t="shared" si="67"/>
        <v>0</v>
      </c>
      <c r="R657" s="2">
        <f t="shared" si="68"/>
        <v>0</v>
      </c>
      <c r="S657" s="2">
        <f t="shared" si="69"/>
        <v>0</v>
      </c>
    </row>
    <row r="658" spans="2:19" x14ac:dyDescent="0.25">
      <c r="B658" s="1">
        <f t="shared" si="70"/>
        <v>652</v>
      </c>
      <c r="O658" s="2">
        <f t="shared" si="65"/>
        <v>-7.4999999999999997E-2</v>
      </c>
      <c r="P658" s="2">
        <f t="shared" si="66"/>
        <v>54.402535657686215</v>
      </c>
      <c r="Q658" s="2">
        <f t="shared" si="67"/>
        <v>0</v>
      </c>
      <c r="R658" s="2">
        <f t="shared" si="68"/>
        <v>0</v>
      </c>
      <c r="S658" s="2">
        <f t="shared" si="69"/>
        <v>0</v>
      </c>
    </row>
    <row r="659" spans="2:19" x14ac:dyDescent="0.25">
      <c r="B659" s="1">
        <f t="shared" si="70"/>
        <v>653</v>
      </c>
      <c r="O659" s="2">
        <f t="shared" si="65"/>
        <v>-7.4999999999999997E-2</v>
      </c>
      <c r="P659" s="2">
        <f t="shared" si="66"/>
        <v>54.402535657686215</v>
      </c>
      <c r="Q659" s="2">
        <f t="shared" si="67"/>
        <v>0</v>
      </c>
      <c r="R659" s="2">
        <f t="shared" si="68"/>
        <v>0</v>
      </c>
      <c r="S659" s="2">
        <f t="shared" si="69"/>
        <v>0</v>
      </c>
    </row>
    <row r="660" spans="2:19" x14ac:dyDescent="0.25">
      <c r="B660" s="1">
        <f t="shared" si="70"/>
        <v>654</v>
      </c>
      <c r="O660" s="2">
        <f t="shared" si="65"/>
        <v>-7.4999999999999997E-2</v>
      </c>
      <c r="P660" s="2">
        <f t="shared" si="66"/>
        <v>54.402535657686215</v>
      </c>
      <c r="Q660" s="2">
        <f t="shared" si="67"/>
        <v>0</v>
      </c>
      <c r="R660" s="2">
        <f t="shared" si="68"/>
        <v>0</v>
      </c>
      <c r="S660" s="2">
        <f t="shared" si="69"/>
        <v>0</v>
      </c>
    </row>
    <row r="661" spans="2:19" x14ac:dyDescent="0.25">
      <c r="B661" s="1">
        <f t="shared" si="70"/>
        <v>655</v>
      </c>
      <c r="O661" s="2">
        <f t="shared" si="65"/>
        <v>-7.4999999999999997E-2</v>
      </c>
      <c r="P661" s="2">
        <f t="shared" si="66"/>
        <v>54.402535657686215</v>
      </c>
      <c r="Q661" s="2">
        <f t="shared" si="67"/>
        <v>0</v>
      </c>
      <c r="R661" s="2">
        <f t="shared" si="68"/>
        <v>0</v>
      </c>
      <c r="S661" s="2">
        <f t="shared" si="69"/>
        <v>0</v>
      </c>
    </row>
    <row r="662" spans="2:19" x14ac:dyDescent="0.25">
      <c r="B662" s="1">
        <f t="shared" si="70"/>
        <v>656</v>
      </c>
      <c r="O662" s="2">
        <f t="shared" si="65"/>
        <v>-7.4999999999999997E-2</v>
      </c>
      <c r="P662" s="2">
        <f t="shared" si="66"/>
        <v>54.402535657686215</v>
      </c>
      <c r="Q662" s="2">
        <f t="shared" si="67"/>
        <v>0</v>
      </c>
      <c r="R662" s="2">
        <f t="shared" si="68"/>
        <v>0</v>
      </c>
      <c r="S662" s="2">
        <f t="shared" si="69"/>
        <v>0</v>
      </c>
    </row>
    <row r="663" spans="2:19" x14ac:dyDescent="0.25">
      <c r="B663" s="1">
        <f t="shared" si="70"/>
        <v>657</v>
      </c>
      <c r="O663" s="2">
        <f t="shared" si="65"/>
        <v>-7.4999999999999997E-2</v>
      </c>
      <c r="P663" s="2">
        <f t="shared" si="66"/>
        <v>54.402535657686215</v>
      </c>
      <c r="Q663" s="2">
        <f t="shared" si="67"/>
        <v>0</v>
      </c>
      <c r="R663" s="2">
        <f t="shared" si="68"/>
        <v>0</v>
      </c>
      <c r="S663" s="2">
        <f t="shared" si="69"/>
        <v>0</v>
      </c>
    </row>
    <row r="664" spans="2:19" x14ac:dyDescent="0.25">
      <c r="B664" s="1">
        <f t="shared" si="70"/>
        <v>658</v>
      </c>
      <c r="O664" s="2">
        <f t="shared" si="65"/>
        <v>-7.4999999999999997E-2</v>
      </c>
      <c r="P664" s="2">
        <f t="shared" si="66"/>
        <v>54.402535657686215</v>
      </c>
      <c r="Q664" s="2">
        <f t="shared" si="67"/>
        <v>0</v>
      </c>
      <c r="R664" s="2">
        <f t="shared" si="68"/>
        <v>0</v>
      </c>
      <c r="S664" s="2">
        <f t="shared" si="69"/>
        <v>0</v>
      </c>
    </row>
    <row r="665" spans="2:19" x14ac:dyDescent="0.25">
      <c r="B665" s="1">
        <f t="shared" si="70"/>
        <v>659</v>
      </c>
      <c r="O665" s="2">
        <f t="shared" si="65"/>
        <v>-7.4999999999999997E-2</v>
      </c>
      <c r="P665" s="2">
        <f t="shared" si="66"/>
        <v>54.402535657686215</v>
      </c>
      <c r="Q665" s="2">
        <f t="shared" si="67"/>
        <v>0</v>
      </c>
      <c r="R665" s="2">
        <f t="shared" si="68"/>
        <v>0</v>
      </c>
      <c r="S665" s="2">
        <f t="shared" si="69"/>
        <v>0</v>
      </c>
    </row>
    <row r="666" spans="2:19" x14ac:dyDescent="0.25">
      <c r="B666" s="1">
        <f t="shared" si="70"/>
        <v>660</v>
      </c>
      <c r="O666" s="2">
        <f t="shared" si="65"/>
        <v>-7.4999999999999997E-2</v>
      </c>
      <c r="P666" s="2">
        <f t="shared" si="66"/>
        <v>54.402535657686215</v>
      </c>
      <c r="Q666" s="2">
        <f t="shared" si="67"/>
        <v>0</v>
      </c>
      <c r="R666" s="2">
        <f t="shared" si="68"/>
        <v>0</v>
      </c>
      <c r="S666" s="2">
        <f t="shared" si="69"/>
        <v>0</v>
      </c>
    </row>
    <row r="667" spans="2:19" x14ac:dyDescent="0.25">
      <c r="B667" s="1">
        <f t="shared" si="70"/>
        <v>661</v>
      </c>
      <c r="O667" s="2">
        <f t="shared" si="65"/>
        <v>-7.4999999999999997E-2</v>
      </c>
      <c r="P667" s="2">
        <f t="shared" si="66"/>
        <v>54.402535657686215</v>
      </c>
      <c r="Q667" s="2">
        <f t="shared" si="67"/>
        <v>0</v>
      </c>
      <c r="R667" s="2">
        <f t="shared" si="68"/>
        <v>0</v>
      </c>
      <c r="S667" s="2">
        <f t="shared" si="69"/>
        <v>0</v>
      </c>
    </row>
    <row r="668" spans="2:19" x14ac:dyDescent="0.25">
      <c r="B668" s="1">
        <f t="shared" si="70"/>
        <v>662</v>
      </c>
      <c r="O668" s="2">
        <f t="shared" si="65"/>
        <v>-7.4999999999999997E-2</v>
      </c>
      <c r="P668" s="2">
        <f t="shared" si="66"/>
        <v>54.402535657686215</v>
      </c>
      <c r="Q668" s="2">
        <f t="shared" si="67"/>
        <v>0</v>
      </c>
      <c r="R668" s="2">
        <f t="shared" si="68"/>
        <v>0</v>
      </c>
      <c r="S668" s="2">
        <f t="shared" si="69"/>
        <v>0</v>
      </c>
    </row>
    <row r="669" spans="2:19" x14ac:dyDescent="0.25">
      <c r="B669" s="1">
        <f t="shared" si="70"/>
        <v>663</v>
      </c>
      <c r="O669" s="2">
        <f t="shared" si="65"/>
        <v>-7.4999999999999997E-2</v>
      </c>
      <c r="P669" s="2">
        <f t="shared" si="66"/>
        <v>54.402535657686215</v>
      </c>
      <c r="Q669" s="2">
        <f t="shared" si="67"/>
        <v>0</v>
      </c>
      <c r="R669" s="2">
        <f t="shared" si="68"/>
        <v>0</v>
      </c>
      <c r="S669" s="2">
        <f t="shared" si="69"/>
        <v>0</v>
      </c>
    </row>
    <row r="670" spans="2:19" x14ac:dyDescent="0.25">
      <c r="B670" s="1">
        <f t="shared" si="70"/>
        <v>664</v>
      </c>
      <c r="O670" s="2">
        <f t="shared" si="65"/>
        <v>-7.4999999999999997E-2</v>
      </c>
      <c r="P670" s="2">
        <f t="shared" si="66"/>
        <v>54.402535657686215</v>
      </c>
      <c r="Q670" s="2">
        <f t="shared" si="67"/>
        <v>0</v>
      </c>
      <c r="R670" s="2">
        <f t="shared" si="68"/>
        <v>0</v>
      </c>
      <c r="S670" s="2">
        <f t="shared" si="69"/>
        <v>0</v>
      </c>
    </row>
    <row r="671" spans="2:19" x14ac:dyDescent="0.25">
      <c r="B671" s="1">
        <f t="shared" si="70"/>
        <v>665</v>
      </c>
      <c r="O671" s="2">
        <f t="shared" si="65"/>
        <v>-7.4999999999999997E-2</v>
      </c>
      <c r="P671" s="2">
        <f t="shared" si="66"/>
        <v>54.402535657686215</v>
      </c>
      <c r="Q671" s="2">
        <f t="shared" si="67"/>
        <v>0</v>
      </c>
      <c r="R671" s="2">
        <f t="shared" si="68"/>
        <v>0</v>
      </c>
      <c r="S671" s="2">
        <f t="shared" si="69"/>
        <v>0</v>
      </c>
    </row>
    <row r="672" spans="2:19" x14ac:dyDescent="0.25">
      <c r="B672" s="1">
        <f t="shared" si="70"/>
        <v>666</v>
      </c>
      <c r="O672" s="2">
        <f t="shared" si="65"/>
        <v>-7.4999999999999997E-2</v>
      </c>
      <c r="P672" s="2">
        <f t="shared" si="66"/>
        <v>54.402535657686215</v>
      </c>
      <c r="Q672" s="2">
        <f t="shared" si="67"/>
        <v>0</v>
      </c>
      <c r="R672" s="2">
        <f t="shared" si="68"/>
        <v>0</v>
      </c>
      <c r="S672" s="2">
        <f t="shared" si="69"/>
        <v>0</v>
      </c>
    </row>
    <row r="673" spans="2:19" x14ac:dyDescent="0.25">
      <c r="B673" s="1">
        <f t="shared" si="70"/>
        <v>667</v>
      </c>
      <c r="O673" s="2">
        <f t="shared" si="65"/>
        <v>-7.4999999999999997E-2</v>
      </c>
      <c r="P673" s="2">
        <f t="shared" si="66"/>
        <v>54.402535657686215</v>
      </c>
      <c r="Q673" s="2">
        <f t="shared" si="67"/>
        <v>0</v>
      </c>
      <c r="R673" s="2">
        <f t="shared" si="68"/>
        <v>0</v>
      </c>
      <c r="S673" s="2">
        <f t="shared" si="69"/>
        <v>0</v>
      </c>
    </row>
    <row r="674" spans="2:19" x14ac:dyDescent="0.25">
      <c r="B674" s="1">
        <f t="shared" si="70"/>
        <v>668</v>
      </c>
      <c r="O674" s="2">
        <f t="shared" si="65"/>
        <v>-7.4999999999999997E-2</v>
      </c>
      <c r="P674" s="2">
        <f t="shared" si="66"/>
        <v>54.402535657686215</v>
      </c>
      <c r="Q674" s="2">
        <f t="shared" si="67"/>
        <v>0</v>
      </c>
      <c r="R674" s="2">
        <f t="shared" si="68"/>
        <v>0</v>
      </c>
      <c r="S674" s="2">
        <f t="shared" si="69"/>
        <v>0</v>
      </c>
    </row>
    <row r="675" spans="2:19" x14ac:dyDescent="0.25">
      <c r="B675" s="1">
        <f t="shared" si="70"/>
        <v>669</v>
      </c>
      <c r="O675" s="2">
        <f t="shared" si="65"/>
        <v>-7.4999999999999997E-2</v>
      </c>
      <c r="P675" s="2">
        <f t="shared" si="66"/>
        <v>54.402535657686215</v>
      </c>
      <c r="Q675" s="2">
        <f t="shared" si="67"/>
        <v>0</v>
      </c>
      <c r="R675" s="2">
        <f t="shared" si="68"/>
        <v>0</v>
      </c>
      <c r="S675" s="2">
        <f t="shared" si="69"/>
        <v>0</v>
      </c>
    </row>
    <row r="676" spans="2:19" x14ac:dyDescent="0.25">
      <c r="B676" s="1">
        <f t="shared" si="70"/>
        <v>670</v>
      </c>
      <c r="O676" s="2">
        <f t="shared" si="65"/>
        <v>-7.4999999999999997E-2</v>
      </c>
      <c r="P676" s="2">
        <f t="shared" si="66"/>
        <v>54.402535657686215</v>
      </c>
      <c r="Q676" s="2">
        <f t="shared" si="67"/>
        <v>0</v>
      </c>
      <c r="R676" s="2">
        <f t="shared" si="68"/>
        <v>0</v>
      </c>
      <c r="S676" s="2">
        <f t="shared" si="69"/>
        <v>0</v>
      </c>
    </row>
    <row r="677" spans="2:19" x14ac:dyDescent="0.25">
      <c r="B677" s="1">
        <f t="shared" si="70"/>
        <v>671</v>
      </c>
      <c r="O677" s="2">
        <f t="shared" si="65"/>
        <v>-7.4999999999999997E-2</v>
      </c>
      <c r="P677" s="2">
        <f t="shared" si="66"/>
        <v>54.402535657686215</v>
      </c>
      <c r="Q677" s="2">
        <f t="shared" si="67"/>
        <v>0</v>
      </c>
      <c r="R677" s="2">
        <f t="shared" si="68"/>
        <v>0</v>
      </c>
      <c r="S677" s="2">
        <f t="shared" si="69"/>
        <v>0</v>
      </c>
    </row>
    <row r="678" spans="2:19" x14ac:dyDescent="0.25">
      <c r="B678" s="1">
        <f t="shared" si="70"/>
        <v>672</v>
      </c>
      <c r="O678" s="2">
        <f t="shared" si="65"/>
        <v>-7.4999999999999997E-2</v>
      </c>
      <c r="P678" s="2">
        <f t="shared" si="66"/>
        <v>54.402535657686215</v>
      </c>
      <c r="Q678" s="2">
        <f t="shared" si="67"/>
        <v>0</v>
      </c>
      <c r="R678" s="2">
        <f t="shared" si="68"/>
        <v>0</v>
      </c>
      <c r="S678" s="2">
        <f t="shared" si="69"/>
        <v>0</v>
      </c>
    </row>
    <row r="679" spans="2:19" x14ac:dyDescent="0.25">
      <c r="B679" s="1">
        <f t="shared" si="70"/>
        <v>673</v>
      </c>
      <c r="O679" s="2">
        <f t="shared" si="65"/>
        <v>-7.4999999999999997E-2</v>
      </c>
      <c r="P679" s="2">
        <f t="shared" si="66"/>
        <v>54.402535657686215</v>
      </c>
      <c r="Q679" s="2">
        <f t="shared" si="67"/>
        <v>0</v>
      </c>
      <c r="R679" s="2">
        <f t="shared" si="68"/>
        <v>0</v>
      </c>
      <c r="S679" s="2">
        <f t="shared" si="69"/>
        <v>0</v>
      </c>
    </row>
    <row r="680" spans="2:19" x14ac:dyDescent="0.25">
      <c r="B680" s="1">
        <f t="shared" si="70"/>
        <v>674</v>
      </c>
      <c r="O680" s="2">
        <f t="shared" si="65"/>
        <v>-7.4999999999999997E-2</v>
      </c>
      <c r="P680" s="2">
        <f t="shared" si="66"/>
        <v>54.402535657686215</v>
      </c>
      <c r="Q680" s="2">
        <f t="shared" si="67"/>
        <v>0</v>
      </c>
      <c r="R680" s="2">
        <f t="shared" si="68"/>
        <v>0</v>
      </c>
      <c r="S680" s="2">
        <f t="shared" si="69"/>
        <v>0</v>
      </c>
    </row>
    <row r="681" spans="2:19" x14ac:dyDescent="0.25">
      <c r="B681" s="1">
        <f t="shared" si="70"/>
        <v>675</v>
      </c>
      <c r="O681" s="2">
        <f t="shared" si="65"/>
        <v>-7.4999999999999997E-2</v>
      </c>
      <c r="P681" s="2">
        <f t="shared" si="66"/>
        <v>54.402535657686215</v>
      </c>
      <c r="Q681" s="2">
        <f t="shared" si="67"/>
        <v>0</v>
      </c>
      <c r="R681" s="2">
        <f t="shared" si="68"/>
        <v>0</v>
      </c>
      <c r="S681" s="2">
        <f t="shared" si="69"/>
        <v>0</v>
      </c>
    </row>
    <row r="682" spans="2:19" x14ac:dyDescent="0.25">
      <c r="B682" s="1">
        <f t="shared" si="70"/>
        <v>676</v>
      </c>
      <c r="O682" s="2">
        <f t="shared" si="65"/>
        <v>-7.4999999999999997E-2</v>
      </c>
      <c r="P682" s="2">
        <f t="shared" si="66"/>
        <v>54.402535657686215</v>
      </c>
      <c r="Q682" s="2">
        <f t="shared" si="67"/>
        <v>0</v>
      </c>
      <c r="R682" s="2">
        <f t="shared" si="68"/>
        <v>0</v>
      </c>
      <c r="S682" s="2">
        <f t="shared" si="69"/>
        <v>0</v>
      </c>
    </row>
    <row r="683" spans="2:19" x14ac:dyDescent="0.25">
      <c r="B683" s="1">
        <f t="shared" si="70"/>
        <v>677</v>
      </c>
      <c r="O683" s="2">
        <f t="shared" si="65"/>
        <v>-7.4999999999999997E-2</v>
      </c>
      <c r="P683" s="2">
        <f t="shared" si="66"/>
        <v>54.402535657686215</v>
      </c>
      <c r="Q683" s="2">
        <f t="shared" si="67"/>
        <v>0</v>
      </c>
      <c r="R683" s="2">
        <f t="shared" si="68"/>
        <v>0</v>
      </c>
      <c r="S683" s="2">
        <f t="shared" si="69"/>
        <v>0</v>
      </c>
    </row>
    <row r="684" spans="2:19" x14ac:dyDescent="0.25">
      <c r="B684" s="1">
        <f t="shared" si="70"/>
        <v>678</v>
      </c>
      <c r="O684" s="2">
        <f t="shared" si="65"/>
        <v>-7.4999999999999997E-2</v>
      </c>
      <c r="P684" s="2">
        <f t="shared" si="66"/>
        <v>54.402535657686215</v>
      </c>
      <c r="Q684" s="2">
        <f t="shared" si="67"/>
        <v>0</v>
      </c>
      <c r="R684" s="2">
        <f t="shared" si="68"/>
        <v>0</v>
      </c>
      <c r="S684" s="2">
        <f t="shared" si="69"/>
        <v>0</v>
      </c>
    </row>
    <row r="685" spans="2:19" x14ac:dyDescent="0.25">
      <c r="B685" s="1">
        <f t="shared" si="70"/>
        <v>679</v>
      </c>
      <c r="O685" s="2">
        <f t="shared" si="65"/>
        <v>-7.4999999999999997E-2</v>
      </c>
      <c r="P685" s="2">
        <f t="shared" si="66"/>
        <v>54.402535657686215</v>
      </c>
      <c r="Q685" s="2">
        <f t="shared" si="67"/>
        <v>0</v>
      </c>
      <c r="R685" s="2">
        <f t="shared" si="68"/>
        <v>0</v>
      </c>
      <c r="S685" s="2">
        <f t="shared" si="69"/>
        <v>0</v>
      </c>
    </row>
    <row r="686" spans="2:19" x14ac:dyDescent="0.25">
      <c r="B686" s="1">
        <f t="shared" si="70"/>
        <v>680</v>
      </c>
      <c r="O686" s="2">
        <f t="shared" si="65"/>
        <v>-7.4999999999999997E-2</v>
      </c>
      <c r="P686" s="2">
        <f t="shared" si="66"/>
        <v>54.402535657686215</v>
      </c>
      <c r="Q686" s="2">
        <f t="shared" si="67"/>
        <v>0</v>
      </c>
      <c r="R686" s="2">
        <f t="shared" si="68"/>
        <v>0</v>
      </c>
      <c r="S686" s="2">
        <f t="shared" si="69"/>
        <v>0</v>
      </c>
    </row>
    <row r="687" spans="2:19" x14ac:dyDescent="0.25">
      <c r="B687" s="1">
        <f t="shared" si="70"/>
        <v>681</v>
      </c>
      <c r="O687" s="2">
        <f t="shared" si="65"/>
        <v>-7.4999999999999997E-2</v>
      </c>
      <c r="P687" s="2">
        <f t="shared" si="66"/>
        <v>54.402535657686215</v>
      </c>
      <c r="Q687" s="2">
        <f t="shared" si="67"/>
        <v>0</v>
      </c>
      <c r="R687" s="2">
        <f t="shared" si="68"/>
        <v>0</v>
      </c>
      <c r="S687" s="2">
        <f t="shared" si="69"/>
        <v>0</v>
      </c>
    </row>
    <row r="688" spans="2:19" x14ac:dyDescent="0.25">
      <c r="B688" s="1">
        <f t="shared" si="70"/>
        <v>682</v>
      </c>
      <c r="O688" s="2">
        <f t="shared" si="65"/>
        <v>-7.4999999999999997E-2</v>
      </c>
      <c r="P688" s="2">
        <f t="shared" si="66"/>
        <v>54.402535657686215</v>
      </c>
      <c r="Q688" s="2">
        <f t="shared" si="67"/>
        <v>0</v>
      </c>
      <c r="R688" s="2">
        <f t="shared" si="68"/>
        <v>0</v>
      </c>
      <c r="S688" s="2">
        <f t="shared" si="69"/>
        <v>0</v>
      </c>
    </row>
    <row r="689" spans="2:19" x14ac:dyDescent="0.25">
      <c r="B689" s="1">
        <f t="shared" si="70"/>
        <v>683</v>
      </c>
      <c r="O689" s="2">
        <f t="shared" si="65"/>
        <v>-7.4999999999999997E-2</v>
      </c>
      <c r="P689" s="2">
        <f t="shared" si="66"/>
        <v>54.402535657686215</v>
      </c>
      <c r="Q689" s="2">
        <f t="shared" si="67"/>
        <v>0</v>
      </c>
      <c r="R689" s="2">
        <f t="shared" si="68"/>
        <v>0</v>
      </c>
      <c r="S689" s="2">
        <f t="shared" si="69"/>
        <v>0</v>
      </c>
    </row>
    <row r="690" spans="2:19" x14ac:dyDescent="0.25">
      <c r="B690" s="1">
        <f t="shared" si="70"/>
        <v>684</v>
      </c>
      <c r="O690" s="2">
        <f t="shared" si="65"/>
        <v>-7.4999999999999997E-2</v>
      </c>
      <c r="P690" s="2">
        <f t="shared" si="66"/>
        <v>54.402535657686215</v>
      </c>
      <c r="Q690" s="2">
        <f t="shared" si="67"/>
        <v>0</v>
      </c>
      <c r="R690" s="2">
        <f t="shared" si="68"/>
        <v>0</v>
      </c>
      <c r="S690" s="2">
        <f t="shared" si="69"/>
        <v>0</v>
      </c>
    </row>
    <row r="691" spans="2:19" x14ac:dyDescent="0.25">
      <c r="B691" s="1">
        <f t="shared" si="70"/>
        <v>685</v>
      </c>
      <c r="O691" s="2">
        <f t="shared" si="65"/>
        <v>-7.4999999999999997E-2</v>
      </c>
      <c r="P691" s="2">
        <f t="shared" si="66"/>
        <v>54.402535657686215</v>
      </c>
      <c r="Q691" s="2">
        <f t="shared" si="67"/>
        <v>0</v>
      </c>
      <c r="R691" s="2">
        <f t="shared" si="68"/>
        <v>0</v>
      </c>
      <c r="S691" s="2">
        <f t="shared" si="69"/>
        <v>0</v>
      </c>
    </row>
    <row r="692" spans="2:19" x14ac:dyDescent="0.25">
      <c r="B692" s="1">
        <f t="shared" si="70"/>
        <v>686</v>
      </c>
      <c r="O692" s="2">
        <f t="shared" si="65"/>
        <v>-7.4999999999999997E-2</v>
      </c>
      <c r="P692" s="2">
        <f t="shared" si="66"/>
        <v>54.402535657686215</v>
      </c>
      <c r="Q692" s="2">
        <f t="shared" si="67"/>
        <v>0</v>
      </c>
      <c r="R692" s="2">
        <f t="shared" si="68"/>
        <v>0</v>
      </c>
      <c r="S692" s="2">
        <f t="shared" si="69"/>
        <v>0</v>
      </c>
    </row>
    <row r="693" spans="2:19" x14ac:dyDescent="0.25">
      <c r="B693" s="1">
        <f t="shared" si="70"/>
        <v>687</v>
      </c>
      <c r="O693" s="2">
        <f t="shared" si="65"/>
        <v>-7.4999999999999997E-2</v>
      </c>
      <c r="P693" s="2">
        <f t="shared" si="66"/>
        <v>54.402535657686215</v>
      </c>
      <c r="Q693" s="2">
        <f t="shared" si="67"/>
        <v>0</v>
      </c>
      <c r="R693" s="2">
        <f t="shared" si="68"/>
        <v>0</v>
      </c>
      <c r="S693" s="2">
        <f t="shared" si="69"/>
        <v>0</v>
      </c>
    </row>
    <row r="694" spans="2:19" x14ac:dyDescent="0.25">
      <c r="B694" s="1">
        <f t="shared" si="70"/>
        <v>688</v>
      </c>
      <c r="O694" s="2">
        <f t="shared" si="65"/>
        <v>-7.4999999999999997E-2</v>
      </c>
      <c r="P694" s="2">
        <f t="shared" si="66"/>
        <v>54.402535657686215</v>
      </c>
      <c r="Q694" s="2">
        <f t="shared" si="67"/>
        <v>0</v>
      </c>
      <c r="R694" s="2">
        <f t="shared" si="68"/>
        <v>0</v>
      </c>
      <c r="S694" s="2">
        <f t="shared" si="69"/>
        <v>0</v>
      </c>
    </row>
    <row r="695" spans="2:19" x14ac:dyDescent="0.25">
      <c r="B695" s="1">
        <f t="shared" si="70"/>
        <v>689</v>
      </c>
      <c r="O695" s="2">
        <f t="shared" si="65"/>
        <v>-7.4999999999999997E-2</v>
      </c>
      <c r="P695" s="2">
        <f t="shared" si="66"/>
        <v>54.402535657686215</v>
      </c>
      <c r="Q695" s="2">
        <f t="shared" si="67"/>
        <v>0</v>
      </c>
      <c r="R695" s="2">
        <f t="shared" si="68"/>
        <v>0</v>
      </c>
      <c r="S695" s="2">
        <f t="shared" si="69"/>
        <v>0</v>
      </c>
    </row>
    <row r="696" spans="2:19" x14ac:dyDescent="0.25">
      <c r="B696" s="1">
        <f t="shared" si="70"/>
        <v>690</v>
      </c>
      <c r="O696" s="2">
        <f t="shared" si="65"/>
        <v>-7.4999999999999997E-2</v>
      </c>
      <c r="P696" s="2">
        <f t="shared" si="66"/>
        <v>54.402535657686215</v>
      </c>
      <c r="Q696" s="2">
        <f t="shared" si="67"/>
        <v>0</v>
      </c>
      <c r="R696" s="2">
        <f t="shared" si="68"/>
        <v>0</v>
      </c>
      <c r="S696" s="2">
        <f t="shared" si="69"/>
        <v>0</v>
      </c>
    </row>
    <row r="697" spans="2:19" x14ac:dyDescent="0.25">
      <c r="B697" s="1">
        <f t="shared" si="70"/>
        <v>691</v>
      </c>
      <c r="O697" s="2">
        <f t="shared" si="65"/>
        <v>-7.4999999999999997E-2</v>
      </c>
      <c r="P697" s="2">
        <f t="shared" si="66"/>
        <v>54.402535657686215</v>
      </c>
      <c r="Q697" s="2">
        <f t="shared" si="67"/>
        <v>0</v>
      </c>
      <c r="R697" s="2">
        <f t="shared" si="68"/>
        <v>0</v>
      </c>
      <c r="S697" s="2">
        <f t="shared" si="69"/>
        <v>0</v>
      </c>
    </row>
    <row r="698" spans="2:19" x14ac:dyDescent="0.25">
      <c r="B698" s="1">
        <f t="shared" si="70"/>
        <v>692</v>
      </c>
      <c r="O698" s="2">
        <f t="shared" si="65"/>
        <v>-7.4999999999999997E-2</v>
      </c>
      <c r="P698" s="2">
        <f t="shared" si="66"/>
        <v>54.402535657686215</v>
      </c>
      <c r="Q698" s="2">
        <f t="shared" si="67"/>
        <v>0</v>
      </c>
      <c r="R698" s="2">
        <f t="shared" si="68"/>
        <v>0</v>
      </c>
      <c r="S698" s="2">
        <f t="shared" si="69"/>
        <v>0</v>
      </c>
    </row>
    <row r="699" spans="2:19" x14ac:dyDescent="0.25">
      <c r="B699" s="1">
        <f t="shared" si="70"/>
        <v>693</v>
      </c>
      <c r="O699" s="2">
        <f t="shared" si="65"/>
        <v>-7.4999999999999997E-2</v>
      </c>
      <c r="P699" s="2">
        <f t="shared" si="66"/>
        <v>54.402535657686215</v>
      </c>
      <c r="Q699" s="2">
        <f t="shared" si="67"/>
        <v>0</v>
      </c>
      <c r="R699" s="2">
        <f t="shared" si="68"/>
        <v>0</v>
      </c>
      <c r="S699" s="2">
        <f t="shared" si="69"/>
        <v>0</v>
      </c>
    </row>
    <row r="700" spans="2:19" x14ac:dyDescent="0.25">
      <c r="B700" s="1">
        <f t="shared" si="70"/>
        <v>694</v>
      </c>
      <c r="O700" s="2">
        <f t="shared" si="65"/>
        <v>-7.4999999999999997E-2</v>
      </c>
      <c r="P700" s="2">
        <f t="shared" si="66"/>
        <v>54.402535657686215</v>
      </c>
      <c r="Q700" s="2">
        <f t="shared" si="67"/>
        <v>0</v>
      </c>
      <c r="R700" s="2">
        <f t="shared" si="68"/>
        <v>0</v>
      </c>
      <c r="S700" s="2">
        <f t="shared" si="69"/>
        <v>0</v>
      </c>
    </row>
    <row r="701" spans="2:19" x14ac:dyDescent="0.25">
      <c r="B701" s="1">
        <f t="shared" si="70"/>
        <v>695</v>
      </c>
      <c r="O701" s="2">
        <f t="shared" si="65"/>
        <v>-7.4999999999999997E-2</v>
      </c>
      <c r="P701" s="2">
        <f t="shared" si="66"/>
        <v>54.402535657686215</v>
      </c>
      <c r="Q701" s="2">
        <f t="shared" si="67"/>
        <v>0</v>
      </c>
      <c r="R701" s="2">
        <f t="shared" si="68"/>
        <v>0</v>
      </c>
      <c r="S701" s="2">
        <f t="shared" si="69"/>
        <v>0</v>
      </c>
    </row>
    <row r="702" spans="2:19" x14ac:dyDescent="0.25">
      <c r="B702" s="1">
        <f t="shared" si="70"/>
        <v>696</v>
      </c>
      <c r="O702" s="2">
        <f t="shared" si="65"/>
        <v>-7.4999999999999997E-2</v>
      </c>
      <c r="P702" s="2">
        <f t="shared" si="66"/>
        <v>54.402535657686215</v>
      </c>
      <c r="Q702" s="2">
        <f t="shared" si="67"/>
        <v>0</v>
      </c>
      <c r="R702" s="2">
        <f t="shared" si="68"/>
        <v>0</v>
      </c>
      <c r="S702" s="2">
        <f t="shared" si="69"/>
        <v>0</v>
      </c>
    </row>
    <row r="703" spans="2:19" x14ac:dyDescent="0.25">
      <c r="B703" s="1">
        <f t="shared" si="70"/>
        <v>697</v>
      </c>
      <c r="O703" s="2">
        <f t="shared" si="65"/>
        <v>-7.4999999999999997E-2</v>
      </c>
      <c r="P703" s="2">
        <f t="shared" si="66"/>
        <v>54.402535657686215</v>
      </c>
      <c r="Q703" s="2">
        <f t="shared" si="67"/>
        <v>0</v>
      </c>
      <c r="R703" s="2">
        <f t="shared" si="68"/>
        <v>0</v>
      </c>
      <c r="S703" s="2">
        <f t="shared" si="69"/>
        <v>0</v>
      </c>
    </row>
    <row r="704" spans="2:19" x14ac:dyDescent="0.25">
      <c r="B704" s="1">
        <f t="shared" si="70"/>
        <v>698</v>
      </c>
      <c r="O704" s="2">
        <f t="shared" si="65"/>
        <v>-7.4999999999999997E-2</v>
      </c>
      <c r="P704" s="2">
        <f t="shared" si="66"/>
        <v>54.402535657686215</v>
      </c>
      <c r="Q704" s="2">
        <f t="shared" si="67"/>
        <v>0</v>
      </c>
      <c r="R704" s="2">
        <f t="shared" si="68"/>
        <v>0</v>
      </c>
      <c r="S704" s="2">
        <f t="shared" si="69"/>
        <v>0</v>
      </c>
    </row>
    <row r="705" spans="2:19" x14ac:dyDescent="0.25">
      <c r="B705" s="1">
        <f t="shared" si="70"/>
        <v>699</v>
      </c>
      <c r="O705" s="2">
        <f t="shared" si="65"/>
        <v>-7.4999999999999997E-2</v>
      </c>
      <c r="P705" s="2">
        <f t="shared" si="66"/>
        <v>54.402535657686215</v>
      </c>
      <c r="Q705" s="2">
        <f t="shared" si="67"/>
        <v>0</v>
      </c>
      <c r="R705" s="2">
        <f t="shared" si="68"/>
        <v>0</v>
      </c>
      <c r="S705" s="2">
        <f t="shared" si="69"/>
        <v>0</v>
      </c>
    </row>
    <row r="706" spans="2:19" x14ac:dyDescent="0.25">
      <c r="B706" s="1">
        <f t="shared" si="70"/>
        <v>700</v>
      </c>
      <c r="O706" s="2">
        <f t="shared" si="65"/>
        <v>-7.4999999999999997E-2</v>
      </c>
      <c r="P706" s="2">
        <f t="shared" si="66"/>
        <v>54.402535657686215</v>
      </c>
      <c r="Q706" s="2">
        <f t="shared" si="67"/>
        <v>0</v>
      </c>
      <c r="R706" s="2">
        <f t="shared" si="68"/>
        <v>0</v>
      </c>
      <c r="S706" s="2">
        <f t="shared" si="69"/>
        <v>0</v>
      </c>
    </row>
    <row r="707" spans="2:19" x14ac:dyDescent="0.25">
      <c r="B707" s="1">
        <f t="shared" si="70"/>
        <v>701</v>
      </c>
      <c r="O707" s="2">
        <f t="shared" si="65"/>
        <v>-7.4999999999999997E-2</v>
      </c>
      <c r="P707" s="2">
        <f t="shared" si="66"/>
        <v>54.402535657686215</v>
      </c>
      <c r="Q707" s="2">
        <f t="shared" si="67"/>
        <v>0</v>
      </c>
      <c r="R707" s="2">
        <f t="shared" si="68"/>
        <v>0</v>
      </c>
      <c r="S707" s="2">
        <f t="shared" si="69"/>
        <v>0</v>
      </c>
    </row>
    <row r="708" spans="2:19" x14ac:dyDescent="0.25">
      <c r="B708" s="1">
        <f t="shared" si="70"/>
        <v>702</v>
      </c>
      <c r="O708" s="2">
        <f t="shared" si="65"/>
        <v>-7.4999999999999997E-2</v>
      </c>
      <c r="P708" s="2">
        <f t="shared" si="66"/>
        <v>54.402535657686215</v>
      </c>
      <c r="Q708" s="2">
        <f t="shared" si="67"/>
        <v>0</v>
      </c>
      <c r="R708" s="2">
        <f t="shared" si="68"/>
        <v>0</v>
      </c>
      <c r="S708" s="2">
        <f t="shared" si="69"/>
        <v>0</v>
      </c>
    </row>
    <row r="709" spans="2:19" x14ac:dyDescent="0.25">
      <c r="B709" s="1">
        <f t="shared" si="70"/>
        <v>703</v>
      </c>
      <c r="O709" s="2">
        <f t="shared" si="65"/>
        <v>-7.4999999999999997E-2</v>
      </c>
      <c r="P709" s="2">
        <f t="shared" si="66"/>
        <v>54.402535657686215</v>
      </c>
      <c r="Q709" s="2">
        <f t="shared" si="67"/>
        <v>0</v>
      </c>
      <c r="R709" s="2">
        <f t="shared" si="68"/>
        <v>0</v>
      </c>
      <c r="S709" s="2">
        <f t="shared" si="69"/>
        <v>0</v>
      </c>
    </row>
    <row r="710" spans="2:19" x14ac:dyDescent="0.25">
      <c r="B710" s="1">
        <f t="shared" si="70"/>
        <v>704</v>
      </c>
      <c r="O710" s="2">
        <f t="shared" si="65"/>
        <v>-7.4999999999999997E-2</v>
      </c>
      <c r="P710" s="2">
        <f t="shared" si="66"/>
        <v>54.402535657686215</v>
      </c>
      <c r="Q710" s="2">
        <f t="shared" si="67"/>
        <v>0</v>
      </c>
      <c r="R710" s="2">
        <f t="shared" si="68"/>
        <v>0</v>
      </c>
      <c r="S710" s="2">
        <f t="shared" si="69"/>
        <v>0</v>
      </c>
    </row>
    <row r="711" spans="2:19" x14ac:dyDescent="0.25">
      <c r="B711" s="1">
        <f t="shared" si="70"/>
        <v>705</v>
      </c>
      <c r="O711" s="2">
        <f t="shared" si="65"/>
        <v>-7.4999999999999997E-2</v>
      </c>
      <c r="P711" s="2">
        <f t="shared" si="66"/>
        <v>54.402535657686215</v>
      </c>
      <c r="Q711" s="2">
        <f t="shared" si="67"/>
        <v>0</v>
      </c>
      <c r="R711" s="2">
        <f t="shared" si="68"/>
        <v>0</v>
      </c>
      <c r="S711" s="2">
        <f t="shared" si="69"/>
        <v>0</v>
      </c>
    </row>
    <row r="712" spans="2:19" x14ac:dyDescent="0.25">
      <c r="B712" s="1">
        <f t="shared" si="70"/>
        <v>706</v>
      </c>
      <c r="O712" s="2">
        <f t="shared" ref="O712:O775" si="71">M712-$X$23</f>
        <v>-7.4999999999999997E-2</v>
      </c>
      <c r="P712" s="2">
        <f t="shared" ref="P712:P775" si="72">O712*$AC$21+$Y$23</f>
        <v>54.402535657686215</v>
      </c>
      <c r="Q712" s="2">
        <f t="shared" ref="Q712:Q775" si="73">((D712+D713)/2)*(M713-M712)</f>
        <v>0</v>
      </c>
      <c r="R712" s="2">
        <f t="shared" ref="R712:R775" si="74">((P712+P713)/2)*(O713-O712)</f>
        <v>0</v>
      </c>
      <c r="S712" s="2">
        <f t="shared" ref="S712:S775" si="75">Q712-R712</f>
        <v>0</v>
      </c>
    </row>
    <row r="713" spans="2:19" x14ac:dyDescent="0.25">
      <c r="B713" s="1">
        <f t="shared" ref="B713:B776" si="76">B712+1</f>
        <v>707</v>
      </c>
      <c r="O713" s="2">
        <f t="shared" si="71"/>
        <v>-7.4999999999999997E-2</v>
      </c>
      <c r="P713" s="2">
        <f t="shared" si="72"/>
        <v>54.402535657686215</v>
      </c>
      <c r="Q713" s="2">
        <f t="shared" si="73"/>
        <v>0</v>
      </c>
      <c r="R713" s="2">
        <f t="shared" si="74"/>
        <v>0</v>
      </c>
      <c r="S713" s="2">
        <f t="shared" si="75"/>
        <v>0</v>
      </c>
    </row>
    <row r="714" spans="2:19" x14ac:dyDescent="0.25">
      <c r="B714" s="1">
        <f t="shared" si="76"/>
        <v>708</v>
      </c>
      <c r="O714" s="2">
        <f t="shared" si="71"/>
        <v>-7.4999999999999997E-2</v>
      </c>
      <c r="P714" s="2">
        <f t="shared" si="72"/>
        <v>54.402535657686215</v>
      </c>
      <c r="Q714" s="2">
        <f t="shared" si="73"/>
        <v>0</v>
      </c>
      <c r="R714" s="2">
        <f t="shared" si="74"/>
        <v>0</v>
      </c>
      <c r="S714" s="2">
        <f t="shared" si="75"/>
        <v>0</v>
      </c>
    </row>
    <row r="715" spans="2:19" x14ac:dyDescent="0.25">
      <c r="B715" s="1">
        <f t="shared" si="76"/>
        <v>709</v>
      </c>
      <c r="O715" s="2">
        <f t="shared" si="71"/>
        <v>-7.4999999999999997E-2</v>
      </c>
      <c r="P715" s="2">
        <f t="shared" si="72"/>
        <v>54.402535657686215</v>
      </c>
      <c r="Q715" s="2">
        <f t="shared" si="73"/>
        <v>0</v>
      </c>
      <c r="R715" s="2">
        <f t="shared" si="74"/>
        <v>0</v>
      </c>
      <c r="S715" s="2">
        <f t="shared" si="75"/>
        <v>0</v>
      </c>
    </row>
    <row r="716" spans="2:19" x14ac:dyDescent="0.25">
      <c r="B716" s="1">
        <f t="shared" si="76"/>
        <v>710</v>
      </c>
      <c r="O716" s="2">
        <f t="shared" si="71"/>
        <v>-7.4999999999999997E-2</v>
      </c>
      <c r="P716" s="2">
        <f t="shared" si="72"/>
        <v>54.402535657686215</v>
      </c>
      <c r="Q716" s="2">
        <f t="shared" si="73"/>
        <v>0</v>
      </c>
      <c r="R716" s="2">
        <f t="shared" si="74"/>
        <v>0</v>
      </c>
      <c r="S716" s="2">
        <f t="shared" si="75"/>
        <v>0</v>
      </c>
    </row>
    <row r="717" spans="2:19" x14ac:dyDescent="0.25">
      <c r="B717" s="1">
        <f t="shared" si="76"/>
        <v>711</v>
      </c>
      <c r="O717" s="2">
        <f t="shared" si="71"/>
        <v>-7.4999999999999997E-2</v>
      </c>
      <c r="P717" s="2">
        <f t="shared" si="72"/>
        <v>54.402535657686215</v>
      </c>
      <c r="Q717" s="2">
        <f t="shared" si="73"/>
        <v>0</v>
      </c>
      <c r="R717" s="2">
        <f t="shared" si="74"/>
        <v>0</v>
      </c>
      <c r="S717" s="2">
        <f t="shared" si="75"/>
        <v>0</v>
      </c>
    </row>
    <row r="718" spans="2:19" x14ac:dyDescent="0.25">
      <c r="B718" s="1">
        <f t="shared" si="76"/>
        <v>712</v>
      </c>
      <c r="O718" s="2">
        <f t="shared" si="71"/>
        <v>-7.4999999999999997E-2</v>
      </c>
      <c r="P718" s="2">
        <f t="shared" si="72"/>
        <v>54.402535657686215</v>
      </c>
      <c r="Q718" s="2">
        <f t="shared" si="73"/>
        <v>0</v>
      </c>
      <c r="R718" s="2">
        <f t="shared" si="74"/>
        <v>0</v>
      </c>
      <c r="S718" s="2">
        <f t="shared" si="75"/>
        <v>0</v>
      </c>
    </row>
    <row r="719" spans="2:19" x14ac:dyDescent="0.25">
      <c r="B719" s="1">
        <f t="shared" si="76"/>
        <v>713</v>
      </c>
      <c r="O719" s="2">
        <f t="shared" si="71"/>
        <v>-7.4999999999999997E-2</v>
      </c>
      <c r="P719" s="2">
        <f t="shared" si="72"/>
        <v>54.402535657686215</v>
      </c>
      <c r="Q719" s="2">
        <f t="shared" si="73"/>
        <v>0</v>
      </c>
      <c r="R719" s="2">
        <f t="shared" si="74"/>
        <v>0</v>
      </c>
      <c r="S719" s="2">
        <f t="shared" si="75"/>
        <v>0</v>
      </c>
    </row>
    <row r="720" spans="2:19" x14ac:dyDescent="0.25">
      <c r="B720" s="1">
        <f t="shared" si="76"/>
        <v>714</v>
      </c>
      <c r="O720" s="2">
        <f t="shared" si="71"/>
        <v>-7.4999999999999997E-2</v>
      </c>
      <c r="P720" s="2">
        <f t="shared" si="72"/>
        <v>54.402535657686215</v>
      </c>
      <c r="Q720" s="2">
        <f t="shared" si="73"/>
        <v>0</v>
      </c>
      <c r="R720" s="2">
        <f t="shared" si="74"/>
        <v>0</v>
      </c>
      <c r="S720" s="2">
        <f t="shared" si="75"/>
        <v>0</v>
      </c>
    </row>
    <row r="721" spans="2:19" x14ac:dyDescent="0.25">
      <c r="B721" s="1">
        <f t="shared" si="76"/>
        <v>715</v>
      </c>
      <c r="O721" s="2">
        <f t="shared" si="71"/>
        <v>-7.4999999999999997E-2</v>
      </c>
      <c r="P721" s="2">
        <f t="shared" si="72"/>
        <v>54.402535657686215</v>
      </c>
      <c r="Q721" s="2">
        <f t="shared" si="73"/>
        <v>0</v>
      </c>
      <c r="R721" s="2">
        <f t="shared" si="74"/>
        <v>0</v>
      </c>
      <c r="S721" s="2">
        <f t="shared" si="75"/>
        <v>0</v>
      </c>
    </row>
    <row r="722" spans="2:19" x14ac:dyDescent="0.25">
      <c r="B722" s="1">
        <f t="shared" si="76"/>
        <v>716</v>
      </c>
      <c r="O722" s="2">
        <f t="shared" si="71"/>
        <v>-7.4999999999999997E-2</v>
      </c>
      <c r="P722" s="2">
        <f t="shared" si="72"/>
        <v>54.402535657686215</v>
      </c>
      <c r="Q722" s="2">
        <f t="shared" si="73"/>
        <v>0</v>
      </c>
      <c r="R722" s="2">
        <f t="shared" si="74"/>
        <v>0</v>
      </c>
      <c r="S722" s="2">
        <f t="shared" si="75"/>
        <v>0</v>
      </c>
    </row>
    <row r="723" spans="2:19" x14ac:dyDescent="0.25">
      <c r="B723" s="1">
        <f t="shared" si="76"/>
        <v>717</v>
      </c>
      <c r="O723" s="2">
        <f t="shared" si="71"/>
        <v>-7.4999999999999997E-2</v>
      </c>
      <c r="P723" s="2">
        <f t="shared" si="72"/>
        <v>54.402535657686215</v>
      </c>
      <c r="Q723" s="2">
        <f t="shared" si="73"/>
        <v>0</v>
      </c>
      <c r="R723" s="2">
        <f t="shared" si="74"/>
        <v>0</v>
      </c>
      <c r="S723" s="2">
        <f t="shared" si="75"/>
        <v>0</v>
      </c>
    </row>
    <row r="724" spans="2:19" x14ac:dyDescent="0.25">
      <c r="B724" s="1">
        <f t="shared" si="76"/>
        <v>718</v>
      </c>
      <c r="O724" s="2">
        <f t="shared" si="71"/>
        <v>-7.4999999999999997E-2</v>
      </c>
      <c r="P724" s="2">
        <f t="shared" si="72"/>
        <v>54.402535657686215</v>
      </c>
      <c r="Q724" s="2">
        <f t="shared" si="73"/>
        <v>0</v>
      </c>
      <c r="R724" s="2">
        <f t="shared" si="74"/>
        <v>0</v>
      </c>
      <c r="S724" s="2">
        <f t="shared" si="75"/>
        <v>0</v>
      </c>
    </row>
    <row r="725" spans="2:19" x14ac:dyDescent="0.25">
      <c r="B725" s="1">
        <f t="shared" si="76"/>
        <v>719</v>
      </c>
      <c r="O725" s="2">
        <f t="shared" si="71"/>
        <v>-7.4999999999999997E-2</v>
      </c>
      <c r="P725" s="2">
        <f t="shared" si="72"/>
        <v>54.402535657686215</v>
      </c>
      <c r="Q725" s="2">
        <f t="shared" si="73"/>
        <v>0</v>
      </c>
      <c r="R725" s="2">
        <f t="shared" si="74"/>
        <v>0</v>
      </c>
      <c r="S725" s="2">
        <f t="shared" si="75"/>
        <v>0</v>
      </c>
    </row>
    <row r="726" spans="2:19" x14ac:dyDescent="0.25">
      <c r="B726" s="1">
        <f t="shared" si="76"/>
        <v>720</v>
      </c>
      <c r="O726" s="2">
        <f t="shared" si="71"/>
        <v>-7.4999999999999997E-2</v>
      </c>
      <c r="P726" s="2">
        <f t="shared" si="72"/>
        <v>54.402535657686215</v>
      </c>
      <c r="Q726" s="2">
        <f t="shared" si="73"/>
        <v>0</v>
      </c>
      <c r="R726" s="2">
        <f t="shared" si="74"/>
        <v>0</v>
      </c>
      <c r="S726" s="2">
        <f t="shared" si="75"/>
        <v>0</v>
      </c>
    </row>
    <row r="727" spans="2:19" x14ac:dyDescent="0.25">
      <c r="B727" s="1">
        <f t="shared" si="76"/>
        <v>721</v>
      </c>
      <c r="O727" s="2">
        <f t="shared" si="71"/>
        <v>-7.4999999999999997E-2</v>
      </c>
      <c r="P727" s="2">
        <f t="shared" si="72"/>
        <v>54.402535657686215</v>
      </c>
      <c r="Q727" s="2">
        <f t="shared" si="73"/>
        <v>0</v>
      </c>
      <c r="R727" s="2">
        <f t="shared" si="74"/>
        <v>0</v>
      </c>
      <c r="S727" s="2">
        <f t="shared" si="75"/>
        <v>0</v>
      </c>
    </row>
    <row r="728" spans="2:19" x14ac:dyDescent="0.25">
      <c r="B728" s="1">
        <f t="shared" si="76"/>
        <v>722</v>
      </c>
      <c r="O728" s="2">
        <f t="shared" si="71"/>
        <v>-7.4999999999999997E-2</v>
      </c>
      <c r="P728" s="2">
        <f t="shared" si="72"/>
        <v>54.402535657686215</v>
      </c>
      <c r="Q728" s="2">
        <f t="shared" si="73"/>
        <v>0</v>
      </c>
      <c r="R728" s="2">
        <f t="shared" si="74"/>
        <v>0</v>
      </c>
      <c r="S728" s="2">
        <f t="shared" si="75"/>
        <v>0</v>
      </c>
    </row>
    <row r="729" spans="2:19" x14ac:dyDescent="0.25">
      <c r="B729" s="1">
        <f t="shared" si="76"/>
        <v>723</v>
      </c>
      <c r="O729" s="2">
        <f t="shared" si="71"/>
        <v>-7.4999999999999997E-2</v>
      </c>
      <c r="P729" s="2">
        <f t="shared" si="72"/>
        <v>54.402535657686215</v>
      </c>
      <c r="Q729" s="2">
        <f t="shared" si="73"/>
        <v>0</v>
      </c>
      <c r="R729" s="2">
        <f t="shared" si="74"/>
        <v>0</v>
      </c>
      <c r="S729" s="2">
        <f t="shared" si="75"/>
        <v>0</v>
      </c>
    </row>
    <row r="730" spans="2:19" x14ac:dyDescent="0.25">
      <c r="B730" s="1">
        <f t="shared" si="76"/>
        <v>724</v>
      </c>
      <c r="O730" s="2">
        <f t="shared" si="71"/>
        <v>-7.4999999999999997E-2</v>
      </c>
      <c r="P730" s="2">
        <f t="shared" si="72"/>
        <v>54.402535657686215</v>
      </c>
      <c r="Q730" s="2">
        <f t="shared" si="73"/>
        <v>0</v>
      </c>
      <c r="R730" s="2">
        <f t="shared" si="74"/>
        <v>0</v>
      </c>
      <c r="S730" s="2">
        <f t="shared" si="75"/>
        <v>0</v>
      </c>
    </row>
    <row r="731" spans="2:19" x14ac:dyDescent="0.25">
      <c r="B731" s="1">
        <f t="shared" si="76"/>
        <v>725</v>
      </c>
      <c r="O731" s="2">
        <f t="shared" si="71"/>
        <v>-7.4999999999999997E-2</v>
      </c>
      <c r="P731" s="2">
        <f t="shared" si="72"/>
        <v>54.402535657686215</v>
      </c>
      <c r="Q731" s="2">
        <f t="shared" si="73"/>
        <v>0</v>
      </c>
      <c r="R731" s="2">
        <f t="shared" si="74"/>
        <v>0</v>
      </c>
      <c r="S731" s="2">
        <f t="shared" si="75"/>
        <v>0</v>
      </c>
    </row>
    <row r="732" spans="2:19" x14ac:dyDescent="0.25">
      <c r="B732" s="1">
        <f t="shared" si="76"/>
        <v>726</v>
      </c>
      <c r="O732" s="2">
        <f t="shared" si="71"/>
        <v>-7.4999999999999997E-2</v>
      </c>
      <c r="P732" s="2">
        <f t="shared" si="72"/>
        <v>54.402535657686215</v>
      </c>
      <c r="Q732" s="2">
        <f t="shared" si="73"/>
        <v>0</v>
      </c>
      <c r="R732" s="2">
        <f t="shared" si="74"/>
        <v>0</v>
      </c>
      <c r="S732" s="2">
        <f t="shared" si="75"/>
        <v>0</v>
      </c>
    </row>
    <row r="733" spans="2:19" x14ac:dyDescent="0.25">
      <c r="B733" s="1">
        <f t="shared" si="76"/>
        <v>727</v>
      </c>
      <c r="O733" s="2">
        <f t="shared" si="71"/>
        <v>-7.4999999999999997E-2</v>
      </c>
      <c r="P733" s="2">
        <f t="shared" si="72"/>
        <v>54.402535657686215</v>
      </c>
      <c r="Q733" s="2">
        <f t="shared" si="73"/>
        <v>0</v>
      </c>
      <c r="R733" s="2">
        <f t="shared" si="74"/>
        <v>0</v>
      </c>
      <c r="S733" s="2">
        <f t="shared" si="75"/>
        <v>0</v>
      </c>
    </row>
    <row r="734" spans="2:19" x14ac:dyDescent="0.25">
      <c r="B734" s="1">
        <f t="shared" si="76"/>
        <v>728</v>
      </c>
      <c r="O734" s="2">
        <f t="shared" si="71"/>
        <v>-7.4999999999999997E-2</v>
      </c>
      <c r="P734" s="2">
        <f t="shared" si="72"/>
        <v>54.402535657686215</v>
      </c>
      <c r="Q734" s="2">
        <f t="shared" si="73"/>
        <v>0</v>
      </c>
      <c r="R734" s="2">
        <f t="shared" si="74"/>
        <v>0</v>
      </c>
      <c r="S734" s="2">
        <f t="shared" si="75"/>
        <v>0</v>
      </c>
    </row>
    <row r="735" spans="2:19" x14ac:dyDescent="0.25">
      <c r="B735" s="1">
        <f t="shared" si="76"/>
        <v>729</v>
      </c>
      <c r="O735" s="2">
        <f t="shared" si="71"/>
        <v>-7.4999999999999997E-2</v>
      </c>
      <c r="P735" s="2">
        <f t="shared" si="72"/>
        <v>54.402535657686215</v>
      </c>
      <c r="Q735" s="2">
        <f t="shared" si="73"/>
        <v>0</v>
      </c>
      <c r="R735" s="2">
        <f t="shared" si="74"/>
        <v>0</v>
      </c>
      <c r="S735" s="2">
        <f t="shared" si="75"/>
        <v>0</v>
      </c>
    </row>
    <row r="736" spans="2:19" x14ac:dyDescent="0.25">
      <c r="B736" s="1">
        <f t="shared" si="76"/>
        <v>730</v>
      </c>
      <c r="O736" s="2">
        <f t="shared" si="71"/>
        <v>-7.4999999999999997E-2</v>
      </c>
      <c r="P736" s="2">
        <f t="shared" si="72"/>
        <v>54.402535657686215</v>
      </c>
      <c r="Q736" s="2">
        <f t="shared" si="73"/>
        <v>0</v>
      </c>
      <c r="R736" s="2">
        <f t="shared" si="74"/>
        <v>0</v>
      </c>
      <c r="S736" s="2">
        <f t="shared" si="75"/>
        <v>0</v>
      </c>
    </row>
    <row r="737" spans="2:19" x14ac:dyDescent="0.25">
      <c r="B737" s="1">
        <f t="shared" si="76"/>
        <v>731</v>
      </c>
      <c r="O737" s="2">
        <f t="shared" si="71"/>
        <v>-7.4999999999999997E-2</v>
      </c>
      <c r="P737" s="2">
        <f t="shared" si="72"/>
        <v>54.402535657686215</v>
      </c>
      <c r="Q737" s="2">
        <f t="shared" si="73"/>
        <v>0</v>
      </c>
      <c r="R737" s="2">
        <f t="shared" si="74"/>
        <v>0</v>
      </c>
      <c r="S737" s="2">
        <f t="shared" si="75"/>
        <v>0</v>
      </c>
    </row>
    <row r="738" spans="2:19" x14ac:dyDescent="0.25">
      <c r="B738" s="1">
        <f t="shared" si="76"/>
        <v>732</v>
      </c>
      <c r="O738" s="2">
        <f t="shared" si="71"/>
        <v>-7.4999999999999997E-2</v>
      </c>
      <c r="P738" s="2">
        <f t="shared" si="72"/>
        <v>54.402535657686215</v>
      </c>
      <c r="Q738" s="2">
        <f t="shared" si="73"/>
        <v>0</v>
      </c>
      <c r="R738" s="2">
        <f t="shared" si="74"/>
        <v>0</v>
      </c>
      <c r="S738" s="2">
        <f t="shared" si="75"/>
        <v>0</v>
      </c>
    </row>
    <row r="739" spans="2:19" x14ac:dyDescent="0.25">
      <c r="B739" s="1">
        <f t="shared" si="76"/>
        <v>733</v>
      </c>
      <c r="O739" s="2">
        <f t="shared" si="71"/>
        <v>-7.4999999999999997E-2</v>
      </c>
      <c r="P739" s="2">
        <f t="shared" si="72"/>
        <v>54.402535657686215</v>
      </c>
      <c r="Q739" s="2">
        <f t="shared" si="73"/>
        <v>0</v>
      </c>
      <c r="R739" s="2">
        <f t="shared" si="74"/>
        <v>0</v>
      </c>
      <c r="S739" s="2">
        <f t="shared" si="75"/>
        <v>0</v>
      </c>
    </row>
    <row r="740" spans="2:19" x14ac:dyDescent="0.25">
      <c r="B740" s="1">
        <f t="shared" si="76"/>
        <v>734</v>
      </c>
      <c r="O740" s="2">
        <f t="shared" si="71"/>
        <v>-7.4999999999999997E-2</v>
      </c>
      <c r="P740" s="2">
        <f t="shared" si="72"/>
        <v>54.402535657686215</v>
      </c>
      <c r="Q740" s="2">
        <f t="shared" si="73"/>
        <v>0</v>
      </c>
      <c r="R740" s="2">
        <f t="shared" si="74"/>
        <v>0</v>
      </c>
      <c r="S740" s="2">
        <f t="shared" si="75"/>
        <v>0</v>
      </c>
    </row>
    <row r="741" spans="2:19" x14ac:dyDescent="0.25">
      <c r="B741" s="1">
        <f t="shared" si="76"/>
        <v>735</v>
      </c>
      <c r="O741" s="2">
        <f t="shared" si="71"/>
        <v>-7.4999999999999997E-2</v>
      </c>
      <c r="P741" s="2">
        <f t="shared" si="72"/>
        <v>54.402535657686215</v>
      </c>
      <c r="Q741" s="2">
        <f t="shared" si="73"/>
        <v>0</v>
      </c>
      <c r="R741" s="2">
        <f t="shared" si="74"/>
        <v>0</v>
      </c>
      <c r="S741" s="2">
        <f t="shared" si="75"/>
        <v>0</v>
      </c>
    </row>
    <row r="742" spans="2:19" x14ac:dyDescent="0.25">
      <c r="B742" s="1">
        <f t="shared" si="76"/>
        <v>736</v>
      </c>
      <c r="O742" s="2">
        <f t="shared" si="71"/>
        <v>-7.4999999999999997E-2</v>
      </c>
      <c r="P742" s="2">
        <f t="shared" si="72"/>
        <v>54.402535657686215</v>
      </c>
      <c r="Q742" s="2">
        <f t="shared" si="73"/>
        <v>0</v>
      </c>
      <c r="R742" s="2">
        <f t="shared" si="74"/>
        <v>0</v>
      </c>
      <c r="S742" s="2">
        <f t="shared" si="75"/>
        <v>0</v>
      </c>
    </row>
    <row r="743" spans="2:19" x14ac:dyDescent="0.25">
      <c r="B743" s="1">
        <f t="shared" si="76"/>
        <v>737</v>
      </c>
      <c r="O743" s="2">
        <f t="shared" si="71"/>
        <v>-7.4999999999999997E-2</v>
      </c>
      <c r="P743" s="2">
        <f t="shared" si="72"/>
        <v>54.402535657686215</v>
      </c>
      <c r="Q743" s="2">
        <f t="shared" si="73"/>
        <v>0</v>
      </c>
      <c r="R743" s="2">
        <f t="shared" si="74"/>
        <v>0</v>
      </c>
      <c r="S743" s="2">
        <f t="shared" si="75"/>
        <v>0</v>
      </c>
    </row>
    <row r="744" spans="2:19" x14ac:dyDescent="0.25">
      <c r="B744" s="1">
        <f t="shared" si="76"/>
        <v>738</v>
      </c>
      <c r="O744" s="2">
        <f t="shared" si="71"/>
        <v>-7.4999999999999997E-2</v>
      </c>
      <c r="P744" s="2">
        <f t="shared" si="72"/>
        <v>54.402535657686215</v>
      </c>
      <c r="Q744" s="2">
        <f t="shared" si="73"/>
        <v>0</v>
      </c>
      <c r="R744" s="2">
        <f t="shared" si="74"/>
        <v>0</v>
      </c>
      <c r="S744" s="2">
        <f t="shared" si="75"/>
        <v>0</v>
      </c>
    </row>
    <row r="745" spans="2:19" x14ac:dyDescent="0.25">
      <c r="B745" s="1">
        <f t="shared" si="76"/>
        <v>739</v>
      </c>
      <c r="O745" s="2">
        <f t="shared" si="71"/>
        <v>-7.4999999999999997E-2</v>
      </c>
      <c r="P745" s="2">
        <f t="shared" si="72"/>
        <v>54.402535657686215</v>
      </c>
      <c r="Q745" s="2">
        <f t="shared" si="73"/>
        <v>0</v>
      </c>
      <c r="R745" s="2">
        <f t="shared" si="74"/>
        <v>0</v>
      </c>
      <c r="S745" s="2">
        <f t="shared" si="75"/>
        <v>0</v>
      </c>
    </row>
    <row r="746" spans="2:19" x14ac:dyDescent="0.25">
      <c r="B746" s="1">
        <f t="shared" si="76"/>
        <v>740</v>
      </c>
      <c r="O746" s="2">
        <f t="shared" si="71"/>
        <v>-7.4999999999999997E-2</v>
      </c>
      <c r="P746" s="2">
        <f t="shared" si="72"/>
        <v>54.402535657686215</v>
      </c>
      <c r="Q746" s="2">
        <f t="shared" si="73"/>
        <v>0</v>
      </c>
      <c r="R746" s="2">
        <f t="shared" si="74"/>
        <v>0</v>
      </c>
      <c r="S746" s="2">
        <f t="shared" si="75"/>
        <v>0</v>
      </c>
    </row>
    <row r="747" spans="2:19" x14ac:dyDescent="0.25">
      <c r="B747" s="1">
        <f t="shared" si="76"/>
        <v>741</v>
      </c>
      <c r="O747" s="2">
        <f t="shared" si="71"/>
        <v>-7.4999999999999997E-2</v>
      </c>
      <c r="P747" s="2">
        <f t="shared" si="72"/>
        <v>54.402535657686215</v>
      </c>
      <c r="Q747" s="2">
        <f t="shared" si="73"/>
        <v>0</v>
      </c>
      <c r="R747" s="2">
        <f t="shared" si="74"/>
        <v>0</v>
      </c>
      <c r="S747" s="2">
        <f t="shared" si="75"/>
        <v>0</v>
      </c>
    </row>
    <row r="748" spans="2:19" x14ac:dyDescent="0.25">
      <c r="B748" s="1">
        <f t="shared" si="76"/>
        <v>742</v>
      </c>
      <c r="O748" s="2">
        <f t="shared" si="71"/>
        <v>-7.4999999999999997E-2</v>
      </c>
      <c r="P748" s="2">
        <f t="shared" si="72"/>
        <v>54.402535657686215</v>
      </c>
      <c r="Q748" s="2">
        <f t="shared" si="73"/>
        <v>0</v>
      </c>
      <c r="R748" s="2">
        <f t="shared" si="74"/>
        <v>0</v>
      </c>
      <c r="S748" s="2">
        <f t="shared" si="75"/>
        <v>0</v>
      </c>
    </row>
    <row r="749" spans="2:19" x14ac:dyDescent="0.25">
      <c r="B749" s="1">
        <f t="shared" si="76"/>
        <v>743</v>
      </c>
      <c r="O749" s="2">
        <f t="shared" si="71"/>
        <v>-7.4999999999999997E-2</v>
      </c>
      <c r="P749" s="2">
        <f t="shared" si="72"/>
        <v>54.402535657686215</v>
      </c>
      <c r="Q749" s="2">
        <f t="shared" si="73"/>
        <v>0</v>
      </c>
      <c r="R749" s="2">
        <f t="shared" si="74"/>
        <v>0</v>
      </c>
      <c r="S749" s="2">
        <f t="shared" si="75"/>
        <v>0</v>
      </c>
    </row>
    <row r="750" spans="2:19" x14ac:dyDescent="0.25">
      <c r="B750" s="1">
        <f t="shared" si="76"/>
        <v>744</v>
      </c>
      <c r="O750" s="2">
        <f t="shared" si="71"/>
        <v>-7.4999999999999997E-2</v>
      </c>
      <c r="P750" s="2">
        <f t="shared" si="72"/>
        <v>54.402535657686215</v>
      </c>
      <c r="Q750" s="2">
        <f t="shared" si="73"/>
        <v>0</v>
      </c>
      <c r="R750" s="2">
        <f t="shared" si="74"/>
        <v>0</v>
      </c>
      <c r="S750" s="2">
        <f t="shared" si="75"/>
        <v>0</v>
      </c>
    </row>
    <row r="751" spans="2:19" x14ac:dyDescent="0.25">
      <c r="B751" s="1">
        <f t="shared" si="76"/>
        <v>745</v>
      </c>
      <c r="O751" s="2">
        <f t="shared" si="71"/>
        <v>-7.4999999999999997E-2</v>
      </c>
      <c r="P751" s="2">
        <f t="shared" si="72"/>
        <v>54.402535657686215</v>
      </c>
      <c r="Q751" s="2">
        <f t="shared" si="73"/>
        <v>0</v>
      </c>
      <c r="R751" s="2">
        <f t="shared" si="74"/>
        <v>0</v>
      </c>
      <c r="S751" s="2">
        <f t="shared" si="75"/>
        <v>0</v>
      </c>
    </row>
    <row r="752" spans="2:19" x14ac:dyDescent="0.25">
      <c r="B752" s="1">
        <f t="shared" si="76"/>
        <v>746</v>
      </c>
      <c r="O752" s="2">
        <f t="shared" si="71"/>
        <v>-7.4999999999999997E-2</v>
      </c>
      <c r="P752" s="2">
        <f t="shared" si="72"/>
        <v>54.402535657686215</v>
      </c>
      <c r="Q752" s="2">
        <f t="shared" si="73"/>
        <v>0</v>
      </c>
      <c r="R752" s="2">
        <f t="shared" si="74"/>
        <v>0</v>
      </c>
      <c r="S752" s="2">
        <f t="shared" si="75"/>
        <v>0</v>
      </c>
    </row>
    <row r="753" spans="2:19" x14ac:dyDescent="0.25">
      <c r="B753" s="1">
        <f t="shared" si="76"/>
        <v>747</v>
      </c>
      <c r="O753" s="2">
        <f t="shared" si="71"/>
        <v>-7.4999999999999997E-2</v>
      </c>
      <c r="P753" s="2">
        <f t="shared" si="72"/>
        <v>54.402535657686215</v>
      </c>
      <c r="Q753" s="2">
        <f t="shared" si="73"/>
        <v>0</v>
      </c>
      <c r="R753" s="2">
        <f t="shared" si="74"/>
        <v>0</v>
      </c>
      <c r="S753" s="2">
        <f t="shared" si="75"/>
        <v>0</v>
      </c>
    </row>
    <row r="754" spans="2:19" x14ac:dyDescent="0.25">
      <c r="B754" s="1">
        <f t="shared" si="76"/>
        <v>748</v>
      </c>
      <c r="O754" s="2">
        <f t="shared" si="71"/>
        <v>-7.4999999999999997E-2</v>
      </c>
      <c r="P754" s="2">
        <f t="shared" si="72"/>
        <v>54.402535657686215</v>
      </c>
      <c r="Q754" s="2">
        <f t="shared" si="73"/>
        <v>0</v>
      </c>
      <c r="R754" s="2">
        <f t="shared" si="74"/>
        <v>0</v>
      </c>
      <c r="S754" s="2">
        <f t="shared" si="75"/>
        <v>0</v>
      </c>
    </row>
    <row r="755" spans="2:19" x14ac:dyDescent="0.25">
      <c r="B755" s="1">
        <f t="shared" si="76"/>
        <v>749</v>
      </c>
      <c r="O755" s="2">
        <f t="shared" si="71"/>
        <v>-7.4999999999999997E-2</v>
      </c>
      <c r="P755" s="2">
        <f t="shared" si="72"/>
        <v>54.402535657686215</v>
      </c>
      <c r="Q755" s="2">
        <f t="shared" si="73"/>
        <v>0</v>
      </c>
      <c r="R755" s="2">
        <f t="shared" si="74"/>
        <v>0</v>
      </c>
      <c r="S755" s="2">
        <f t="shared" si="75"/>
        <v>0</v>
      </c>
    </row>
    <row r="756" spans="2:19" x14ac:dyDescent="0.25">
      <c r="B756" s="1">
        <f t="shared" si="76"/>
        <v>750</v>
      </c>
      <c r="O756" s="2">
        <f t="shared" si="71"/>
        <v>-7.4999999999999997E-2</v>
      </c>
      <c r="P756" s="2">
        <f t="shared" si="72"/>
        <v>54.402535657686215</v>
      </c>
      <c r="Q756" s="2">
        <f t="shared" si="73"/>
        <v>0</v>
      </c>
      <c r="R756" s="2">
        <f t="shared" si="74"/>
        <v>0</v>
      </c>
      <c r="S756" s="2">
        <f t="shared" si="75"/>
        <v>0</v>
      </c>
    </row>
    <row r="757" spans="2:19" x14ac:dyDescent="0.25">
      <c r="B757" s="1">
        <f t="shared" si="76"/>
        <v>751</v>
      </c>
      <c r="O757" s="2">
        <f t="shared" si="71"/>
        <v>-7.4999999999999997E-2</v>
      </c>
      <c r="P757" s="2">
        <f t="shared" si="72"/>
        <v>54.402535657686215</v>
      </c>
      <c r="Q757" s="2">
        <f t="shared" si="73"/>
        <v>0</v>
      </c>
      <c r="R757" s="2">
        <f t="shared" si="74"/>
        <v>0</v>
      </c>
      <c r="S757" s="2">
        <f t="shared" si="75"/>
        <v>0</v>
      </c>
    </row>
    <row r="758" spans="2:19" x14ac:dyDescent="0.25">
      <c r="B758" s="1">
        <f t="shared" si="76"/>
        <v>752</v>
      </c>
      <c r="O758" s="2">
        <f t="shared" si="71"/>
        <v>-7.4999999999999997E-2</v>
      </c>
      <c r="P758" s="2">
        <f t="shared" si="72"/>
        <v>54.402535657686215</v>
      </c>
      <c r="Q758" s="2">
        <f t="shared" si="73"/>
        <v>0</v>
      </c>
      <c r="R758" s="2">
        <f t="shared" si="74"/>
        <v>0</v>
      </c>
      <c r="S758" s="2">
        <f t="shared" si="75"/>
        <v>0</v>
      </c>
    </row>
    <row r="759" spans="2:19" x14ac:dyDescent="0.25">
      <c r="B759" s="1">
        <f t="shared" si="76"/>
        <v>753</v>
      </c>
      <c r="O759" s="2">
        <f t="shared" si="71"/>
        <v>-7.4999999999999997E-2</v>
      </c>
      <c r="P759" s="2">
        <f t="shared" si="72"/>
        <v>54.402535657686215</v>
      </c>
      <c r="Q759" s="2">
        <f t="shared" si="73"/>
        <v>0</v>
      </c>
      <c r="R759" s="2">
        <f t="shared" si="74"/>
        <v>0</v>
      </c>
      <c r="S759" s="2">
        <f t="shared" si="75"/>
        <v>0</v>
      </c>
    </row>
    <row r="760" spans="2:19" x14ac:dyDescent="0.25">
      <c r="B760" s="1">
        <f t="shared" si="76"/>
        <v>754</v>
      </c>
      <c r="O760" s="2">
        <f t="shared" si="71"/>
        <v>-7.4999999999999997E-2</v>
      </c>
      <c r="P760" s="2">
        <f t="shared" si="72"/>
        <v>54.402535657686215</v>
      </c>
      <c r="Q760" s="2">
        <f t="shared" si="73"/>
        <v>0</v>
      </c>
      <c r="R760" s="2">
        <f t="shared" si="74"/>
        <v>0</v>
      </c>
      <c r="S760" s="2">
        <f t="shared" si="75"/>
        <v>0</v>
      </c>
    </row>
    <row r="761" spans="2:19" x14ac:dyDescent="0.25">
      <c r="B761" s="1">
        <f t="shared" si="76"/>
        <v>755</v>
      </c>
      <c r="O761" s="2">
        <f t="shared" si="71"/>
        <v>-7.4999999999999997E-2</v>
      </c>
      <c r="P761" s="2">
        <f t="shared" si="72"/>
        <v>54.402535657686215</v>
      </c>
      <c r="Q761" s="2">
        <f t="shared" si="73"/>
        <v>0</v>
      </c>
      <c r="R761" s="2">
        <f t="shared" si="74"/>
        <v>0</v>
      </c>
      <c r="S761" s="2">
        <f t="shared" si="75"/>
        <v>0</v>
      </c>
    </row>
    <row r="762" spans="2:19" x14ac:dyDescent="0.25">
      <c r="B762" s="1">
        <f t="shared" si="76"/>
        <v>756</v>
      </c>
      <c r="O762" s="2">
        <f t="shared" si="71"/>
        <v>-7.4999999999999997E-2</v>
      </c>
      <c r="P762" s="2">
        <f t="shared" si="72"/>
        <v>54.402535657686215</v>
      </c>
      <c r="Q762" s="2">
        <f t="shared" si="73"/>
        <v>0</v>
      </c>
      <c r="R762" s="2">
        <f t="shared" si="74"/>
        <v>0</v>
      </c>
      <c r="S762" s="2">
        <f t="shared" si="75"/>
        <v>0</v>
      </c>
    </row>
    <row r="763" spans="2:19" x14ac:dyDescent="0.25">
      <c r="B763" s="1">
        <f t="shared" si="76"/>
        <v>757</v>
      </c>
      <c r="O763" s="2">
        <f t="shared" si="71"/>
        <v>-7.4999999999999997E-2</v>
      </c>
      <c r="P763" s="2">
        <f t="shared" si="72"/>
        <v>54.402535657686215</v>
      </c>
      <c r="Q763" s="2">
        <f t="shared" si="73"/>
        <v>0</v>
      </c>
      <c r="R763" s="2">
        <f t="shared" si="74"/>
        <v>0</v>
      </c>
      <c r="S763" s="2">
        <f t="shared" si="75"/>
        <v>0</v>
      </c>
    </row>
    <row r="764" spans="2:19" x14ac:dyDescent="0.25">
      <c r="B764" s="1">
        <f t="shared" si="76"/>
        <v>758</v>
      </c>
      <c r="O764" s="2">
        <f t="shared" si="71"/>
        <v>-7.4999999999999997E-2</v>
      </c>
      <c r="P764" s="2">
        <f t="shared" si="72"/>
        <v>54.402535657686215</v>
      </c>
      <c r="Q764" s="2">
        <f t="shared" si="73"/>
        <v>0</v>
      </c>
      <c r="R764" s="2">
        <f t="shared" si="74"/>
        <v>0</v>
      </c>
      <c r="S764" s="2">
        <f t="shared" si="75"/>
        <v>0</v>
      </c>
    </row>
    <row r="765" spans="2:19" x14ac:dyDescent="0.25">
      <c r="B765" s="1">
        <f t="shared" si="76"/>
        <v>759</v>
      </c>
      <c r="O765" s="2">
        <f t="shared" si="71"/>
        <v>-7.4999999999999997E-2</v>
      </c>
      <c r="P765" s="2">
        <f t="shared" si="72"/>
        <v>54.402535657686215</v>
      </c>
      <c r="Q765" s="2">
        <f t="shared" si="73"/>
        <v>0</v>
      </c>
      <c r="R765" s="2">
        <f t="shared" si="74"/>
        <v>0</v>
      </c>
      <c r="S765" s="2">
        <f t="shared" si="75"/>
        <v>0</v>
      </c>
    </row>
    <row r="766" spans="2:19" x14ac:dyDescent="0.25">
      <c r="B766" s="1">
        <f t="shared" si="76"/>
        <v>760</v>
      </c>
      <c r="O766" s="2">
        <f t="shared" si="71"/>
        <v>-7.4999999999999997E-2</v>
      </c>
      <c r="P766" s="2">
        <f t="shared" si="72"/>
        <v>54.402535657686215</v>
      </c>
      <c r="Q766" s="2">
        <f t="shared" si="73"/>
        <v>0</v>
      </c>
      <c r="R766" s="2">
        <f t="shared" si="74"/>
        <v>0</v>
      </c>
      <c r="S766" s="2">
        <f t="shared" si="75"/>
        <v>0</v>
      </c>
    </row>
    <row r="767" spans="2:19" x14ac:dyDescent="0.25">
      <c r="B767" s="1">
        <f t="shared" si="76"/>
        <v>761</v>
      </c>
      <c r="O767" s="2">
        <f t="shared" si="71"/>
        <v>-7.4999999999999997E-2</v>
      </c>
      <c r="P767" s="2">
        <f t="shared" si="72"/>
        <v>54.402535657686215</v>
      </c>
      <c r="Q767" s="2">
        <f t="shared" si="73"/>
        <v>0</v>
      </c>
      <c r="R767" s="2">
        <f t="shared" si="74"/>
        <v>0</v>
      </c>
      <c r="S767" s="2">
        <f t="shared" si="75"/>
        <v>0</v>
      </c>
    </row>
    <row r="768" spans="2:19" x14ac:dyDescent="0.25">
      <c r="B768" s="1">
        <f t="shared" si="76"/>
        <v>762</v>
      </c>
      <c r="O768" s="2">
        <f t="shared" si="71"/>
        <v>-7.4999999999999997E-2</v>
      </c>
      <c r="P768" s="2">
        <f t="shared" si="72"/>
        <v>54.402535657686215</v>
      </c>
      <c r="Q768" s="2">
        <f t="shared" si="73"/>
        <v>0</v>
      </c>
      <c r="R768" s="2">
        <f t="shared" si="74"/>
        <v>0</v>
      </c>
      <c r="S768" s="2">
        <f t="shared" si="75"/>
        <v>0</v>
      </c>
    </row>
    <row r="769" spans="2:19" x14ac:dyDescent="0.25">
      <c r="B769" s="1">
        <f t="shared" si="76"/>
        <v>763</v>
      </c>
      <c r="O769" s="2">
        <f t="shared" si="71"/>
        <v>-7.4999999999999997E-2</v>
      </c>
      <c r="P769" s="2">
        <f t="shared" si="72"/>
        <v>54.402535657686215</v>
      </c>
      <c r="Q769" s="2">
        <f t="shared" si="73"/>
        <v>0</v>
      </c>
      <c r="R769" s="2">
        <f t="shared" si="74"/>
        <v>0</v>
      </c>
      <c r="S769" s="2">
        <f t="shared" si="75"/>
        <v>0</v>
      </c>
    </row>
    <row r="770" spans="2:19" x14ac:dyDescent="0.25">
      <c r="B770" s="1">
        <f t="shared" si="76"/>
        <v>764</v>
      </c>
      <c r="O770" s="2">
        <f t="shared" si="71"/>
        <v>-7.4999999999999997E-2</v>
      </c>
      <c r="P770" s="2">
        <f t="shared" si="72"/>
        <v>54.402535657686215</v>
      </c>
      <c r="Q770" s="2">
        <f t="shared" si="73"/>
        <v>0</v>
      </c>
      <c r="R770" s="2">
        <f t="shared" si="74"/>
        <v>0</v>
      </c>
      <c r="S770" s="2">
        <f t="shared" si="75"/>
        <v>0</v>
      </c>
    </row>
    <row r="771" spans="2:19" x14ac:dyDescent="0.25">
      <c r="B771" s="1">
        <f t="shared" si="76"/>
        <v>765</v>
      </c>
      <c r="O771" s="2">
        <f t="shared" si="71"/>
        <v>-7.4999999999999997E-2</v>
      </c>
      <c r="P771" s="2">
        <f t="shared" si="72"/>
        <v>54.402535657686215</v>
      </c>
      <c r="Q771" s="2">
        <f t="shared" si="73"/>
        <v>0</v>
      </c>
      <c r="R771" s="2">
        <f t="shared" si="74"/>
        <v>0</v>
      </c>
      <c r="S771" s="2">
        <f t="shared" si="75"/>
        <v>0</v>
      </c>
    </row>
    <row r="772" spans="2:19" x14ac:dyDescent="0.25">
      <c r="B772" s="1">
        <f t="shared" si="76"/>
        <v>766</v>
      </c>
      <c r="O772" s="2">
        <f t="shared" si="71"/>
        <v>-7.4999999999999997E-2</v>
      </c>
      <c r="P772" s="2">
        <f t="shared" si="72"/>
        <v>54.402535657686215</v>
      </c>
      <c r="Q772" s="2">
        <f t="shared" si="73"/>
        <v>0</v>
      </c>
      <c r="R772" s="2">
        <f t="shared" si="74"/>
        <v>0</v>
      </c>
      <c r="S772" s="2">
        <f t="shared" si="75"/>
        <v>0</v>
      </c>
    </row>
    <row r="773" spans="2:19" x14ac:dyDescent="0.25">
      <c r="B773" s="1">
        <f t="shared" si="76"/>
        <v>767</v>
      </c>
      <c r="O773" s="2">
        <f t="shared" si="71"/>
        <v>-7.4999999999999997E-2</v>
      </c>
      <c r="P773" s="2">
        <f t="shared" si="72"/>
        <v>54.402535657686215</v>
      </c>
      <c r="Q773" s="2">
        <f t="shared" si="73"/>
        <v>0</v>
      </c>
      <c r="R773" s="2">
        <f t="shared" si="74"/>
        <v>0</v>
      </c>
      <c r="S773" s="2">
        <f t="shared" si="75"/>
        <v>0</v>
      </c>
    </row>
    <row r="774" spans="2:19" x14ac:dyDescent="0.25">
      <c r="B774" s="1">
        <f t="shared" si="76"/>
        <v>768</v>
      </c>
      <c r="O774" s="2">
        <f t="shared" si="71"/>
        <v>-7.4999999999999997E-2</v>
      </c>
      <c r="P774" s="2">
        <f t="shared" si="72"/>
        <v>54.402535657686215</v>
      </c>
      <c r="Q774" s="2">
        <f t="shared" si="73"/>
        <v>0</v>
      </c>
      <c r="R774" s="2">
        <f t="shared" si="74"/>
        <v>0</v>
      </c>
      <c r="S774" s="2">
        <f t="shared" si="75"/>
        <v>0</v>
      </c>
    </row>
    <row r="775" spans="2:19" x14ac:dyDescent="0.25">
      <c r="B775" s="1">
        <f t="shared" si="76"/>
        <v>769</v>
      </c>
      <c r="O775" s="2">
        <f t="shared" si="71"/>
        <v>-7.4999999999999997E-2</v>
      </c>
      <c r="P775" s="2">
        <f t="shared" si="72"/>
        <v>54.402535657686215</v>
      </c>
      <c r="Q775" s="2">
        <f t="shared" si="73"/>
        <v>0</v>
      </c>
      <c r="R775" s="2">
        <f t="shared" si="74"/>
        <v>0</v>
      </c>
      <c r="S775" s="2">
        <f t="shared" si="75"/>
        <v>0</v>
      </c>
    </row>
    <row r="776" spans="2:19" x14ac:dyDescent="0.25">
      <c r="B776" s="1">
        <f t="shared" si="76"/>
        <v>770</v>
      </c>
      <c r="O776" s="2">
        <f t="shared" ref="O776:O794" si="77">M776-$X$23</f>
        <v>-7.4999999999999997E-2</v>
      </c>
      <c r="P776" s="2">
        <f t="shared" ref="P776:P794" si="78">O776*$AC$21+$Y$23</f>
        <v>54.402535657686215</v>
      </c>
      <c r="Q776" s="2">
        <f t="shared" ref="Q776:Q793" si="79">((D776+D777)/2)*(M777-M776)</f>
        <v>0</v>
      </c>
      <c r="R776" s="2">
        <f t="shared" ref="R776:R793" si="80">((P776+P777)/2)*(O777-O776)</f>
        <v>0</v>
      </c>
      <c r="S776" s="2">
        <f t="shared" ref="S776:S793" si="81">Q776-R776</f>
        <v>0</v>
      </c>
    </row>
    <row r="777" spans="2:19" x14ac:dyDescent="0.25">
      <c r="B777" s="1">
        <f t="shared" ref="B777:B840" si="82">B776+1</f>
        <v>771</v>
      </c>
      <c r="O777" s="2">
        <f t="shared" si="77"/>
        <v>-7.4999999999999997E-2</v>
      </c>
      <c r="P777" s="2">
        <f t="shared" si="78"/>
        <v>54.402535657686215</v>
      </c>
      <c r="Q777" s="2">
        <f t="shared" si="79"/>
        <v>0</v>
      </c>
      <c r="R777" s="2">
        <f t="shared" si="80"/>
        <v>0</v>
      </c>
      <c r="S777" s="2">
        <f t="shared" si="81"/>
        <v>0</v>
      </c>
    </row>
    <row r="778" spans="2:19" x14ac:dyDescent="0.25">
      <c r="B778" s="1">
        <f t="shared" si="82"/>
        <v>772</v>
      </c>
      <c r="O778" s="2">
        <f t="shared" si="77"/>
        <v>-7.4999999999999997E-2</v>
      </c>
      <c r="P778" s="2">
        <f t="shared" si="78"/>
        <v>54.402535657686215</v>
      </c>
      <c r="Q778" s="2">
        <f t="shared" si="79"/>
        <v>0</v>
      </c>
      <c r="R778" s="2">
        <f t="shared" si="80"/>
        <v>0</v>
      </c>
      <c r="S778" s="2">
        <f t="shared" si="81"/>
        <v>0</v>
      </c>
    </row>
    <row r="779" spans="2:19" x14ac:dyDescent="0.25">
      <c r="B779" s="1">
        <f t="shared" si="82"/>
        <v>773</v>
      </c>
      <c r="O779" s="2">
        <f t="shared" si="77"/>
        <v>-7.4999999999999997E-2</v>
      </c>
      <c r="P779" s="2">
        <f t="shared" si="78"/>
        <v>54.402535657686215</v>
      </c>
      <c r="Q779" s="2">
        <f t="shared" si="79"/>
        <v>0</v>
      </c>
      <c r="R779" s="2">
        <f t="shared" si="80"/>
        <v>0</v>
      </c>
      <c r="S779" s="2">
        <f t="shared" si="81"/>
        <v>0</v>
      </c>
    </row>
    <row r="780" spans="2:19" x14ac:dyDescent="0.25">
      <c r="B780" s="1">
        <f t="shared" si="82"/>
        <v>774</v>
      </c>
      <c r="O780" s="2">
        <f t="shared" si="77"/>
        <v>-7.4999999999999997E-2</v>
      </c>
      <c r="P780" s="2">
        <f t="shared" si="78"/>
        <v>54.402535657686215</v>
      </c>
      <c r="Q780" s="2">
        <f t="shared" si="79"/>
        <v>0</v>
      </c>
      <c r="R780" s="2">
        <f t="shared" si="80"/>
        <v>0</v>
      </c>
      <c r="S780" s="2">
        <f t="shared" si="81"/>
        <v>0</v>
      </c>
    </row>
    <row r="781" spans="2:19" x14ac:dyDescent="0.25">
      <c r="B781" s="1">
        <f t="shared" si="82"/>
        <v>775</v>
      </c>
      <c r="O781" s="2">
        <f t="shared" si="77"/>
        <v>-7.4999999999999997E-2</v>
      </c>
      <c r="P781" s="2">
        <f t="shared" si="78"/>
        <v>54.402535657686215</v>
      </c>
      <c r="Q781" s="2">
        <f t="shared" si="79"/>
        <v>0</v>
      </c>
      <c r="R781" s="2">
        <f t="shared" si="80"/>
        <v>0</v>
      </c>
      <c r="S781" s="2">
        <f t="shared" si="81"/>
        <v>0</v>
      </c>
    </row>
    <row r="782" spans="2:19" x14ac:dyDescent="0.25">
      <c r="B782" s="1">
        <f t="shared" si="82"/>
        <v>776</v>
      </c>
      <c r="O782" s="2">
        <f t="shared" si="77"/>
        <v>-7.4999999999999997E-2</v>
      </c>
      <c r="P782" s="2">
        <f t="shared" si="78"/>
        <v>54.402535657686215</v>
      </c>
      <c r="Q782" s="2">
        <f t="shared" si="79"/>
        <v>0</v>
      </c>
      <c r="R782" s="2">
        <f t="shared" si="80"/>
        <v>0</v>
      </c>
      <c r="S782" s="2">
        <f t="shared" si="81"/>
        <v>0</v>
      </c>
    </row>
    <row r="783" spans="2:19" x14ac:dyDescent="0.25">
      <c r="B783" s="1">
        <f t="shared" si="82"/>
        <v>777</v>
      </c>
      <c r="O783" s="2">
        <f t="shared" si="77"/>
        <v>-7.4999999999999997E-2</v>
      </c>
      <c r="P783" s="2">
        <f t="shared" si="78"/>
        <v>54.402535657686215</v>
      </c>
      <c r="Q783" s="2">
        <f t="shared" si="79"/>
        <v>0</v>
      </c>
      <c r="R783" s="2">
        <f t="shared" si="80"/>
        <v>0</v>
      </c>
      <c r="S783" s="2">
        <f t="shared" si="81"/>
        <v>0</v>
      </c>
    </row>
    <row r="784" spans="2:19" x14ac:dyDescent="0.25">
      <c r="B784" s="1">
        <f t="shared" si="82"/>
        <v>778</v>
      </c>
      <c r="O784" s="2">
        <f t="shared" si="77"/>
        <v>-7.4999999999999997E-2</v>
      </c>
      <c r="P784" s="2">
        <f t="shared" si="78"/>
        <v>54.402535657686215</v>
      </c>
      <c r="Q784" s="2">
        <f t="shared" si="79"/>
        <v>0</v>
      </c>
      <c r="R784" s="2">
        <f t="shared" si="80"/>
        <v>0</v>
      </c>
      <c r="S784" s="2">
        <f t="shared" si="81"/>
        <v>0</v>
      </c>
    </row>
    <row r="785" spans="2:20" x14ac:dyDescent="0.25">
      <c r="B785" s="1">
        <f t="shared" si="82"/>
        <v>779</v>
      </c>
      <c r="O785" s="2">
        <f t="shared" si="77"/>
        <v>-7.4999999999999997E-2</v>
      </c>
      <c r="P785" s="2">
        <f t="shared" si="78"/>
        <v>54.402535657686215</v>
      </c>
      <c r="Q785" s="2">
        <f t="shared" si="79"/>
        <v>0</v>
      </c>
      <c r="R785" s="2">
        <f t="shared" si="80"/>
        <v>0</v>
      </c>
      <c r="S785" s="2">
        <f t="shared" si="81"/>
        <v>0</v>
      </c>
    </row>
    <row r="786" spans="2:20" x14ac:dyDescent="0.25">
      <c r="B786" s="1">
        <f t="shared" si="82"/>
        <v>780</v>
      </c>
      <c r="O786" s="2">
        <f t="shared" si="77"/>
        <v>-7.4999999999999997E-2</v>
      </c>
      <c r="P786" s="2">
        <f t="shared" si="78"/>
        <v>54.402535657686215</v>
      </c>
      <c r="Q786" s="2">
        <f t="shared" si="79"/>
        <v>0</v>
      </c>
      <c r="R786" s="2">
        <f t="shared" si="80"/>
        <v>0</v>
      </c>
      <c r="S786" s="2">
        <f t="shared" si="81"/>
        <v>0</v>
      </c>
    </row>
    <row r="787" spans="2:20" x14ac:dyDescent="0.25">
      <c r="B787" s="1">
        <f t="shared" si="82"/>
        <v>781</v>
      </c>
      <c r="O787" s="2">
        <f t="shared" si="77"/>
        <v>-7.4999999999999997E-2</v>
      </c>
      <c r="P787" s="2">
        <f t="shared" si="78"/>
        <v>54.402535657686215</v>
      </c>
      <c r="Q787" s="2">
        <f t="shared" si="79"/>
        <v>0</v>
      </c>
      <c r="R787" s="2">
        <f t="shared" si="80"/>
        <v>0</v>
      </c>
      <c r="S787" s="2">
        <f t="shared" si="81"/>
        <v>0</v>
      </c>
    </row>
    <row r="788" spans="2:20" x14ac:dyDescent="0.25">
      <c r="B788" s="1">
        <f t="shared" si="82"/>
        <v>782</v>
      </c>
      <c r="O788" s="2">
        <f t="shared" si="77"/>
        <v>-7.4999999999999997E-2</v>
      </c>
      <c r="P788" s="2">
        <f t="shared" si="78"/>
        <v>54.402535657686215</v>
      </c>
      <c r="Q788" s="2">
        <f t="shared" si="79"/>
        <v>0</v>
      </c>
      <c r="R788" s="2">
        <f t="shared" si="80"/>
        <v>0</v>
      </c>
      <c r="S788" s="2">
        <f t="shared" si="81"/>
        <v>0</v>
      </c>
    </row>
    <row r="789" spans="2:20" x14ac:dyDescent="0.25">
      <c r="B789" s="1">
        <f t="shared" si="82"/>
        <v>783</v>
      </c>
      <c r="O789" s="2">
        <f t="shared" si="77"/>
        <v>-7.4999999999999997E-2</v>
      </c>
      <c r="P789" s="2">
        <f t="shared" si="78"/>
        <v>54.402535657686215</v>
      </c>
      <c r="Q789" s="2">
        <f t="shared" si="79"/>
        <v>0</v>
      </c>
      <c r="R789" s="2">
        <f t="shared" si="80"/>
        <v>0</v>
      </c>
      <c r="S789" s="2">
        <f t="shared" si="81"/>
        <v>0</v>
      </c>
    </row>
    <row r="790" spans="2:20" x14ac:dyDescent="0.25">
      <c r="B790" s="1">
        <f t="shared" si="82"/>
        <v>784</v>
      </c>
      <c r="O790" s="2">
        <f t="shared" si="77"/>
        <v>-7.4999999999999997E-2</v>
      </c>
      <c r="P790" s="2">
        <f t="shared" si="78"/>
        <v>54.402535657686215</v>
      </c>
      <c r="Q790" s="2">
        <f t="shared" si="79"/>
        <v>0</v>
      </c>
      <c r="R790" s="2">
        <f t="shared" si="80"/>
        <v>0</v>
      </c>
      <c r="S790" s="2">
        <f t="shared" si="81"/>
        <v>0</v>
      </c>
    </row>
    <row r="791" spans="2:20" x14ac:dyDescent="0.25">
      <c r="B791" s="1">
        <f t="shared" si="82"/>
        <v>785</v>
      </c>
      <c r="O791" s="2">
        <f t="shared" si="77"/>
        <v>-7.4999999999999997E-2</v>
      </c>
      <c r="P791" s="2">
        <f t="shared" si="78"/>
        <v>54.402535657686215</v>
      </c>
      <c r="Q791" s="2">
        <f t="shared" si="79"/>
        <v>0</v>
      </c>
      <c r="R791" s="2">
        <f t="shared" si="80"/>
        <v>0</v>
      </c>
      <c r="S791" s="2">
        <f t="shared" si="81"/>
        <v>0</v>
      </c>
    </row>
    <row r="792" spans="2:20" x14ac:dyDescent="0.25">
      <c r="B792" s="1">
        <f t="shared" si="82"/>
        <v>786</v>
      </c>
      <c r="O792" s="2">
        <f t="shared" si="77"/>
        <v>-7.4999999999999997E-2</v>
      </c>
      <c r="P792" s="2">
        <f t="shared" si="78"/>
        <v>54.402535657686215</v>
      </c>
      <c r="Q792" s="2">
        <f t="shared" si="79"/>
        <v>0</v>
      </c>
      <c r="R792" s="2">
        <f t="shared" si="80"/>
        <v>0</v>
      </c>
      <c r="S792" s="2">
        <f t="shared" si="81"/>
        <v>0</v>
      </c>
    </row>
    <row r="793" spans="2:20" x14ac:dyDescent="0.25">
      <c r="B793" s="1">
        <f t="shared" si="82"/>
        <v>787</v>
      </c>
      <c r="O793" s="2">
        <f t="shared" si="77"/>
        <v>-7.4999999999999997E-2</v>
      </c>
      <c r="P793" s="2">
        <f t="shared" si="78"/>
        <v>54.402535657686215</v>
      </c>
      <c r="Q793" s="2">
        <f t="shared" si="79"/>
        <v>0</v>
      </c>
      <c r="R793" s="2">
        <f t="shared" si="80"/>
        <v>0</v>
      </c>
      <c r="S793" s="2">
        <f t="shared" si="81"/>
        <v>0</v>
      </c>
    </row>
    <row r="794" spans="2:20" x14ac:dyDescent="0.25">
      <c r="B794" s="1">
        <f t="shared" si="82"/>
        <v>788</v>
      </c>
      <c r="O794" s="2">
        <f t="shared" si="77"/>
        <v>-7.4999999999999997E-2</v>
      </c>
      <c r="P794" s="2">
        <f t="shared" si="78"/>
        <v>54.402535657686215</v>
      </c>
    </row>
    <row r="795" spans="2:20" x14ac:dyDescent="0.25">
      <c r="B795" s="1">
        <f t="shared" si="82"/>
        <v>789</v>
      </c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25">
      <c r="B796" s="1">
        <f t="shared" si="82"/>
        <v>790</v>
      </c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25">
      <c r="B797" s="1">
        <f t="shared" si="82"/>
        <v>791</v>
      </c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25">
      <c r="B798" s="1">
        <f t="shared" si="82"/>
        <v>792</v>
      </c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25">
      <c r="B799" s="1">
        <f t="shared" si="82"/>
        <v>793</v>
      </c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25">
      <c r="B800" s="1">
        <f t="shared" si="82"/>
        <v>794</v>
      </c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2:20" x14ac:dyDescent="0.25">
      <c r="B801" s="1">
        <f t="shared" si="82"/>
        <v>795</v>
      </c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2:20" x14ac:dyDescent="0.25">
      <c r="B802" s="1">
        <f t="shared" si="82"/>
        <v>796</v>
      </c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2:20" x14ac:dyDescent="0.25">
      <c r="B803" s="1">
        <f t="shared" si="82"/>
        <v>797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2:20" x14ac:dyDescent="0.25">
      <c r="B804" s="1">
        <f t="shared" si="82"/>
        <v>798</v>
      </c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2:20" x14ac:dyDescent="0.25">
      <c r="B805" s="1">
        <f t="shared" si="82"/>
        <v>799</v>
      </c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2:20" x14ac:dyDescent="0.25">
      <c r="B806" s="1">
        <f t="shared" si="82"/>
        <v>800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2:20" x14ac:dyDescent="0.25">
      <c r="B807" s="1">
        <f t="shared" si="82"/>
        <v>801</v>
      </c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2:20" x14ac:dyDescent="0.25">
      <c r="B808" s="1">
        <f t="shared" si="82"/>
        <v>802</v>
      </c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2:20" x14ac:dyDescent="0.25">
      <c r="B809" s="1">
        <f t="shared" si="82"/>
        <v>803</v>
      </c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2:20" x14ac:dyDescent="0.25">
      <c r="B810" s="1">
        <f t="shared" si="82"/>
        <v>804</v>
      </c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2:20" x14ac:dyDescent="0.25">
      <c r="B811" s="1">
        <f t="shared" si="82"/>
        <v>805</v>
      </c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2:20" x14ac:dyDescent="0.25">
      <c r="B812" s="1">
        <f t="shared" si="82"/>
        <v>806</v>
      </c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2:20" x14ac:dyDescent="0.25">
      <c r="B813" s="1">
        <f t="shared" si="82"/>
        <v>807</v>
      </c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2:20" x14ac:dyDescent="0.25">
      <c r="B814" s="1">
        <f t="shared" si="82"/>
        <v>808</v>
      </c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2:20" x14ac:dyDescent="0.25">
      <c r="B815" s="1">
        <f t="shared" si="82"/>
        <v>809</v>
      </c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2:20" x14ac:dyDescent="0.25">
      <c r="B816" s="1">
        <f t="shared" si="82"/>
        <v>810</v>
      </c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2:20" x14ac:dyDescent="0.25">
      <c r="B817" s="1">
        <f t="shared" si="82"/>
        <v>811</v>
      </c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2:20" x14ac:dyDescent="0.25">
      <c r="B818" s="1">
        <f t="shared" si="82"/>
        <v>812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2:20" x14ac:dyDescent="0.25">
      <c r="B819" s="1">
        <f t="shared" si="82"/>
        <v>813</v>
      </c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2:20" x14ac:dyDescent="0.25">
      <c r="B820" s="1">
        <f t="shared" si="82"/>
        <v>814</v>
      </c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2:20" x14ac:dyDescent="0.25">
      <c r="B821" s="1">
        <f t="shared" si="82"/>
        <v>815</v>
      </c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2:20" x14ac:dyDescent="0.25">
      <c r="B822" s="1">
        <f t="shared" si="82"/>
        <v>816</v>
      </c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2:20" x14ac:dyDescent="0.25">
      <c r="B823" s="1">
        <f t="shared" si="82"/>
        <v>817</v>
      </c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2:20" x14ac:dyDescent="0.25">
      <c r="B824" s="1">
        <f t="shared" si="82"/>
        <v>818</v>
      </c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2:20" x14ac:dyDescent="0.25">
      <c r="B825" s="1">
        <f t="shared" si="82"/>
        <v>819</v>
      </c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2:20" x14ac:dyDescent="0.25">
      <c r="B826" s="1">
        <f t="shared" si="82"/>
        <v>820</v>
      </c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2:20" x14ac:dyDescent="0.25">
      <c r="B827" s="1">
        <f t="shared" si="82"/>
        <v>821</v>
      </c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2:20" x14ac:dyDescent="0.25">
      <c r="B828" s="1">
        <f t="shared" si="82"/>
        <v>822</v>
      </c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2:20" x14ac:dyDescent="0.25">
      <c r="B829" s="1">
        <f t="shared" si="82"/>
        <v>823</v>
      </c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2:20" x14ac:dyDescent="0.25">
      <c r="B830" s="1">
        <f t="shared" si="82"/>
        <v>824</v>
      </c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2:20" x14ac:dyDescent="0.25">
      <c r="B831" s="1">
        <f t="shared" si="82"/>
        <v>825</v>
      </c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2:20" x14ac:dyDescent="0.25">
      <c r="B832" s="1">
        <f t="shared" si="82"/>
        <v>826</v>
      </c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2:20" x14ac:dyDescent="0.25">
      <c r="B833" s="1">
        <f t="shared" si="82"/>
        <v>827</v>
      </c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2:20" x14ac:dyDescent="0.25">
      <c r="B834" s="1">
        <f t="shared" si="82"/>
        <v>828</v>
      </c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2:20" x14ac:dyDescent="0.25">
      <c r="B835" s="1">
        <f t="shared" si="82"/>
        <v>829</v>
      </c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2:20" x14ac:dyDescent="0.25">
      <c r="B836" s="1">
        <f t="shared" si="82"/>
        <v>830</v>
      </c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2:20" x14ac:dyDescent="0.25">
      <c r="B837" s="1">
        <f t="shared" si="82"/>
        <v>831</v>
      </c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2:20" x14ac:dyDescent="0.25">
      <c r="B838" s="1">
        <f t="shared" si="82"/>
        <v>832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2:20" x14ac:dyDescent="0.25">
      <c r="B839" s="1">
        <f t="shared" si="82"/>
        <v>833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2:20" x14ac:dyDescent="0.25">
      <c r="B840" s="1">
        <f t="shared" si="82"/>
        <v>834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2:20" x14ac:dyDescent="0.25">
      <c r="B841" s="1">
        <f t="shared" ref="B841:B904" si="83">B840+1</f>
        <v>835</v>
      </c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2:20" x14ac:dyDescent="0.25">
      <c r="B842" s="1">
        <f t="shared" si="83"/>
        <v>836</v>
      </c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2:20" x14ac:dyDescent="0.25">
      <c r="B843" s="1">
        <f t="shared" si="83"/>
        <v>837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2:20" x14ac:dyDescent="0.25">
      <c r="B844" s="1">
        <f t="shared" si="83"/>
        <v>838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2:20" x14ac:dyDescent="0.25">
      <c r="B845" s="1">
        <f t="shared" si="83"/>
        <v>839</v>
      </c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2:20" x14ac:dyDescent="0.25">
      <c r="B846" s="1">
        <f t="shared" si="83"/>
        <v>840</v>
      </c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2:20" x14ac:dyDescent="0.25">
      <c r="B847" s="1">
        <f t="shared" si="83"/>
        <v>841</v>
      </c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2:20" x14ac:dyDescent="0.25">
      <c r="B848" s="1">
        <f t="shared" si="83"/>
        <v>842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2:20" x14ac:dyDescent="0.25">
      <c r="B849" s="1">
        <f t="shared" si="83"/>
        <v>843</v>
      </c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2:20" x14ac:dyDescent="0.25">
      <c r="B850" s="1">
        <f t="shared" si="83"/>
        <v>844</v>
      </c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2:20" x14ac:dyDescent="0.25">
      <c r="B851" s="1">
        <f t="shared" si="83"/>
        <v>845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2:20" x14ac:dyDescent="0.25">
      <c r="B852" s="1">
        <f t="shared" si="83"/>
        <v>846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2:20" x14ac:dyDescent="0.25">
      <c r="B853" s="1">
        <f t="shared" si="83"/>
        <v>847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2:20" x14ac:dyDescent="0.25">
      <c r="B854" s="1">
        <f t="shared" si="83"/>
        <v>848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2:20" x14ac:dyDescent="0.25">
      <c r="B855" s="1">
        <f t="shared" si="83"/>
        <v>849</v>
      </c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2:20" x14ac:dyDescent="0.25">
      <c r="B856" s="1">
        <f t="shared" si="83"/>
        <v>850</v>
      </c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2:20" x14ac:dyDescent="0.25">
      <c r="B857" s="1">
        <f t="shared" si="83"/>
        <v>851</v>
      </c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2:20" x14ac:dyDescent="0.25">
      <c r="B858" s="1">
        <f t="shared" si="83"/>
        <v>852</v>
      </c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2:20" x14ac:dyDescent="0.25">
      <c r="B859" s="1">
        <f t="shared" si="83"/>
        <v>853</v>
      </c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2:20" x14ac:dyDescent="0.25">
      <c r="B860" s="1">
        <f t="shared" si="83"/>
        <v>854</v>
      </c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2:20" x14ac:dyDescent="0.25">
      <c r="B861" s="1">
        <f t="shared" si="83"/>
        <v>855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2:20" x14ac:dyDescent="0.25">
      <c r="B862" s="1">
        <f t="shared" si="83"/>
        <v>856</v>
      </c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2:20" x14ac:dyDescent="0.25">
      <c r="B863" s="1">
        <f t="shared" si="83"/>
        <v>857</v>
      </c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2:20" x14ac:dyDescent="0.25">
      <c r="B864" s="1">
        <f t="shared" si="83"/>
        <v>858</v>
      </c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2:20" x14ac:dyDescent="0.25">
      <c r="B865" s="1">
        <f t="shared" si="83"/>
        <v>859</v>
      </c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2:20" x14ac:dyDescent="0.25">
      <c r="B866" s="1">
        <f t="shared" si="83"/>
        <v>860</v>
      </c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2:20" x14ac:dyDescent="0.25">
      <c r="B867" s="1">
        <f t="shared" si="83"/>
        <v>861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2:20" x14ac:dyDescent="0.25">
      <c r="B868" s="1">
        <f t="shared" si="83"/>
        <v>862</v>
      </c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2:20" x14ac:dyDescent="0.25">
      <c r="B869" s="1">
        <f t="shared" si="83"/>
        <v>863</v>
      </c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2:20" x14ac:dyDescent="0.25">
      <c r="B870" s="1">
        <f t="shared" si="83"/>
        <v>864</v>
      </c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2:20" x14ac:dyDescent="0.25">
      <c r="B871" s="1">
        <f t="shared" si="83"/>
        <v>865</v>
      </c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2:20" x14ac:dyDescent="0.25">
      <c r="B872" s="1">
        <f t="shared" si="83"/>
        <v>866</v>
      </c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2:20" x14ac:dyDescent="0.25">
      <c r="B873" s="1">
        <f t="shared" si="83"/>
        <v>867</v>
      </c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2:20" x14ac:dyDescent="0.25">
      <c r="B874" s="1">
        <f t="shared" si="83"/>
        <v>868</v>
      </c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2:20" x14ac:dyDescent="0.25">
      <c r="B875" s="1">
        <f t="shared" si="83"/>
        <v>869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2:20" x14ac:dyDescent="0.25">
      <c r="B876" s="1">
        <f t="shared" si="83"/>
        <v>870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2:20" x14ac:dyDescent="0.25">
      <c r="B877" s="1">
        <f t="shared" si="83"/>
        <v>871</v>
      </c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2:20" x14ac:dyDescent="0.25">
      <c r="B878" s="1">
        <f t="shared" si="83"/>
        <v>872</v>
      </c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2:20" x14ac:dyDescent="0.25">
      <c r="B879" s="1">
        <f t="shared" si="83"/>
        <v>873</v>
      </c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2:20" x14ac:dyDescent="0.25">
      <c r="B880" s="1">
        <f t="shared" si="83"/>
        <v>874</v>
      </c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2:20" x14ac:dyDescent="0.25">
      <c r="B881" s="1">
        <f t="shared" si="83"/>
        <v>875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2:20" x14ac:dyDescent="0.25">
      <c r="B882" s="1">
        <f t="shared" si="83"/>
        <v>876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2:20" x14ac:dyDescent="0.25">
      <c r="B883" s="1">
        <f t="shared" si="83"/>
        <v>877</v>
      </c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2:20" x14ac:dyDescent="0.25">
      <c r="B884" s="1">
        <f t="shared" si="83"/>
        <v>878</v>
      </c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2:20" x14ac:dyDescent="0.25">
      <c r="B885" s="1">
        <f t="shared" si="83"/>
        <v>879</v>
      </c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2:20" x14ac:dyDescent="0.25">
      <c r="B886" s="1">
        <f t="shared" si="83"/>
        <v>880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2:20" x14ac:dyDescent="0.25">
      <c r="B887" s="1">
        <f t="shared" si="83"/>
        <v>881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2:20" x14ac:dyDescent="0.25">
      <c r="B888" s="1">
        <f t="shared" si="83"/>
        <v>882</v>
      </c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2:20" x14ac:dyDescent="0.25">
      <c r="B889" s="1">
        <f t="shared" si="83"/>
        <v>883</v>
      </c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2:20" x14ac:dyDescent="0.25">
      <c r="B890" s="1">
        <f t="shared" si="83"/>
        <v>884</v>
      </c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2:20" x14ac:dyDescent="0.25">
      <c r="B891" s="1">
        <f t="shared" si="83"/>
        <v>885</v>
      </c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2:20" x14ac:dyDescent="0.25">
      <c r="B892" s="1">
        <f t="shared" si="83"/>
        <v>886</v>
      </c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2:20" x14ac:dyDescent="0.25">
      <c r="B893" s="1">
        <f t="shared" si="83"/>
        <v>887</v>
      </c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2:20" x14ac:dyDescent="0.25">
      <c r="B894" s="1">
        <f t="shared" si="83"/>
        <v>888</v>
      </c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2:20" x14ac:dyDescent="0.25">
      <c r="B895" s="1">
        <f t="shared" si="83"/>
        <v>889</v>
      </c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2:20" x14ac:dyDescent="0.25">
      <c r="B896" s="1">
        <f t="shared" si="83"/>
        <v>890</v>
      </c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2:20" x14ac:dyDescent="0.25">
      <c r="B897" s="1">
        <f t="shared" si="83"/>
        <v>891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2:20" x14ac:dyDescent="0.25">
      <c r="B898" s="1">
        <f t="shared" si="83"/>
        <v>892</v>
      </c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2:20" x14ac:dyDescent="0.25">
      <c r="B899" s="1">
        <f t="shared" si="83"/>
        <v>893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2:20" x14ac:dyDescent="0.25">
      <c r="B900" s="1">
        <f t="shared" si="83"/>
        <v>894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2:20" x14ac:dyDescent="0.25">
      <c r="B901" s="1">
        <f t="shared" si="83"/>
        <v>895</v>
      </c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2:20" x14ac:dyDescent="0.25">
      <c r="B902" s="1">
        <f t="shared" si="83"/>
        <v>896</v>
      </c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2:20" x14ac:dyDescent="0.25">
      <c r="B903" s="1">
        <f t="shared" si="83"/>
        <v>897</v>
      </c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2:20" x14ac:dyDescent="0.25">
      <c r="B904" s="1">
        <f t="shared" si="83"/>
        <v>898</v>
      </c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2:20" x14ac:dyDescent="0.25">
      <c r="B905" s="1">
        <f t="shared" ref="B905:B968" si="84">B904+1</f>
        <v>899</v>
      </c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2:20" x14ac:dyDescent="0.25">
      <c r="B906" s="1">
        <f t="shared" si="84"/>
        <v>900</v>
      </c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2:20" x14ac:dyDescent="0.25">
      <c r="B907" s="1">
        <f t="shared" si="84"/>
        <v>901</v>
      </c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2:20" x14ac:dyDescent="0.25">
      <c r="B908" s="1">
        <f t="shared" si="84"/>
        <v>902</v>
      </c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2:20" x14ac:dyDescent="0.25">
      <c r="B909" s="1">
        <f t="shared" si="84"/>
        <v>903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2:20" x14ac:dyDescent="0.25">
      <c r="B910" s="1">
        <f t="shared" si="84"/>
        <v>904</v>
      </c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2:20" x14ac:dyDescent="0.25">
      <c r="B911" s="1">
        <f t="shared" si="84"/>
        <v>905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2:20" x14ac:dyDescent="0.25">
      <c r="B912" s="1">
        <f t="shared" si="84"/>
        <v>906</v>
      </c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2:20" x14ac:dyDescent="0.25">
      <c r="B913" s="1">
        <f t="shared" si="84"/>
        <v>907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2:20" x14ac:dyDescent="0.25">
      <c r="B914" s="1">
        <f t="shared" si="84"/>
        <v>908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2:20" x14ac:dyDescent="0.25">
      <c r="B915" s="1">
        <f t="shared" si="84"/>
        <v>909</v>
      </c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2:20" x14ac:dyDescent="0.25">
      <c r="B916" s="1">
        <f t="shared" si="84"/>
        <v>910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2:20" x14ac:dyDescent="0.25">
      <c r="B917" s="1">
        <f t="shared" si="84"/>
        <v>911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2:20" x14ac:dyDescent="0.25">
      <c r="B918" s="1">
        <f t="shared" si="84"/>
        <v>912</v>
      </c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2:20" x14ac:dyDescent="0.25">
      <c r="B919" s="1">
        <f t="shared" si="84"/>
        <v>913</v>
      </c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2:20" x14ac:dyDescent="0.25">
      <c r="B920" s="1">
        <f t="shared" si="84"/>
        <v>914</v>
      </c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2:20" x14ac:dyDescent="0.25">
      <c r="B921" s="1">
        <f t="shared" si="84"/>
        <v>915</v>
      </c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2:20" x14ac:dyDescent="0.25">
      <c r="B922" s="1">
        <f t="shared" si="84"/>
        <v>916</v>
      </c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2:20" x14ac:dyDescent="0.25">
      <c r="B923" s="1">
        <f t="shared" si="84"/>
        <v>917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2:20" x14ac:dyDescent="0.25">
      <c r="B924" s="1">
        <f t="shared" si="84"/>
        <v>918</v>
      </c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2:20" x14ac:dyDescent="0.25">
      <c r="B925" s="1">
        <f t="shared" si="84"/>
        <v>919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2:20" x14ac:dyDescent="0.25">
      <c r="B926" s="1">
        <f t="shared" si="84"/>
        <v>920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2:20" x14ac:dyDescent="0.25">
      <c r="B927" s="1">
        <f t="shared" si="84"/>
        <v>921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2:20" x14ac:dyDescent="0.25">
      <c r="B928" s="1">
        <f t="shared" si="84"/>
        <v>922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2:20" x14ac:dyDescent="0.25">
      <c r="B929" s="1">
        <f t="shared" si="84"/>
        <v>923</v>
      </c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2:20" x14ac:dyDescent="0.25">
      <c r="B930" s="1">
        <f t="shared" si="84"/>
        <v>924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2:20" x14ac:dyDescent="0.25">
      <c r="B931" s="1">
        <f t="shared" si="84"/>
        <v>925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2:20" x14ac:dyDescent="0.25">
      <c r="B932" s="1">
        <f t="shared" si="84"/>
        <v>926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2:20" x14ac:dyDescent="0.25">
      <c r="B933" s="1">
        <f t="shared" si="84"/>
        <v>927</v>
      </c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2:20" x14ac:dyDescent="0.25">
      <c r="B934" s="1">
        <f t="shared" si="84"/>
        <v>928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2:20" x14ac:dyDescent="0.25">
      <c r="B935" s="1">
        <f t="shared" si="84"/>
        <v>929</v>
      </c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2:20" x14ac:dyDescent="0.25">
      <c r="B936" s="1">
        <f t="shared" si="84"/>
        <v>930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2:20" x14ac:dyDescent="0.25">
      <c r="B937" s="1">
        <f t="shared" si="84"/>
        <v>931</v>
      </c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2:20" x14ac:dyDescent="0.25">
      <c r="B938" s="1">
        <f t="shared" si="84"/>
        <v>932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2:20" x14ac:dyDescent="0.25">
      <c r="B939" s="1">
        <f t="shared" si="84"/>
        <v>933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2:20" x14ac:dyDescent="0.25">
      <c r="B940" s="1">
        <f t="shared" si="84"/>
        <v>934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2:20" x14ac:dyDescent="0.25">
      <c r="B941" s="1">
        <f t="shared" si="84"/>
        <v>935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20" x14ac:dyDescent="0.25">
      <c r="B942" s="1">
        <f t="shared" si="84"/>
        <v>936</v>
      </c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20" x14ac:dyDescent="0.25">
      <c r="B943" s="1">
        <f t="shared" si="84"/>
        <v>937</v>
      </c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20" x14ac:dyDescent="0.25">
      <c r="B944" s="1">
        <f t="shared" si="84"/>
        <v>938</v>
      </c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25">
      <c r="B945" s="1">
        <f t="shared" si="84"/>
        <v>939</v>
      </c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25">
      <c r="B946" s="1">
        <f t="shared" si="84"/>
        <v>940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25">
      <c r="B947" s="1">
        <f t="shared" si="84"/>
        <v>941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25">
      <c r="B948" s="1">
        <f t="shared" si="84"/>
        <v>942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25">
      <c r="B949" s="1">
        <f t="shared" si="84"/>
        <v>943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25">
      <c r="B950" s="1">
        <f t="shared" si="84"/>
        <v>944</v>
      </c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25">
      <c r="B951" s="1">
        <f t="shared" si="84"/>
        <v>945</v>
      </c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25">
      <c r="B952" s="1">
        <f t="shared" si="84"/>
        <v>946</v>
      </c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25">
      <c r="B953" s="1">
        <f t="shared" si="84"/>
        <v>947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25">
      <c r="B954" s="1">
        <f t="shared" si="84"/>
        <v>948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25">
      <c r="B955" s="1">
        <f t="shared" si="84"/>
        <v>949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25">
      <c r="B956" s="1">
        <f t="shared" si="84"/>
        <v>950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25">
      <c r="B957" s="1">
        <f t="shared" si="84"/>
        <v>951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25">
      <c r="B958" s="1">
        <f t="shared" si="84"/>
        <v>952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25">
      <c r="B959" s="1">
        <f t="shared" si="84"/>
        <v>953</v>
      </c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25">
      <c r="B960" s="1">
        <f t="shared" si="84"/>
        <v>954</v>
      </c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25">
      <c r="B961" s="1">
        <f t="shared" si="84"/>
        <v>955</v>
      </c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25">
      <c r="B962" s="1">
        <f t="shared" si="84"/>
        <v>956</v>
      </c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25">
      <c r="B963" s="1">
        <f t="shared" si="84"/>
        <v>957</v>
      </c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25">
      <c r="B964" s="1">
        <f t="shared" si="84"/>
        <v>958</v>
      </c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25">
      <c r="B965" s="1">
        <f t="shared" si="84"/>
        <v>959</v>
      </c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25">
      <c r="B966" s="1">
        <f t="shared" si="84"/>
        <v>960</v>
      </c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25">
      <c r="B967" s="1">
        <f t="shared" si="84"/>
        <v>961</v>
      </c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25">
      <c r="B968" s="1">
        <f t="shared" si="84"/>
        <v>962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25">
      <c r="B969" s="1">
        <f t="shared" ref="B969:B1006" si="85">B968+1</f>
        <v>963</v>
      </c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25">
      <c r="B970" s="1">
        <f t="shared" si="85"/>
        <v>964</v>
      </c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25">
      <c r="B971" s="1">
        <f t="shared" si="85"/>
        <v>965</v>
      </c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25">
      <c r="B972" s="1">
        <f t="shared" si="85"/>
        <v>966</v>
      </c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25">
      <c r="B973" s="1">
        <f t="shared" si="85"/>
        <v>967</v>
      </c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25">
      <c r="B974" s="1">
        <f t="shared" si="85"/>
        <v>968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25">
      <c r="B975" s="1">
        <f t="shared" si="85"/>
        <v>969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25">
      <c r="B976" s="1">
        <f t="shared" si="85"/>
        <v>970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25">
      <c r="B977" s="1">
        <f t="shared" si="85"/>
        <v>971</v>
      </c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25">
      <c r="B978" s="1">
        <f t="shared" si="85"/>
        <v>972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25">
      <c r="B979" s="1">
        <f t="shared" si="85"/>
        <v>973</v>
      </c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25">
      <c r="B980" s="1">
        <f t="shared" si="85"/>
        <v>974</v>
      </c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25">
      <c r="B981" s="1">
        <f t="shared" si="85"/>
        <v>975</v>
      </c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25">
      <c r="B982" s="1">
        <f t="shared" si="85"/>
        <v>976</v>
      </c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25">
      <c r="B983" s="1">
        <f t="shared" si="85"/>
        <v>977</v>
      </c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25">
      <c r="B984" s="1">
        <f t="shared" si="85"/>
        <v>978</v>
      </c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25">
      <c r="B985" s="1">
        <f t="shared" si="85"/>
        <v>979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25">
      <c r="B986" s="1">
        <f t="shared" si="85"/>
        <v>980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25">
      <c r="B987" s="1">
        <f t="shared" si="85"/>
        <v>981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25">
      <c r="B988" s="1">
        <f t="shared" si="85"/>
        <v>982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25">
      <c r="B989" s="1">
        <f t="shared" si="85"/>
        <v>983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25">
      <c r="B990" s="1">
        <f t="shared" si="85"/>
        <v>984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25">
      <c r="B991" s="1">
        <f t="shared" si="85"/>
        <v>985</v>
      </c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25">
      <c r="B992" s="1">
        <f t="shared" si="85"/>
        <v>986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25">
      <c r="B993" s="1">
        <f t="shared" si="85"/>
        <v>987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25">
      <c r="B994" s="1">
        <f t="shared" si="85"/>
        <v>988</v>
      </c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25">
      <c r="B995" s="1">
        <f t="shared" si="85"/>
        <v>989</v>
      </c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25">
      <c r="B996" s="1">
        <f t="shared" si="85"/>
        <v>990</v>
      </c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25">
      <c r="B997" s="1">
        <f t="shared" si="85"/>
        <v>991</v>
      </c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25">
      <c r="B998" s="1">
        <f t="shared" si="85"/>
        <v>992</v>
      </c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25">
      <c r="B999" s="1">
        <f t="shared" si="85"/>
        <v>993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25">
      <c r="B1000" s="1">
        <f t="shared" si="85"/>
        <v>994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25">
      <c r="B1001" s="1">
        <f t="shared" si="85"/>
        <v>995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25">
      <c r="B1002" s="1">
        <f t="shared" si="85"/>
        <v>996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25">
      <c r="B1003" s="1">
        <f t="shared" si="85"/>
        <v>997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25">
      <c r="B1004" s="1">
        <f t="shared" si="85"/>
        <v>998</v>
      </c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25">
      <c r="B1005" s="1">
        <f t="shared" si="85"/>
        <v>999</v>
      </c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25">
      <c r="B1006" s="1">
        <f t="shared" si="85"/>
        <v>1000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25"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25"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3:20" x14ac:dyDescent="0.25"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3:20" x14ac:dyDescent="0.25"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3:20" x14ac:dyDescent="0.25"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3:20" x14ac:dyDescent="0.25"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3:20" x14ac:dyDescent="0.25"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3:20" x14ac:dyDescent="0.25"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3:20" x14ac:dyDescent="0.25"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3:20" x14ac:dyDescent="0.25"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3:20" x14ac:dyDescent="0.25"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3:20" x14ac:dyDescent="0.25"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3:20" x14ac:dyDescent="0.25"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3:20" x14ac:dyDescent="0.25"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3:20" x14ac:dyDescent="0.25"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3:20" x14ac:dyDescent="0.25"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3:20" x14ac:dyDescent="0.25"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3:20" x14ac:dyDescent="0.25"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3:20" x14ac:dyDescent="0.25"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3:20" x14ac:dyDescent="0.25"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3:20" x14ac:dyDescent="0.25"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3:20" x14ac:dyDescent="0.25"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3:20" x14ac:dyDescent="0.25"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3:20" x14ac:dyDescent="0.25"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3:20" x14ac:dyDescent="0.25"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3:20" x14ac:dyDescent="0.25"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3:20" x14ac:dyDescent="0.25"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3:20" x14ac:dyDescent="0.25"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3:20" x14ac:dyDescent="0.25"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3:20" x14ac:dyDescent="0.25"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3:20" x14ac:dyDescent="0.25"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3:20" x14ac:dyDescent="0.25"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3:20" x14ac:dyDescent="0.25"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3:20" x14ac:dyDescent="0.25"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3:20" x14ac:dyDescent="0.25"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3:20" x14ac:dyDescent="0.25"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3:20" x14ac:dyDescent="0.25"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3:20" x14ac:dyDescent="0.25"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3:20" x14ac:dyDescent="0.25"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3:20" x14ac:dyDescent="0.25"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3:20" x14ac:dyDescent="0.25"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3:20" x14ac:dyDescent="0.25"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3:20" x14ac:dyDescent="0.25"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3:20" x14ac:dyDescent="0.25"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3:20" x14ac:dyDescent="0.25"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3:20" x14ac:dyDescent="0.25"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3:20" x14ac:dyDescent="0.25"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3:20" x14ac:dyDescent="0.25"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3:20" x14ac:dyDescent="0.25"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3:20" x14ac:dyDescent="0.25"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3:20" x14ac:dyDescent="0.25"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3:20" x14ac:dyDescent="0.25"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3:20" x14ac:dyDescent="0.25"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3:20" x14ac:dyDescent="0.25"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3:20" x14ac:dyDescent="0.25"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3:20" x14ac:dyDescent="0.25"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3:20" x14ac:dyDescent="0.25"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3:20" x14ac:dyDescent="0.25"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3:20" x14ac:dyDescent="0.25"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3:20" x14ac:dyDescent="0.25"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3:20" x14ac:dyDescent="0.25"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3:20" x14ac:dyDescent="0.25"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3:20" x14ac:dyDescent="0.25"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3:20" x14ac:dyDescent="0.25"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3:20" x14ac:dyDescent="0.25"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3:20" x14ac:dyDescent="0.25"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3:20" x14ac:dyDescent="0.25"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3:20" x14ac:dyDescent="0.25"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3:20" x14ac:dyDescent="0.25"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3:20" x14ac:dyDescent="0.25"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3:20" x14ac:dyDescent="0.25"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3:20" x14ac:dyDescent="0.25"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3:20" x14ac:dyDescent="0.25"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3:20" x14ac:dyDescent="0.25"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3:20" x14ac:dyDescent="0.25"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3:20" x14ac:dyDescent="0.25"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3:20" x14ac:dyDescent="0.25"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3:20" x14ac:dyDescent="0.25"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3:20" x14ac:dyDescent="0.25"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3:20" x14ac:dyDescent="0.25"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3:20" x14ac:dyDescent="0.25"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3:20" x14ac:dyDescent="0.25"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3:20" x14ac:dyDescent="0.25"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3:20" x14ac:dyDescent="0.25"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3:20" x14ac:dyDescent="0.25"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3:20" x14ac:dyDescent="0.25"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3:20" x14ac:dyDescent="0.25"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3:20" x14ac:dyDescent="0.25"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3:20" x14ac:dyDescent="0.25"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3:20" x14ac:dyDescent="0.25"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3:20" x14ac:dyDescent="0.25"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3:20" x14ac:dyDescent="0.25"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3:20" x14ac:dyDescent="0.25"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3:20" x14ac:dyDescent="0.25"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3:20" x14ac:dyDescent="0.25"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3:20" x14ac:dyDescent="0.25"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3:20" x14ac:dyDescent="0.25"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3:20" x14ac:dyDescent="0.25"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3:20" x14ac:dyDescent="0.25"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3:20" x14ac:dyDescent="0.25"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3:20" x14ac:dyDescent="0.25"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3:20" x14ac:dyDescent="0.25"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3:20" x14ac:dyDescent="0.25"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3:20" x14ac:dyDescent="0.25"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</sheetData>
  <mergeCells count="2">
    <mergeCell ref="D2:K2"/>
    <mergeCell ref="D3:K3"/>
  </mergeCells>
  <conditionalFormatting sqref="C1:M4 C5:S5 C6:M1048576">
    <cfRule type="expression" dxfId="8" priority="3">
      <formula>$M1=$X$28</formula>
    </cfRule>
    <cfRule type="expression" dxfId="7" priority="4">
      <formula>$M1=$X$29</formula>
    </cfRule>
  </conditionalFormatting>
  <conditionalFormatting sqref="C6:M1048576 C1:M4 C5:S5">
    <cfRule type="expression" dxfId="6" priority="2">
      <formula>$M1=$X$36</formula>
    </cfRule>
  </conditionalFormatting>
  <conditionalFormatting sqref="M7:P7 R7:T7 S8:T21 M8:N280 O8:P794 R8:R794 T22:T280 S22:S793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1449-E12A-4BA9-ADF0-556B01531E88}">
  <dimension ref="B1:AF1110"/>
  <sheetViews>
    <sheetView zoomScale="80" zoomScaleNormal="80" workbookViewId="0">
      <selection activeCell="F20" sqref="F20"/>
    </sheetView>
  </sheetViews>
  <sheetFormatPr defaultRowHeight="15" x14ac:dyDescent="0.25"/>
  <cols>
    <col min="2" max="3" width="9.140625" style="1"/>
    <col min="4" max="4" width="9.140625" style="13"/>
    <col min="5" max="5" width="9.140625" style="1"/>
    <col min="6" max="6" width="13.28515625" style="2" bestFit="1" customWidth="1"/>
    <col min="7" max="9" width="9.140625" style="1"/>
    <col min="10" max="10" width="10.42578125" style="14" bestFit="1" customWidth="1"/>
    <col min="11" max="11" width="9.7109375" style="15" bestFit="1" customWidth="1"/>
    <col min="12" max="12" width="9.140625" style="1"/>
    <col min="13" max="20" width="9.140625" style="2"/>
    <col min="22" max="22" width="14" bestFit="1" customWidth="1"/>
    <col min="23" max="23" width="9.140625" style="1"/>
    <col min="24" max="24" width="9.140625" style="2"/>
    <col min="26" max="27" width="9.140625" style="1"/>
    <col min="28" max="28" width="20" bestFit="1" customWidth="1"/>
    <col min="29" max="29" width="9.140625" style="2" customWidth="1"/>
    <col min="30" max="30" width="9.140625" style="1"/>
    <col min="32" max="32" width="19.140625" bestFit="1" customWidth="1"/>
  </cols>
  <sheetData>
    <row r="1" spans="2:25" x14ac:dyDescent="0.25">
      <c r="D1" s="1"/>
      <c r="F1" s="1"/>
      <c r="J1" s="1"/>
      <c r="K1" s="1"/>
      <c r="S1" s="17"/>
      <c r="V1" s="3"/>
      <c r="Y1" s="1"/>
    </row>
    <row r="2" spans="2:25" x14ac:dyDescent="0.25">
      <c r="C2" s="4" t="s">
        <v>0</v>
      </c>
      <c r="D2" s="32" t="s">
        <v>54</v>
      </c>
      <c r="E2" s="32"/>
      <c r="F2" s="32"/>
      <c r="G2" s="32"/>
      <c r="H2" s="32"/>
      <c r="I2" s="32"/>
      <c r="J2" s="32"/>
      <c r="K2" s="33"/>
      <c r="L2" s="3"/>
      <c r="M2" s="5"/>
      <c r="N2" s="5"/>
      <c r="O2" s="5"/>
      <c r="P2" s="5"/>
      <c r="Q2" s="5"/>
      <c r="R2" s="5"/>
      <c r="S2" s="17" t="s">
        <v>27</v>
      </c>
      <c r="T2" s="5"/>
      <c r="V2" s="3"/>
      <c r="Y2" s="1"/>
    </row>
    <row r="3" spans="2:25" x14ac:dyDescent="0.25">
      <c r="C3" s="6" t="s">
        <v>1</v>
      </c>
      <c r="D3" s="34"/>
      <c r="E3" s="34"/>
      <c r="F3" s="34"/>
      <c r="G3" s="34"/>
      <c r="H3" s="34"/>
      <c r="I3" s="34"/>
      <c r="J3" s="34"/>
      <c r="K3" s="35"/>
      <c r="L3" s="3"/>
      <c r="M3" s="5"/>
      <c r="N3" s="5"/>
      <c r="O3" s="5"/>
      <c r="P3" s="5"/>
      <c r="Q3" s="5"/>
      <c r="R3" s="5"/>
      <c r="S3" s="17" t="s">
        <v>28</v>
      </c>
      <c r="T3" s="5"/>
      <c r="V3" s="3"/>
      <c r="Y3" s="1"/>
    </row>
    <row r="4" spans="2:25" x14ac:dyDescent="0.25">
      <c r="C4" s="10"/>
      <c r="D4" s="3"/>
      <c r="E4" s="3"/>
      <c r="F4" s="3"/>
      <c r="G4" s="3"/>
      <c r="H4" s="3"/>
      <c r="I4" s="3"/>
      <c r="J4" s="3"/>
      <c r="K4" s="3"/>
      <c r="L4" s="3"/>
      <c r="M4" s="5"/>
      <c r="N4" s="5"/>
      <c r="O4" s="5"/>
      <c r="P4" s="5"/>
      <c r="Q4" s="5"/>
      <c r="R4" s="5"/>
      <c r="S4" s="20" t="s">
        <v>29</v>
      </c>
      <c r="T4" s="5"/>
      <c r="V4" s="3"/>
      <c r="Y4" s="1"/>
    </row>
    <row r="5" spans="2:25" x14ac:dyDescent="0.25">
      <c r="C5" s="1">
        <v>1</v>
      </c>
      <c r="D5" s="1">
        <v>2</v>
      </c>
      <c r="E5" s="1">
        <v>3</v>
      </c>
      <c r="F5" s="1">
        <f>E5+1</f>
        <v>4</v>
      </c>
      <c r="G5" s="1">
        <f t="shared" ref="G5:S5" si="0">F5+1</f>
        <v>5</v>
      </c>
      <c r="H5" s="1">
        <f t="shared" si="0"/>
        <v>6</v>
      </c>
      <c r="I5" s="1">
        <f t="shared" si="0"/>
        <v>7</v>
      </c>
      <c r="J5" s="1">
        <f t="shared" si="0"/>
        <v>8</v>
      </c>
      <c r="K5" s="1">
        <f t="shared" si="0"/>
        <v>9</v>
      </c>
      <c r="L5" s="1">
        <f t="shared" si="0"/>
        <v>10</v>
      </c>
      <c r="M5" s="1">
        <f t="shared" si="0"/>
        <v>11</v>
      </c>
      <c r="N5" s="1">
        <f t="shared" si="0"/>
        <v>12</v>
      </c>
      <c r="O5" s="1">
        <f t="shared" si="0"/>
        <v>13</v>
      </c>
      <c r="P5" s="1">
        <f t="shared" si="0"/>
        <v>14</v>
      </c>
      <c r="Q5" s="1">
        <f t="shared" si="0"/>
        <v>15</v>
      </c>
      <c r="R5" s="1">
        <f t="shared" si="0"/>
        <v>16</v>
      </c>
      <c r="S5" s="1">
        <f t="shared" si="0"/>
        <v>17</v>
      </c>
      <c r="V5" s="3"/>
      <c r="Y5" s="1"/>
    </row>
    <row r="6" spans="2:25" x14ac:dyDescent="0.25">
      <c r="C6" s="7" t="s">
        <v>2</v>
      </c>
      <c r="D6" s="8" t="s">
        <v>3</v>
      </c>
      <c r="E6" s="8" t="s">
        <v>4</v>
      </c>
      <c r="F6" s="8" t="s">
        <v>5</v>
      </c>
      <c r="G6" s="8" t="s">
        <v>4</v>
      </c>
      <c r="H6" s="8" t="s">
        <v>6</v>
      </c>
      <c r="I6" s="8" t="s">
        <v>7</v>
      </c>
      <c r="J6" s="8" t="s">
        <v>8</v>
      </c>
      <c r="K6" s="9" t="s">
        <v>9</v>
      </c>
      <c r="L6" s="10"/>
      <c r="M6" s="11" t="s">
        <v>10</v>
      </c>
      <c r="N6" s="12"/>
      <c r="O6" s="12"/>
      <c r="P6" s="12"/>
      <c r="Q6" s="12" t="s">
        <v>24</v>
      </c>
      <c r="R6" s="12" t="s">
        <v>25</v>
      </c>
      <c r="S6" s="12" t="s">
        <v>26</v>
      </c>
      <c r="T6" s="12"/>
      <c r="V6" s="16"/>
      <c r="W6" s="10"/>
      <c r="X6" s="12"/>
      <c r="Y6" s="16"/>
    </row>
    <row r="7" spans="2:25" x14ac:dyDescent="0.25">
      <c r="B7" s="1">
        <v>1</v>
      </c>
      <c r="C7" s="1">
        <v>51</v>
      </c>
      <c r="D7" s="13">
        <v>0</v>
      </c>
      <c r="E7" s="1" t="s">
        <v>11</v>
      </c>
      <c r="F7" s="2">
        <v>7.0000000000000007E-2</v>
      </c>
      <c r="G7" s="1" t="s">
        <v>12</v>
      </c>
      <c r="H7" s="1" t="s">
        <v>13</v>
      </c>
      <c r="I7" s="1" t="s">
        <v>14</v>
      </c>
      <c r="J7" s="14">
        <v>0.56878472222222221</v>
      </c>
      <c r="K7" s="15">
        <v>45514</v>
      </c>
      <c r="L7" s="15"/>
      <c r="M7" s="2">
        <v>0</v>
      </c>
      <c r="O7" s="2">
        <f>M7-$X$23</f>
        <v>-6.5000000000000002E-2</v>
      </c>
      <c r="P7" s="2">
        <f>O7*$AC$21+$Y$23</f>
        <v>39.729987293519699</v>
      </c>
      <c r="Q7" s="2">
        <f>((D7+D8)/2)*(M8-M7)</f>
        <v>7.4999999999999997E-3</v>
      </c>
      <c r="R7" s="2">
        <f>((P7+P8)/2)*(O8-O7)</f>
        <v>0.19872109275730612</v>
      </c>
      <c r="S7" s="2">
        <f>Q7-R7</f>
        <v>-0.19122109275730612</v>
      </c>
      <c r="V7" s="16"/>
      <c r="W7" s="10"/>
      <c r="X7" s="12"/>
      <c r="Y7" s="16"/>
    </row>
    <row r="8" spans="2:25" x14ac:dyDescent="0.25">
      <c r="B8" s="1">
        <f>B7+1</f>
        <v>2</v>
      </c>
      <c r="C8" s="1">
        <v>52</v>
      </c>
      <c r="D8" s="13">
        <v>3</v>
      </c>
      <c r="E8" s="1" t="s">
        <v>11</v>
      </c>
      <c r="F8" s="2">
        <v>7.4999999999999997E-2</v>
      </c>
      <c r="G8" s="1" t="s">
        <v>12</v>
      </c>
      <c r="H8" s="1" t="s">
        <v>13</v>
      </c>
      <c r="I8" s="1" t="s">
        <v>14</v>
      </c>
      <c r="J8" s="14">
        <v>0.56878472222222221</v>
      </c>
      <c r="K8" s="15">
        <v>45514</v>
      </c>
      <c r="L8" s="15"/>
      <c r="M8" s="2">
        <v>5.0000000000000001E-3</v>
      </c>
      <c r="O8" s="2">
        <f t="shared" ref="O8:O71" si="1">M8-$X$23</f>
        <v>-6.0000000000000005E-2</v>
      </c>
      <c r="P8" s="2">
        <f t="shared" ref="P8:P71" si="2">O8*$AC$21+$Y$23</f>
        <v>39.758449809402798</v>
      </c>
      <c r="Q8" s="2">
        <f t="shared" ref="Q8:Q71" si="3">((D8+D9)/2)*(M9-M8)</f>
        <v>3.4750000000000003E-2</v>
      </c>
      <c r="R8" s="2">
        <f t="shared" ref="R8:R71" si="4">((P8+P9)/2)*(O9-O8)</f>
        <v>0.19886340533672192</v>
      </c>
      <c r="S8" s="2">
        <f t="shared" ref="S8:S71" si="5">Q8-R8</f>
        <v>-0.16411340533672192</v>
      </c>
      <c r="V8" s="16"/>
      <c r="W8" s="10"/>
      <c r="X8" s="12"/>
      <c r="Y8" s="16"/>
    </row>
    <row r="9" spans="2:25" x14ac:dyDescent="0.25">
      <c r="B9" s="1">
        <f t="shared" ref="B9:B72" si="6">B8+1</f>
        <v>3</v>
      </c>
      <c r="C9" s="1">
        <v>54</v>
      </c>
      <c r="D9" s="13">
        <v>10.9</v>
      </c>
      <c r="E9" s="1" t="s">
        <v>11</v>
      </c>
      <c r="F9" s="2">
        <v>0.08</v>
      </c>
      <c r="G9" s="1" t="s">
        <v>12</v>
      </c>
      <c r="H9" s="1" t="s">
        <v>13</v>
      </c>
      <c r="I9" s="1" t="s">
        <v>14</v>
      </c>
      <c r="J9" s="14">
        <v>0.56878472222222221</v>
      </c>
      <c r="K9" s="15">
        <v>45514</v>
      </c>
      <c r="L9" s="15"/>
      <c r="M9" s="2">
        <v>0.01</v>
      </c>
      <c r="O9" s="2">
        <f t="shared" si="1"/>
        <v>-5.5E-2</v>
      </c>
      <c r="P9" s="2">
        <f t="shared" si="2"/>
        <v>39.786912325285897</v>
      </c>
      <c r="Q9" s="2">
        <f t="shared" si="3"/>
        <v>6.2249999999999986E-2</v>
      </c>
      <c r="R9" s="2">
        <f t="shared" si="4"/>
        <v>0.19900571791613711</v>
      </c>
      <c r="S9" s="2">
        <f t="shared" si="5"/>
        <v>-0.13675571791613711</v>
      </c>
      <c r="V9" s="16"/>
      <c r="W9" s="10"/>
      <c r="X9" s="12"/>
      <c r="Y9" s="16"/>
    </row>
    <row r="10" spans="2:25" x14ac:dyDescent="0.25">
      <c r="B10" s="1">
        <f t="shared" si="6"/>
        <v>4</v>
      </c>
      <c r="C10" s="1">
        <v>55</v>
      </c>
      <c r="D10" s="13">
        <v>14</v>
      </c>
      <c r="E10" s="1" t="s">
        <v>11</v>
      </c>
      <c r="F10" s="2">
        <v>8.5000000000000006E-2</v>
      </c>
      <c r="G10" s="1" t="s">
        <v>12</v>
      </c>
      <c r="H10" s="1" t="s">
        <v>13</v>
      </c>
      <c r="I10" s="1" t="s">
        <v>14</v>
      </c>
      <c r="J10" s="14">
        <v>0.56878472222222221</v>
      </c>
      <c r="K10" s="15">
        <v>45514</v>
      </c>
      <c r="L10" s="15"/>
      <c r="M10" s="2">
        <v>1.4999999999999999E-2</v>
      </c>
      <c r="O10" s="2">
        <f t="shared" si="1"/>
        <v>-0.05</v>
      </c>
      <c r="P10" s="2">
        <f t="shared" si="2"/>
        <v>39.815374841168996</v>
      </c>
      <c r="Q10" s="2">
        <f t="shared" si="3"/>
        <v>7.6000000000000012E-2</v>
      </c>
      <c r="R10" s="2">
        <f t="shared" si="4"/>
        <v>0.19914803049555294</v>
      </c>
      <c r="S10" s="2">
        <f t="shared" si="5"/>
        <v>-0.12314803049555292</v>
      </c>
      <c r="V10" s="16"/>
      <c r="W10" s="10"/>
      <c r="X10" s="12"/>
      <c r="Y10" s="16"/>
    </row>
    <row r="11" spans="2:25" x14ac:dyDescent="0.25">
      <c r="B11" s="1">
        <f t="shared" si="6"/>
        <v>5</v>
      </c>
      <c r="C11" s="1">
        <v>56</v>
      </c>
      <c r="D11" s="13">
        <v>16.399999999999999</v>
      </c>
      <c r="E11" s="1" t="s">
        <v>11</v>
      </c>
      <c r="F11" s="2">
        <v>0.09</v>
      </c>
      <c r="G11" s="1" t="s">
        <v>12</v>
      </c>
      <c r="H11" s="1" t="s">
        <v>13</v>
      </c>
      <c r="I11" s="1" t="s">
        <v>14</v>
      </c>
      <c r="J11" s="14">
        <v>0.56879629629629624</v>
      </c>
      <c r="K11" s="15">
        <v>45514</v>
      </c>
      <c r="L11" s="15"/>
      <c r="M11" s="2">
        <v>0.02</v>
      </c>
      <c r="O11" s="2">
        <f t="shared" si="1"/>
        <v>-4.4999999999999998E-2</v>
      </c>
      <c r="P11" s="2">
        <f t="shared" si="2"/>
        <v>39.843837357052095</v>
      </c>
      <c r="Q11" s="2">
        <f t="shared" si="3"/>
        <v>9.6250000000000016E-2</v>
      </c>
      <c r="R11" s="2">
        <f t="shared" si="4"/>
        <v>0.19929034307496815</v>
      </c>
      <c r="S11" s="2">
        <f t="shared" si="5"/>
        <v>-0.10304034307496814</v>
      </c>
      <c r="V11" s="16"/>
      <c r="W11" s="10"/>
      <c r="X11" s="12"/>
      <c r="Y11" s="16"/>
    </row>
    <row r="12" spans="2:25" x14ac:dyDescent="0.25">
      <c r="B12" s="1">
        <f t="shared" si="6"/>
        <v>6</v>
      </c>
      <c r="C12" s="1">
        <v>58</v>
      </c>
      <c r="D12" s="13">
        <v>22.1</v>
      </c>
      <c r="E12" s="1" t="s">
        <v>11</v>
      </c>
      <c r="F12" s="2">
        <v>9.5000000000000001E-2</v>
      </c>
      <c r="G12" s="1" t="s">
        <v>12</v>
      </c>
      <c r="H12" s="1" t="s">
        <v>13</v>
      </c>
      <c r="I12" s="1" t="s">
        <v>14</v>
      </c>
      <c r="J12" s="14">
        <v>0.56879629629629624</v>
      </c>
      <c r="K12" s="15">
        <v>45514</v>
      </c>
      <c r="L12" s="15"/>
      <c r="M12" s="2">
        <v>2.5000000000000001E-2</v>
      </c>
      <c r="O12" s="2">
        <f t="shared" si="1"/>
        <v>-0.04</v>
      </c>
      <c r="P12" s="2">
        <f t="shared" si="2"/>
        <v>39.872299872935201</v>
      </c>
      <c r="Q12" s="2">
        <f t="shared" si="3"/>
        <v>0.12524999999999994</v>
      </c>
      <c r="R12" s="2">
        <f t="shared" si="4"/>
        <v>0.19943265565438364</v>
      </c>
      <c r="S12" s="2">
        <f t="shared" si="5"/>
        <v>-7.41826556543837E-2</v>
      </c>
      <c r="V12" s="16"/>
      <c r="W12" s="10"/>
      <c r="X12" s="12"/>
      <c r="Y12" s="16"/>
    </row>
    <row r="13" spans="2:25" x14ac:dyDescent="0.25">
      <c r="B13" s="1">
        <f t="shared" si="6"/>
        <v>7</v>
      </c>
      <c r="C13" s="1">
        <v>60</v>
      </c>
      <c r="D13" s="13">
        <v>28</v>
      </c>
      <c r="E13" s="1" t="s">
        <v>11</v>
      </c>
      <c r="F13" s="2">
        <v>0.1</v>
      </c>
      <c r="G13" s="1" t="s">
        <v>12</v>
      </c>
      <c r="H13" s="1" t="s">
        <v>13</v>
      </c>
      <c r="I13" s="1" t="s">
        <v>14</v>
      </c>
      <c r="J13" s="14">
        <v>0.56879629629629624</v>
      </c>
      <c r="K13" s="15">
        <v>45514</v>
      </c>
      <c r="L13" s="15"/>
      <c r="M13" s="2">
        <v>0.03</v>
      </c>
      <c r="O13" s="2">
        <f t="shared" si="1"/>
        <v>-3.5000000000000003E-2</v>
      </c>
      <c r="P13" s="2">
        <f t="shared" si="2"/>
        <v>39.900762388818301</v>
      </c>
      <c r="Q13" s="2">
        <f t="shared" si="3"/>
        <v>0.14800000000000013</v>
      </c>
      <c r="R13" s="2">
        <f t="shared" si="4"/>
        <v>0.19957496823379944</v>
      </c>
      <c r="S13" s="2">
        <f t="shared" si="5"/>
        <v>-5.1574968233799312E-2</v>
      </c>
      <c r="V13" s="16"/>
      <c r="W13" s="10"/>
      <c r="X13" s="12"/>
      <c r="Y13" s="16"/>
    </row>
    <row r="14" spans="2:25" x14ac:dyDescent="0.25">
      <c r="B14" s="1">
        <f t="shared" si="6"/>
        <v>8</v>
      </c>
      <c r="C14" s="1">
        <v>61</v>
      </c>
      <c r="D14" s="13">
        <v>31.2</v>
      </c>
      <c r="E14" s="1" t="s">
        <v>11</v>
      </c>
      <c r="F14" s="2">
        <v>0.105</v>
      </c>
      <c r="G14" s="1" t="s">
        <v>12</v>
      </c>
      <c r="H14" s="1" t="s">
        <v>13</v>
      </c>
      <c r="I14" s="1" t="s">
        <v>14</v>
      </c>
      <c r="J14" s="14">
        <v>0.56879629629629624</v>
      </c>
      <c r="K14" s="15">
        <v>45514</v>
      </c>
      <c r="L14" s="15"/>
      <c r="M14" s="2">
        <v>3.5000000000000003E-2</v>
      </c>
      <c r="O14" s="2">
        <f t="shared" si="1"/>
        <v>-0.03</v>
      </c>
      <c r="P14" s="2">
        <f t="shared" si="2"/>
        <v>39.9292249047014</v>
      </c>
      <c r="Q14" s="2">
        <f t="shared" si="3"/>
        <v>0.16674999999999993</v>
      </c>
      <c r="R14" s="2">
        <f t="shared" si="4"/>
        <v>0.19971728081321463</v>
      </c>
      <c r="S14" s="2">
        <f t="shared" si="5"/>
        <v>-3.2967280813214705E-2</v>
      </c>
      <c r="V14" s="16"/>
      <c r="W14" s="10"/>
      <c r="X14" s="12"/>
      <c r="Y14" s="16"/>
    </row>
    <row r="15" spans="2:25" x14ac:dyDescent="0.25">
      <c r="B15" s="1">
        <f t="shared" si="6"/>
        <v>9</v>
      </c>
      <c r="C15" s="1">
        <v>63</v>
      </c>
      <c r="D15" s="13">
        <v>35.5</v>
      </c>
      <c r="E15" s="1" t="s">
        <v>11</v>
      </c>
      <c r="F15" s="2">
        <v>0.11</v>
      </c>
      <c r="G15" s="1" t="s">
        <v>12</v>
      </c>
      <c r="H15" s="1" t="s">
        <v>13</v>
      </c>
      <c r="I15" s="1" t="s">
        <v>14</v>
      </c>
      <c r="J15" s="14">
        <v>0.56879629629629624</v>
      </c>
      <c r="K15" s="15">
        <v>45514</v>
      </c>
      <c r="L15" s="15"/>
      <c r="M15" s="2">
        <v>0.04</v>
      </c>
      <c r="O15" s="2">
        <f t="shared" si="1"/>
        <v>-2.5000000000000001E-2</v>
      </c>
      <c r="P15" s="2">
        <f t="shared" si="2"/>
        <v>39.957687420584499</v>
      </c>
      <c r="Q15" s="2">
        <f t="shared" si="3"/>
        <v>0.18049999999999991</v>
      </c>
      <c r="R15" s="2">
        <f t="shared" si="4"/>
        <v>0.19985959339263015</v>
      </c>
      <c r="S15" s="2">
        <f t="shared" si="5"/>
        <v>-1.9359593392630242E-2</v>
      </c>
      <c r="V15" s="16"/>
      <c r="W15" s="10"/>
      <c r="X15" s="12"/>
      <c r="Y15" s="16"/>
    </row>
    <row r="16" spans="2:25" x14ac:dyDescent="0.25">
      <c r="B16" s="1">
        <f t="shared" si="6"/>
        <v>10</v>
      </c>
      <c r="C16" s="1">
        <v>65</v>
      </c>
      <c r="D16" s="13">
        <v>36.700000000000003</v>
      </c>
      <c r="E16" s="1" t="s">
        <v>11</v>
      </c>
      <c r="F16" s="2">
        <v>0.115</v>
      </c>
      <c r="G16" s="1" t="s">
        <v>12</v>
      </c>
      <c r="H16" s="1" t="s">
        <v>13</v>
      </c>
      <c r="I16" s="1" t="s">
        <v>14</v>
      </c>
      <c r="J16" s="14">
        <v>0.56879629629629624</v>
      </c>
      <c r="K16" s="15">
        <v>45514</v>
      </c>
      <c r="L16" s="15"/>
      <c r="M16" s="2">
        <v>4.4999999999999998E-2</v>
      </c>
      <c r="O16" s="2">
        <f t="shared" si="1"/>
        <v>-2.0000000000000004E-2</v>
      </c>
      <c r="P16" s="2">
        <f t="shared" si="2"/>
        <v>39.986149936467598</v>
      </c>
      <c r="Q16" s="2">
        <f t="shared" si="3"/>
        <v>0.18275000000000013</v>
      </c>
      <c r="R16" s="2">
        <f t="shared" si="4"/>
        <v>0.2000019059720459</v>
      </c>
      <c r="S16" s="2">
        <f t="shared" si="5"/>
        <v>-1.7251905972045761E-2</v>
      </c>
      <c r="V16" s="16"/>
      <c r="W16" s="10"/>
      <c r="X16" s="12"/>
      <c r="Y16" s="16"/>
    </row>
    <row r="17" spans="2:32" x14ac:dyDescent="0.25">
      <c r="B17" s="1">
        <f t="shared" si="6"/>
        <v>11</v>
      </c>
      <c r="C17" s="1">
        <v>68</v>
      </c>
      <c r="D17" s="13">
        <v>36.4</v>
      </c>
      <c r="E17" s="1" t="s">
        <v>11</v>
      </c>
      <c r="F17" s="2">
        <v>0.12</v>
      </c>
      <c r="G17" s="1" t="s">
        <v>12</v>
      </c>
      <c r="H17" s="1" t="s">
        <v>13</v>
      </c>
      <c r="I17" s="1" t="s">
        <v>14</v>
      </c>
      <c r="J17" s="14">
        <v>0.56880787037037039</v>
      </c>
      <c r="K17" s="15">
        <v>45514</v>
      </c>
      <c r="L17" s="15"/>
      <c r="M17" s="2">
        <v>0.05</v>
      </c>
      <c r="O17" s="2">
        <f t="shared" si="1"/>
        <v>-1.4999999999999999E-2</v>
      </c>
      <c r="P17" s="2">
        <f t="shared" si="2"/>
        <v>40.014612452350697</v>
      </c>
      <c r="Q17" s="2">
        <f t="shared" si="3"/>
        <v>0.18374999999999991</v>
      </c>
      <c r="R17" s="2">
        <f t="shared" si="4"/>
        <v>0.20014421855146114</v>
      </c>
      <c r="S17" s="2">
        <f t="shared" si="5"/>
        <v>-1.6394218551461226E-2</v>
      </c>
      <c r="V17" s="3"/>
      <c r="Y17" s="1"/>
    </row>
    <row r="18" spans="2:32" x14ac:dyDescent="0.25">
      <c r="B18" s="1">
        <f t="shared" si="6"/>
        <v>12</v>
      </c>
      <c r="C18" s="1">
        <v>71</v>
      </c>
      <c r="D18" s="13">
        <v>37.1</v>
      </c>
      <c r="E18" s="1" t="s">
        <v>11</v>
      </c>
      <c r="F18" s="2">
        <v>0.125</v>
      </c>
      <c r="G18" s="1" t="s">
        <v>12</v>
      </c>
      <c r="H18" s="1" t="s">
        <v>13</v>
      </c>
      <c r="I18" s="1" t="s">
        <v>14</v>
      </c>
      <c r="J18" s="14">
        <v>0.56880787037037039</v>
      </c>
      <c r="K18" s="15">
        <v>45514</v>
      </c>
      <c r="L18" s="15"/>
      <c r="M18" s="2">
        <v>5.5E-2</v>
      </c>
      <c r="O18" s="2">
        <f t="shared" si="1"/>
        <v>-1.0000000000000002E-2</v>
      </c>
      <c r="P18" s="2">
        <f t="shared" si="2"/>
        <v>40.043074968233803</v>
      </c>
      <c r="Q18" s="2">
        <f t="shared" si="3"/>
        <v>0.18824999999999995</v>
      </c>
      <c r="R18" s="2">
        <f t="shared" si="4"/>
        <v>0.20028653113087669</v>
      </c>
      <c r="S18" s="2">
        <f t="shared" si="5"/>
        <v>-1.2036531130876743E-2</v>
      </c>
      <c r="V18" s="3"/>
      <c r="Y18" s="1"/>
    </row>
    <row r="19" spans="2:32" x14ac:dyDescent="0.25">
      <c r="B19" s="1">
        <f t="shared" si="6"/>
        <v>13</v>
      </c>
      <c r="C19" s="1">
        <v>75</v>
      </c>
      <c r="D19" s="13">
        <v>38.200000000000003</v>
      </c>
      <c r="E19" s="1" t="s">
        <v>11</v>
      </c>
      <c r="F19" s="2">
        <v>0.13</v>
      </c>
      <c r="G19" s="1" t="s">
        <v>12</v>
      </c>
      <c r="H19" s="1" t="s">
        <v>13</v>
      </c>
      <c r="I19" s="1" t="s">
        <v>14</v>
      </c>
      <c r="J19" s="14">
        <v>0.56880787037037039</v>
      </c>
      <c r="K19" s="15">
        <v>45514</v>
      </c>
      <c r="L19" s="15"/>
      <c r="M19" s="2">
        <v>0.06</v>
      </c>
      <c r="O19" s="2">
        <f t="shared" si="1"/>
        <v>-5.0000000000000044E-3</v>
      </c>
      <c r="P19" s="2">
        <f t="shared" si="2"/>
        <v>40.071537484116902</v>
      </c>
      <c r="Q19" s="2">
        <f t="shared" si="3"/>
        <v>0.1957500000000002</v>
      </c>
      <c r="R19" s="2">
        <f t="shared" si="4"/>
        <v>0.20042884371029243</v>
      </c>
      <c r="S19" s="2">
        <f t="shared" si="5"/>
        <v>-4.6788437102922298E-3</v>
      </c>
      <c r="V19" s="3"/>
      <c r="Y19" s="1"/>
    </row>
    <row r="20" spans="2:32" x14ac:dyDescent="0.25">
      <c r="B20" s="1">
        <f t="shared" si="6"/>
        <v>14</v>
      </c>
      <c r="C20" s="1">
        <v>78</v>
      </c>
      <c r="D20" s="13">
        <v>40.1</v>
      </c>
      <c r="E20" s="1" t="s">
        <v>11</v>
      </c>
      <c r="F20" s="2">
        <v>0.13500000000000001</v>
      </c>
      <c r="G20" s="1" t="s">
        <v>12</v>
      </c>
      <c r="H20" s="1" t="s">
        <v>13</v>
      </c>
      <c r="I20" s="1" t="s">
        <v>14</v>
      </c>
      <c r="J20" s="14">
        <v>0.56881944444444443</v>
      </c>
      <c r="K20" s="15">
        <v>45514</v>
      </c>
      <c r="L20" s="15"/>
      <c r="M20" s="2">
        <v>6.5000000000000002E-2</v>
      </c>
      <c r="O20" s="2">
        <f t="shared" si="1"/>
        <v>0</v>
      </c>
      <c r="P20" s="2">
        <f t="shared" si="2"/>
        <v>40.1</v>
      </c>
      <c r="Q20" s="2">
        <f t="shared" si="3"/>
        <v>0.20175000000000018</v>
      </c>
      <c r="R20" s="2">
        <f t="shared" si="4"/>
        <v>0.20057115628970795</v>
      </c>
      <c r="S20" s="2">
        <f t="shared" si="5"/>
        <v>1.1788437102922267E-3</v>
      </c>
      <c r="V20" s="3"/>
      <c r="Y20" s="1"/>
    </row>
    <row r="21" spans="2:32" x14ac:dyDescent="0.25">
      <c r="B21" s="1">
        <f t="shared" si="6"/>
        <v>15</v>
      </c>
      <c r="C21" s="1">
        <v>81</v>
      </c>
      <c r="D21" s="13">
        <v>40.6</v>
      </c>
      <c r="E21" s="1" t="s">
        <v>11</v>
      </c>
      <c r="F21" s="2">
        <v>0.14000000000000001</v>
      </c>
      <c r="G21" s="1" t="s">
        <v>12</v>
      </c>
      <c r="H21" s="1" t="s">
        <v>13</v>
      </c>
      <c r="I21" s="1" t="s">
        <v>14</v>
      </c>
      <c r="J21" s="14">
        <v>0.56881944444444443</v>
      </c>
      <c r="K21" s="15">
        <v>45514</v>
      </c>
      <c r="L21" s="15"/>
      <c r="M21" s="2">
        <v>7.0000000000000007E-2</v>
      </c>
      <c r="O21" s="2">
        <f t="shared" si="1"/>
        <v>5.0000000000000044E-3</v>
      </c>
      <c r="P21" s="2">
        <f t="shared" si="2"/>
        <v>40.128462515883101</v>
      </c>
      <c r="Q21" s="2">
        <f t="shared" si="3"/>
        <v>0.20299999999999963</v>
      </c>
      <c r="R21" s="2">
        <f t="shared" si="4"/>
        <v>0.20071346886912286</v>
      </c>
      <c r="S21" s="2">
        <f t="shared" si="5"/>
        <v>2.2865311308767622E-3</v>
      </c>
      <c r="V21" s="3"/>
      <c r="Y21" s="1"/>
      <c r="AB21" t="s">
        <v>55</v>
      </c>
      <c r="AC21" s="2">
        <f>($Y$53-$Y$23)/($X$53-$X$23)</f>
        <v>5.6925031766200762</v>
      </c>
      <c r="AF21" t="s">
        <v>23</v>
      </c>
    </row>
    <row r="22" spans="2:32" x14ac:dyDescent="0.25">
      <c r="B22" s="1">
        <f t="shared" si="6"/>
        <v>16</v>
      </c>
      <c r="C22" s="1">
        <v>85</v>
      </c>
      <c r="D22" s="13">
        <v>40.6</v>
      </c>
      <c r="E22" s="1" t="s">
        <v>11</v>
      </c>
      <c r="F22" s="2">
        <v>0.14499999999999999</v>
      </c>
      <c r="G22" s="1" t="s">
        <v>12</v>
      </c>
      <c r="H22" s="1" t="s">
        <v>13</v>
      </c>
      <c r="I22" s="1" t="s">
        <v>14</v>
      </c>
      <c r="J22" s="14">
        <v>0.56881944444444443</v>
      </c>
      <c r="K22" s="15">
        <v>45514</v>
      </c>
      <c r="L22" s="15"/>
      <c r="M22" s="2">
        <v>7.4999999999999997E-2</v>
      </c>
      <c r="O22" s="2">
        <f t="shared" si="1"/>
        <v>9.999999999999995E-3</v>
      </c>
      <c r="P22" s="2">
        <f t="shared" si="2"/>
        <v>40.1569250317662</v>
      </c>
      <c r="Q22" s="2">
        <f t="shared" si="3"/>
        <v>0.20325000000000021</v>
      </c>
      <c r="R22" s="2">
        <f t="shared" si="4"/>
        <v>0.20085578144853894</v>
      </c>
      <c r="S22" s="2">
        <f t="shared" si="5"/>
        <v>2.3942185514612691E-3</v>
      </c>
      <c r="V22" s="3"/>
      <c r="Y22" s="1"/>
      <c r="Z22" s="1" t="s">
        <v>38</v>
      </c>
      <c r="AA22" s="1" t="s">
        <v>39</v>
      </c>
    </row>
    <row r="23" spans="2:32" x14ac:dyDescent="0.25">
      <c r="B23" s="1">
        <f t="shared" si="6"/>
        <v>17</v>
      </c>
      <c r="C23" s="1">
        <v>87</v>
      </c>
      <c r="D23" s="13">
        <v>40.700000000000003</v>
      </c>
      <c r="E23" s="1" t="s">
        <v>11</v>
      </c>
      <c r="F23" s="2">
        <v>0.15</v>
      </c>
      <c r="G23" s="1" t="s">
        <v>12</v>
      </c>
      <c r="H23" s="1" t="s">
        <v>13</v>
      </c>
      <c r="I23" s="1" t="s">
        <v>14</v>
      </c>
      <c r="J23" s="14">
        <v>0.56883101851851847</v>
      </c>
      <c r="K23" s="15">
        <v>45514</v>
      </c>
      <c r="L23" s="15"/>
      <c r="M23" s="2">
        <v>0.08</v>
      </c>
      <c r="O23" s="2">
        <f t="shared" si="1"/>
        <v>1.4999999999999999E-2</v>
      </c>
      <c r="P23" s="2">
        <f t="shared" si="2"/>
        <v>40.185387547649306</v>
      </c>
      <c r="Q23" s="2">
        <f t="shared" si="3"/>
        <v>0.20450000000000021</v>
      </c>
      <c r="R23" s="2">
        <f t="shared" si="4"/>
        <v>0.20099809402795446</v>
      </c>
      <c r="S23" s="2">
        <f t="shared" si="5"/>
        <v>3.501905972045749E-3</v>
      </c>
      <c r="V23" s="3"/>
      <c r="W23" s="1" t="s">
        <v>15</v>
      </c>
      <c r="X23" s="22">
        <v>6.5000000000000002E-2</v>
      </c>
      <c r="Y23" s="25">
        <f>_xlfn.XLOOKUP(X23,M$7:M$2001,D$7:D$2001,0,-1)</f>
        <v>40.1</v>
      </c>
      <c r="Z23" s="1" cm="1">
        <f t="array" aca="1" ref="Z23" ca="1">CELL("row",_xlfn.XLOOKUP(X23,M$7:M$2001,D$7:D$2001,0,-1))</f>
        <v>20</v>
      </c>
      <c r="AA23" s="1">
        <f ca="1">Z23-6</f>
        <v>14</v>
      </c>
      <c r="AB23" t="s">
        <v>66</v>
      </c>
      <c r="AC23" s="2">
        <f ca="1">SUM(INDEX(C7:S1000,AA23,17):(INDEX(C7:S1000,AA24,17)))</f>
        <v>-1.4266372299872925</v>
      </c>
      <c r="AD23" s="1">
        <v>17</v>
      </c>
      <c r="AE23" t="s">
        <v>40</v>
      </c>
      <c r="AF23" t="s">
        <v>32</v>
      </c>
    </row>
    <row r="24" spans="2:32" x14ac:dyDescent="0.25">
      <c r="B24" s="1">
        <f t="shared" si="6"/>
        <v>18</v>
      </c>
      <c r="C24" s="1">
        <v>89</v>
      </c>
      <c r="D24" s="13">
        <v>41.1</v>
      </c>
      <c r="E24" s="1" t="s">
        <v>11</v>
      </c>
      <c r="F24" s="2">
        <v>0.155</v>
      </c>
      <c r="G24" s="1" t="s">
        <v>12</v>
      </c>
      <c r="H24" s="1" t="s">
        <v>13</v>
      </c>
      <c r="I24" s="1" t="s">
        <v>14</v>
      </c>
      <c r="J24" s="14">
        <v>0.56883101851851847</v>
      </c>
      <c r="K24" s="15">
        <v>45514</v>
      </c>
      <c r="L24" s="15"/>
      <c r="M24" s="2">
        <v>8.5000000000000006E-2</v>
      </c>
      <c r="O24" s="2">
        <f t="shared" si="1"/>
        <v>2.0000000000000004E-2</v>
      </c>
      <c r="P24" s="2">
        <f t="shared" si="2"/>
        <v>40.213850063532405</v>
      </c>
      <c r="Q24" s="2">
        <f t="shared" si="3"/>
        <v>0.40999999999999981</v>
      </c>
      <c r="R24" s="2">
        <f t="shared" si="4"/>
        <v>0.40242312579415485</v>
      </c>
      <c r="S24" s="2">
        <f t="shared" si="5"/>
        <v>7.5768742058449634E-3</v>
      </c>
      <c r="W24" s="1" t="s">
        <v>16</v>
      </c>
      <c r="X24" s="2">
        <f>X28</f>
        <v>0.94</v>
      </c>
      <c r="Y24" s="1">
        <f>_xlfn.XLOOKUP(X24,M$7:M$2001,D$7:D$2001,0,-1)</f>
        <v>43.7</v>
      </c>
      <c r="Z24" s="1" cm="1">
        <f t="array" aca="1" ref="Z24" ca="1">CELL("row",_xlfn.XLOOKUP(X24,M$7:M$2001,D$7:D$2001,0,-1))</f>
        <v>192</v>
      </c>
      <c r="AA24" s="1">
        <f t="shared" ref="AA24" ca="1" si="7">Z24-6</f>
        <v>186</v>
      </c>
      <c r="AB24" t="s">
        <v>71</v>
      </c>
      <c r="AC24" s="2">
        <f>X24-X23</f>
        <v>0.875</v>
      </c>
      <c r="AF24" t="s">
        <v>48</v>
      </c>
    </row>
    <row r="25" spans="2:32" x14ac:dyDescent="0.25">
      <c r="B25" s="1">
        <f t="shared" si="6"/>
        <v>19</v>
      </c>
      <c r="C25" s="1">
        <v>90</v>
      </c>
      <c r="D25" s="13">
        <v>40.9</v>
      </c>
      <c r="E25" s="1" t="s">
        <v>11</v>
      </c>
      <c r="F25" s="2">
        <v>0.16500000000000001</v>
      </c>
      <c r="G25" s="1" t="s">
        <v>12</v>
      </c>
      <c r="H25" s="1" t="s">
        <v>13</v>
      </c>
      <c r="I25" s="1" t="s">
        <v>14</v>
      </c>
      <c r="J25" s="14">
        <v>0.56883101851851847</v>
      </c>
      <c r="K25" s="15">
        <v>45514</v>
      </c>
      <c r="L25" s="15"/>
      <c r="M25" s="2">
        <v>9.5000000000000001E-2</v>
      </c>
      <c r="O25" s="2">
        <f t="shared" si="1"/>
        <v>0.03</v>
      </c>
      <c r="P25" s="2">
        <f t="shared" si="2"/>
        <v>40.270775095298603</v>
      </c>
      <c r="Q25" s="2">
        <f t="shared" si="3"/>
        <v>0.20350000000000021</v>
      </c>
      <c r="R25" s="2">
        <f t="shared" si="4"/>
        <v>0.20142503176620091</v>
      </c>
      <c r="S25" s="2">
        <f t="shared" si="5"/>
        <v>2.0749682337992958E-3</v>
      </c>
      <c r="Y25" s="1"/>
      <c r="AB25" t="s">
        <v>56</v>
      </c>
      <c r="AC25" s="2">
        <f>(AC24)/(AC24+AC31+AC43+AC53) *100</f>
        <v>22.236340533672173</v>
      </c>
      <c r="AF25" t="s">
        <v>50</v>
      </c>
    </row>
    <row r="26" spans="2:32" x14ac:dyDescent="0.25">
      <c r="B26" s="1">
        <f t="shared" si="6"/>
        <v>20</v>
      </c>
      <c r="C26" s="1">
        <v>91</v>
      </c>
      <c r="D26" s="13">
        <v>40.5</v>
      </c>
      <c r="E26" s="1" t="s">
        <v>11</v>
      </c>
      <c r="F26" s="2">
        <v>0.17</v>
      </c>
      <c r="G26" s="1" t="s">
        <v>12</v>
      </c>
      <c r="H26" s="1" t="s">
        <v>13</v>
      </c>
      <c r="I26" s="1" t="s">
        <v>14</v>
      </c>
      <c r="J26" s="14">
        <v>0.56883101851851847</v>
      </c>
      <c r="K26" s="15">
        <v>45514</v>
      </c>
      <c r="L26" s="15"/>
      <c r="M26" s="2">
        <v>0.1</v>
      </c>
      <c r="O26" s="2">
        <f t="shared" si="1"/>
        <v>3.5000000000000003E-2</v>
      </c>
      <c r="P26" s="2">
        <f t="shared" si="2"/>
        <v>40.299237611181702</v>
      </c>
      <c r="Q26" s="2">
        <f t="shared" si="3"/>
        <v>0.20174999999999962</v>
      </c>
      <c r="R26" s="2">
        <f t="shared" si="4"/>
        <v>0.20156734434561591</v>
      </c>
      <c r="S26" s="2">
        <f t="shared" si="5"/>
        <v>1.8265565438371767E-4</v>
      </c>
      <c r="Y26" s="1"/>
    </row>
    <row r="27" spans="2:32" x14ac:dyDescent="0.25">
      <c r="B27" s="1">
        <f t="shared" si="6"/>
        <v>21</v>
      </c>
      <c r="C27" s="1">
        <v>92</v>
      </c>
      <c r="D27" s="13">
        <v>40.200000000000003</v>
      </c>
      <c r="E27" s="1" t="s">
        <v>11</v>
      </c>
      <c r="F27" s="2">
        <v>0.17499999999999999</v>
      </c>
      <c r="G27" s="1" t="s">
        <v>12</v>
      </c>
      <c r="H27" s="1" t="s">
        <v>13</v>
      </c>
      <c r="I27" s="1" t="s">
        <v>14</v>
      </c>
      <c r="J27" s="14">
        <v>0.56883101851851847</v>
      </c>
      <c r="K27" s="15">
        <v>45514</v>
      </c>
      <c r="L27" s="15"/>
      <c r="M27" s="2">
        <v>0.105</v>
      </c>
      <c r="O27" s="2">
        <f t="shared" si="1"/>
        <v>3.9999999999999994E-2</v>
      </c>
      <c r="P27" s="2">
        <f t="shared" si="2"/>
        <v>40.327700127064801</v>
      </c>
      <c r="Q27" s="2">
        <f t="shared" si="3"/>
        <v>0.20050000000000018</v>
      </c>
      <c r="R27" s="2">
        <f t="shared" si="4"/>
        <v>0.20170965692503195</v>
      </c>
      <c r="S27" s="2">
        <f t="shared" si="5"/>
        <v>-1.2096569250317768E-3</v>
      </c>
      <c r="Y27" s="1"/>
    </row>
    <row r="28" spans="2:32" x14ac:dyDescent="0.25">
      <c r="B28" s="1">
        <f t="shared" si="6"/>
        <v>22</v>
      </c>
      <c r="C28" s="1">
        <v>93</v>
      </c>
      <c r="D28" s="13">
        <v>40</v>
      </c>
      <c r="E28" s="1" t="s">
        <v>11</v>
      </c>
      <c r="F28" s="2">
        <v>0.18</v>
      </c>
      <c r="G28" s="1" t="s">
        <v>12</v>
      </c>
      <c r="H28" s="1" t="s">
        <v>13</v>
      </c>
      <c r="I28" s="1" t="s">
        <v>14</v>
      </c>
      <c r="J28" s="14">
        <v>0.56883101851851847</v>
      </c>
      <c r="K28" s="15">
        <v>45514</v>
      </c>
      <c r="L28" s="15"/>
      <c r="M28" s="2">
        <v>0.11</v>
      </c>
      <c r="O28" s="2">
        <f t="shared" si="1"/>
        <v>4.4999999999999998E-2</v>
      </c>
      <c r="P28" s="2">
        <f t="shared" si="2"/>
        <v>40.356162642947908</v>
      </c>
      <c r="Q28" s="2">
        <f t="shared" si="3"/>
        <v>0.20025000000000015</v>
      </c>
      <c r="R28" s="2">
        <f t="shared" si="4"/>
        <v>0.20185196950444745</v>
      </c>
      <c r="S28" s="2">
        <f t="shared" si="5"/>
        <v>-1.6019695044472981E-3</v>
      </c>
      <c r="W28" s="1" t="s">
        <v>17</v>
      </c>
      <c r="X28" s="22">
        <v>0.94</v>
      </c>
      <c r="Y28" s="18">
        <f>_xlfn.XLOOKUP(X28,M$7:M$2001,D$7:D$2001,0,-1)</f>
        <v>43.7</v>
      </c>
      <c r="Z28" s="1" cm="1">
        <f t="array" aca="1" ref="Z28" ca="1">CELL("row",_xlfn.XLOOKUP(X28,M$7:M$2001,D$7:D$2001,0,-1))</f>
        <v>192</v>
      </c>
      <c r="AA28" s="1">
        <f t="shared" ref="AA28:AA29" ca="1" si="8">Z28-6</f>
        <v>186</v>
      </c>
      <c r="AB28" t="s">
        <v>57</v>
      </c>
      <c r="AC28" s="2">
        <f ca="1">SUM(INDEX(C7:S1000,AA28,17):(INDEX(C7:S1000,AA29,17)))</f>
        <v>2.4850285895806854</v>
      </c>
      <c r="AD28" s="1">
        <v>16</v>
      </c>
      <c r="AE28" t="s">
        <v>35</v>
      </c>
      <c r="AF28" t="s">
        <v>30</v>
      </c>
    </row>
    <row r="29" spans="2:32" x14ac:dyDescent="0.25">
      <c r="B29" s="1">
        <f t="shared" si="6"/>
        <v>23</v>
      </c>
      <c r="C29" s="1">
        <v>94</v>
      </c>
      <c r="D29" s="13">
        <v>40.1</v>
      </c>
      <c r="E29" s="1" t="s">
        <v>11</v>
      </c>
      <c r="F29" s="2">
        <v>0.185</v>
      </c>
      <c r="G29" s="1" t="s">
        <v>12</v>
      </c>
      <c r="H29" s="1" t="s">
        <v>13</v>
      </c>
      <c r="I29" s="1" t="s">
        <v>14</v>
      </c>
      <c r="J29" s="14">
        <v>0.56883101851851847</v>
      </c>
      <c r="K29" s="15">
        <v>45514</v>
      </c>
      <c r="L29" s="15"/>
      <c r="M29" s="2">
        <v>0.115</v>
      </c>
      <c r="O29" s="2">
        <f t="shared" si="1"/>
        <v>0.05</v>
      </c>
      <c r="P29" s="2">
        <f t="shared" si="2"/>
        <v>40.384625158831007</v>
      </c>
      <c r="Q29" s="2">
        <f t="shared" si="3"/>
        <v>0.20049999999999962</v>
      </c>
      <c r="R29" s="2">
        <f t="shared" si="4"/>
        <v>0.20199428208386241</v>
      </c>
      <c r="S29" s="2">
        <f t="shared" si="5"/>
        <v>-1.4942820838627913E-3</v>
      </c>
      <c r="W29" s="1" t="s">
        <v>18</v>
      </c>
      <c r="X29" s="2">
        <f>X40</f>
        <v>1.47</v>
      </c>
      <c r="Y29" s="21">
        <f>_xlfn.XLOOKUP(X29,M$7:M$2001,D$7:D$2001,0,-1)</f>
        <v>48.1</v>
      </c>
      <c r="Z29" s="1" cm="1">
        <f t="array" aca="1" ref="Z29" ca="1">CELL("row",_xlfn.XLOOKUP(X29,M$7:M$2001,D$7:D$2001,0,-1))</f>
        <v>273</v>
      </c>
      <c r="AA29" s="1">
        <f t="shared" ca="1" si="8"/>
        <v>267</v>
      </c>
      <c r="AB29" t="s">
        <v>58</v>
      </c>
      <c r="AC29" s="2">
        <f ca="1">MAX(INDEX(C7:S1000,AA28,2):(INDEX(C7:S1000,AA29,2)))</f>
        <v>53.9</v>
      </c>
      <c r="AD29" s="1">
        <v>2</v>
      </c>
      <c r="AE29" t="s">
        <v>43</v>
      </c>
      <c r="AF29" t="s">
        <v>34</v>
      </c>
    </row>
    <row r="30" spans="2:32" x14ac:dyDescent="0.25">
      <c r="B30" s="1">
        <f t="shared" si="6"/>
        <v>24</v>
      </c>
      <c r="C30" s="1">
        <v>95</v>
      </c>
      <c r="D30" s="13">
        <v>40.1</v>
      </c>
      <c r="E30" s="1" t="s">
        <v>11</v>
      </c>
      <c r="F30" s="2">
        <v>0.19</v>
      </c>
      <c r="G30" s="1" t="s">
        <v>12</v>
      </c>
      <c r="H30" s="1" t="s">
        <v>13</v>
      </c>
      <c r="I30" s="1" t="s">
        <v>14</v>
      </c>
      <c r="J30" s="14">
        <v>0.56883101851851847</v>
      </c>
      <c r="K30" s="15">
        <v>45514</v>
      </c>
      <c r="L30" s="15"/>
      <c r="M30" s="2">
        <v>0.12</v>
      </c>
      <c r="O30" s="2">
        <f t="shared" si="1"/>
        <v>5.4999999999999993E-2</v>
      </c>
      <c r="P30" s="2">
        <f t="shared" si="2"/>
        <v>40.413087674714106</v>
      </c>
      <c r="Q30" s="2">
        <f t="shared" si="3"/>
        <v>0.20100000000000021</v>
      </c>
      <c r="R30" s="2">
        <f t="shared" si="4"/>
        <v>0.20213659466327843</v>
      </c>
      <c r="S30" s="2">
        <f t="shared" si="5"/>
        <v>-1.1365946632782287E-3</v>
      </c>
      <c r="Y30" s="1"/>
      <c r="AB30" t="s">
        <v>59</v>
      </c>
      <c r="AC30" s="2">
        <f ca="1">AC29-_xlfn.XLOOKUP(AC29,D2:D1000,P2:P1000)</f>
        <v>7.7659466327827147</v>
      </c>
      <c r="AD30" s="1" t="s">
        <v>42</v>
      </c>
      <c r="AE30" t="s">
        <v>41</v>
      </c>
      <c r="AF30" t="s">
        <v>44</v>
      </c>
    </row>
    <row r="31" spans="2:32" x14ac:dyDescent="0.25">
      <c r="B31" s="1">
        <f t="shared" si="6"/>
        <v>25</v>
      </c>
      <c r="C31" s="1">
        <v>97</v>
      </c>
      <c r="D31" s="13">
        <v>40.299999999999997</v>
      </c>
      <c r="E31" s="1" t="s">
        <v>11</v>
      </c>
      <c r="F31" s="2">
        <v>0.19500000000000001</v>
      </c>
      <c r="G31" s="1" t="s">
        <v>12</v>
      </c>
      <c r="H31" s="1" t="s">
        <v>13</v>
      </c>
      <c r="I31" s="1" t="s">
        <v>14</v>
      </c>
      <c r="J31" s="14">
        <v>0.56884259259259262</v>
      </c>
      <c r="K31" s="15">
        <v>45514</v>
      </c>
      <c r="L31" s="15"/>
      <c r="M31" s="2">
        <v>0.125</v>
      </c>
      <c r="O31" s="2">
        <f t="shared" si="1"/>
        <v>0.06</v>
      </c>
      <c r="P31" s="2">
        <f t="shared" si="2"/>
        <v>40.441550190597205</v>
      </c>
      <c r="Q31" s="2">
        <f t="shared" si="3"/>
        <v>0.20125000000000018</v>
      </c>
      <c r="R31" s="2">
        <f t="shared" si="4"/>
        <v>0.20227890724269398</v>
      </c>
      <c r="S31" s="2">
        <f t="shared" si="5"/>
        <v>-1.0289072426938051E-3</v>
      </c>
      <c r="X31" s="2">
        <f ca="1">_xlfn.XLOOKUP(Y31,D$7:D$2001,M$7:M$2001,0,-1)</f>
        <v>1.125</v>
      </c>
      <c r="Y31" s="2">
        <f ca="1">AC29</f>
        <v>53.9</v>
      </c>
      <c r="Z31" s="1" cm="1">
        <f t="array" aca="1" ref="Z31" ca="1">CELL("row",_xlfn.XLOOKUP(Y31,D$7:D$2001,M$7:M$2001,0,-1))</f>
        <v>220</v>
      </c>
      <c r="AA31" s="1">
        <f t="shared" ref="AA31" ca="1" si="9">Z31-6</f>
        <v>214</v>
      </c>
      <c r="AB31" t="s">
        <v>70</v>
      </c>
      <c r="AC31" s="2">
        <f>X29-X28</f>
        <v>0.53</v>
      </c>
      <c r="AF31" t="s">
        <v>46</v>
      </c>
    </row>
    <row r="32" spans="2:32" x14ac:dyDescent="0.25">
      <c r="B32" s="1">
        <f t="shared" si="6"/>
        <v>26</v>
      </c>
      <c r="C32" s="1">
        <v>98</v>
      </c>
      <c r="D32" s="13">
        <v>40.200000000000003</v>
      </c>
      <c r="E32" s="1" t="s">
        <v>11</v>
      </c>
      <c r="F32" s="2">
        <v>0.2</v>
      </c>
      <c r="G32" s="1" t="s">
        <v>12</v>
      </c>
      <c r="H32" s="1" t="s">
        <v>13</v>
      </c>
      <c r="I32" s="1" t="s">
        <v>14</v>
      </c>
      <c r="J32" s="14">
        <v>0.56884259259259262</v>
      </c>
      <c r="K32" s="15">
        <v>45514</v>
      </c>
      <c r="L32" s="15"/>
      <c r="M32" s="2">
        <v>0.13</v>
      </c>
      <c r="O32" s="2">
        <f t="shared" si="1"/>
        <v>6.5000000000000002E-2</v>
      </c>
      <c r="P32" s="2">
        <f t="shared" si="2"/>
        <v>40.470012706480304</v>
      </c>
      <c r="Q32" s="2">
        <f t="shared" si="3"/>
        <v>0.20075000000000021</v>
      </c>
      <c r="R32" s="2">
        <f t="shared" si="4"/>
        <v>0.20242121982210948</v>
      </c>
      <c r="S32" s="2">
        <f t="shared" si="5"/>
        <v>-1.6712198221092711E-3</v>
      </c>
      <c r="Y32" s="1"/>
      <c r="AB32" s="23" t="s">
        <v>60</v>
      </c>
      <c r="AC32" s="24">
        <f>(AC31)/(AC24+AC31+AC43+AC53) * 100</f>
        <v>13.46886912325286</v>
      </c>
      <c r="AF32" t="s">
        <v>51</v>
      </c>
    </row>
    <row r="33" spans="2:32" x14ac:dyDescent="0.25">
      <c r="B33" s="1">
        <f t="shared" si="6"/>
        <v>27</v>
      </c>
      <c r="C33" s="1">
        <v>99</v>
      </c>
      <c r="D33" s="13">
        <v>40.1</v>
      </c>
      <c r="E33" s="1" t="s">
        <v>11</v>
      </c>
      <c r="F33" s="2">
        <v>0.20499999999999999</v>
      </c>
      <c r="G33" s="1" t="s">
        <v>12</v>
      </c>
      <c r="H33" s="1" t="s">
        <v>13</v>
      </c>
      <c r="I33" s="1" t="s">
        <v>14</v>
      </c>
      <c r="J33" s="14">
        <v>0.56884259259259262</v>
      </c>
      <c r="K33" s="15">
        <v>45514</v>
      </c>
      <c r="L33" s="15"/>
      <c r="M33" s="2">
        <v>0.13500000000000001</v>
      </c>
      <c r="O33" s="2">
        <f t="shared" si="1"/>
        <v>7.0000000000000007E-2</v>
      </c>
      <c r="P33" s="2">
        <f t="shared" si="2"/>
        <v>40.49847522236341</v>
      </c>
      <c r="Q33" s="2">
        <f t="shared" si="3"/>
        <v>0.20025000000000015</v>
      </c>
      <c r="R33" s="2">
        <f t="shared" si="4"/>
        <v>0.20256353240152497</v>
      </c>
      <c r="S33" s="2">
        <f t="shared" si="5"/>
        <v>-2.3135324015248204E-3</v>
      </c>
      <c r="Y33" s="1"/>
      <c r="AB33" t="s">
        <v>72</v>
      </c>
      <c r="AC33" s="2">
        <f ca="1">X31-X28</f>
        <v>0.18500000000000005</v>
      </c>
    </row>
    <row r="34" spans="2:32" x14ac:dyDescent="0.25">
      <c r="B34" s="1">
        <f t="shared" si="6"/>
        <v>28</v>
      </c>
      <c r="C34" s="1">
        <v>100</v>
      </c>
      <c r="D34" s="13">
        <v>40</v>
      </c>
      <c r="E34" s="1" t="s">
        <v>11</v>
      </c>
      <c r="F34" s="2">
        <v>0.21</v>
      </c>
      <c r="G34" s="1" t="s">
        <v>12</v>
      </c>
      <c r="H34" s="1" t="s">
        <v>13</v>
      </c>
      <c r="I34" s="1" t="s">
        <v>14</v>
      </c>
      <c r="J34" s="14">
        <v>0.56884259259259262</v>
      </c>
      <c r="K34" s="15">
        <v>45514</v>
      </c>
      <c r="L34" s="15"/>
      <c r="M34" s="2">
        <v>0.14000000000000001</v>
      </c>
      <c r="O34" s="2">
        <f t="shared" si="1"/>
        <v>7.5000000000000011E-2</v>
      </c>
      <c r="P34" s="2">
        <f t="shared" si="2"/>
        <v>40.526937738246509</v>
      </c>
      <c r="Q34" s="2">
        <f t="shared" si="3"/>
        <v>0.19974999999999909</v>
      </c>
      <c r="R34" s="2">
        <f t="shared" si="4"/>
        <v>0.20270584498093938</v>
      </c>
      <c r="S34" s="2">
        <f t="shared" si="5"/>
        <v>-2.9558449809402865E-3</v>
      </c>
      <c r="Y34" s="1"/>
      <c r="AB34" t="s">
        <v>73</v>
      </c>
      <c r="AC34" s="2">
        <f ca="1">SUM(INDEX(C7:S1000,AA28,17):(INDEX(C7:S1000,AA31,17)))</f>
        <v>0.93446188055908419</v>
      </c>
    </row>
    <row r="35" spans="2:32" x14ac:dyDescent="0.25">
      <c r="B35" s="1">
        <f t="shared" si="6"/>
        <v>29</v>
      </c>
      <c r="C35" s="1">
        <v>102</v>
      </c>
      <c r="D35" s="13">
        <v>39.9</v>
      </c>
      <c r="E35" s="1" t="s">
        <v>11</v>
      </c>
      <c r="F35" s="2">
        <v>0.215</v>
      </c>
      <c r="G35" s="1" t="s">
        <v>12</v>
      </c>
      <c r="H35" s="1" t="s">
        <v>13</v>
      </c>
      <c r="I35" s="1" t="s">
        <v>14</v>
      </c>
      <c r="J35" s="14">
        <v>0.56884259259259262</v>
      </c>
      <c r="K35" s="15">
        <v>45514</v>
      </c>
      <c r="L35" s="15"/>
      <c r="M35" s="2">
        <v>0.14499999999999999</v>
      </c>
      <c r="O35" s="2">
        <f t="shared" si="1"/>
        <v>7.9999999999999988E-2</v>
      </c>
      <c r="P35" s="2">
        <f t="shared" si="2"/>
        <v>40.555400254129609</v>
      </c>
      <c r="Q35" s="2">
        <f t="shared" si="3"/>
        <v>0.19975000000000021</v>
      </c>
      <c r="R35" s="2">
        <f t="shared" si="4"/>
        <v>0.20284815756035596</v>
      </c>
      <c r="S35" s="2">
        <f t="shared" si="5"/>
        <v>-3.0981575603557521E-3</v>
      </c>
      <c r="Y35" s="1"/>
      <c r="AB35" s="23" t="s">
        <v>74</v>
      </c>
      <c r="AC35" s="24">
        <f ca="1">(AC34/AC28)*100</f>
        <v>37.603667196310283</v>
      </c>
    </row>
    <row r="36" spans="2:32" x14ac:dyDescent="0.25">
      <c r="B36" s="1">
        <f t="shared" si="6"/>
        <v>30</v>
      </c>
      <c r="C36" s="1">
        <v>103</v>
      </c>
      <c r="D36" s="13">
        <v>40</v>
      </c>
      <c r="E36" s="1" t="s">
        <v>11</v>
      </c>
      <c r="F36" s="2">
        <v>0.22</v>
      </c>
      <c r="G36" s="1" t="s">
        <v>12</v>
      </c>
      <c r="H36" s="1" t="s">
        <v>13</v>
      </c>
      <c r="I36" s="1" t="s">
        <v>14</v>
      </c>
      <c r="J36" s="14">
        <v>0.56884259259259262</v>
      </c>
      <c r="K36" s="15">
        <v>45514</v>
      </c>
      <c r="L36" s="15"/>
      <c r="M36" s="2">
        <v>0.15</v>
      </c>
      <c r="O36" s="2">
        <f t="shared" si="1"/>
        <v>8.4999999999999992E-2</v>
      </c>
      <c r="P36" s="2">
        <f t="shared" si="2"/>
        <v>40.583862770012708</v>
      </c>
      <c r="Q36" s="2">
        <f t="shared" si="3"/>
        <v>0.19975000000000021</v>
      </c>
      <c r="R36" s="2">
        <f t="shared" si="4"/>
        <v>0.20299047013977148</v>
      </c>
      <c r="S36" s="2">
        <f t="shared" si="5"/>
        <v>-3.2404701397712732E-3</v>
      </c>
      <c r="Y36" s="1"/>
      <c r="AB36" t="s">
        <v>75</v>
      </c>
      <c r="AC36" s="2">
        <f ca="1">X29-X31</f>
        <v>0.34499999999999997</v>
      </c>
    </row>
    <row r="37" spans="2:32" x14ac:dyDescent="0.25">
      <c r="B37" s="1">
        <f t="shared" si="6"/>
        <v>31</v>
      </c>
      <c r="C37" s="1">
        <v>105</v>
      </c>
      <c r="D37" s="13">
        <v>39.9</v>
      </c>
      <c r="E37" s="1" t="s">
        <v>11</v>
      </c>
      <c r="F37" s="2">
        <v>0.22500000000000001</v>
      </c>
      <c r="G37" s="1" t="s">
        <v>12</v>
      </c>
      <c r="H37" s="1" t="s">
        <v>13</v>
      </c>
      <c r="I37" s="1" t="s">
        <v>14</v>
      </c>
      <c r="J37" s="14">
        <v>0.56884259259259262</v>
      </c>
      <c r="K37" s="15">
        <v>45514</v>
      </c>
      <c r="L37" s="15"/>
      <c r="M37" s="2">
        <v>0.155</v>
      </c>
      <c r="O37" s="2">
        <f t="shared" si="1"/>
        <v>0.09</v>
      </c>
      <c r="P37" s="2">
        <f t="shared" si="2"/>
        <v>40.612325285895807</v>
      </c>
      <c r="Q37" s="2">
        <f t="shared" si="3"/>
        <v>0.20000000000000018</v>
      </c>
      <c r="R37" s="2">
        <f t="shared" si="4"/>
        <v>0.20313278271918694</v>
      </c>
      <c r="S37" s="2">
        <f t="shared" si="5"/>
        <v>-3.1327827191867663E-3</v>
      </c>
      <c r="Y37" s="1"/>
      <c r="AB37" t="s">
        <v>76</v>
      </c>
      <c r="AC37" s="2">
        <f ca="1">AC28-AC34</f>
        <v>1.5505667090216013</v>
      </c>
    </row>
    <row r="38" spans="2:32" x14ac:dyDescent="0.25">
      <c r="B38" s="1">
        <f t="shared" si="6"/>
        <v>32</v>
      </c>
      <c r="C38" s="1">
        <v>107</v>
      </c>
      <c r="D38" s="13">
        <v>40.1</v>
      </c>
      <c r="E38" s="1" t="s">
        <v>11</v>
      </c>
      <c r="F38" s="2">
        <v>0.23</v>
      </c>
      <c r="G38" s="1" t="s">
        <v>12</v>
      </c>
      <c r="H38" s="1" t="s">
        <v>13</v>
      </c>
      <c r="I38" s="1" t="s">
        <v>14</v>
      </c>
      <c r="J38" s="14">
        <v>0.56885416666666666</v>
      </c>
      <c r="K38" s="15">
        <v>45514</v>
      </c>
      <c r="L38" s="15"/>
      <c r="M38" s="2">
        <v>0.16</v>
      </c>
      <c r="O38" s="2">
        <f t="shared" si="1"/>
        <v>9.5000000000000001E-2</v>
      </c>
      <c r="P38" s="2">
        <f t="shared" si="2"/>
        <v>40.640787801778906</v>
      </c>
      <c r="Q38" s="2">
        <f t="shared" si="3"/>
        <v>0.20050000000000018</v>
      </c>
      <c r="R38" s="2">
        <f t="shared" si="4"/>
        <v>0.20327509529860247</v>
      </c>
      <c r="S38" s="2">
        <f t="shared" si="5"/>
        <v>-2.775095298602287E-3</v>
      </c>
      <c r="Y38" s="1"/>
      <c r="AB38" t="s">
        <v>77</v>
      </c>
      <c r="AC38" s="2">
        <f ca="1">100-AC35</f>
        <v>62.396332803689717</v>
      </c>
    </row>
    <row r="39" spans="2:32" x14ac:dyDescent="0.25">
      <c r="B39" s="1">
        <f t="shared" si="6"/>
        <v>33</v>
      </c>
      <c r="C39" s="1">
        <v>109</v>
      </c>
      <c r="D39" s="13">
        <v>40.1</v>
      </c>
      <c r="E39" s="1" t="s">
        <v>11</v>
      </c>
      <c r="F39" s="2">
        <v>0.23499999999999999</v>
      </c>
      <c r="G39" s="1" t="s">
        <v>12</v>
      </c>
      <c r="H39" s="1" t="s">
        <v>13</v>
      </c>
      <c r="I39" s="1" t="s">
        <v>14</v>
      </c>
      <c r="J39" s="14">
        <v>0.56885416666666666</v>
      </c>
      <c r="K39" s="15">
        <v>45514</v>
      </c>
      <c r="L39" s="15"/>
      <c r="M39" s="2">
        <v>0.16500000000000001</v>
      </c>
      <c r="O39" s="2">
        <f t="shared" si="1"/>
        <v>0.1</v>
      </c>
      <c r="P39" s="2">
        <f t="shared" si="2"/>
        <v>40.669250317662012</v>
      </c>
      <c r="Q39" s="2">
        <f t="shared" si="3"/>
        <v>0.20075000000000021</v>
      </c>
      <c r="R39" s="2">
        <f t="shared" si="4"/>
        <v>0.20341740787801801</v>
      </c>
      <c r="S39" s="2">
        <f t="shared" si="5"/>
        <v>-2.6674078780178079E-3</v>
      </c>
      <c r="Y39" s="1"/>
    </row>
    <row r="40" spans="2:32" x14ac:dyDescent="0.25">
      <c r="B40" s="1">
        <f t="shared" si="6"/>
        <v>34</v>
      </c>
      <c r="C40" s="1">
        <v>110</v>
      </c>
      <c r="D40" s="13">
        <v>40.200000000000003</v>
      </c>
      <c r="E40" s="1" t="s">
        <v>11</v>
      </c>
      <c r="F40" s="2">
        <v>0.24</v>
      </c>
      <c r="G40" s="1" t="s">
        <v>12</v>
      </c>
      <c r="H40" s="1" t="s">
        <v>13</v>
      </c>
      <c r="I40" s="1" t="s">
        <v>14</v>
      </c>
      <c r="J40" s="14">
        <v>0.56885416666666666</v>
      </c>
      <c r="K40" s="15">
        <v>45514</v>
      </c>
      <c r="L40" s="15"/>
      <c r="M40" s="2">
        <v>0.17</v>
      </c>
      <c r="O40" s="2">
        <f t="shared" si="1"/>
        <v>0.10500000000000001</v>
      </c>
      <c r="P40" s="2">
        <f t="shared" si="2"/>
        <v>40.697712833545111</v>
      </c>
      <c r="Q40" s="2">
        <f t="shared" si="3"/>
        <v>0.2007499999999991</v>
      </c>
      <c r="R40" s="2">
        <f t="shared" si="4"/>
        <v>0.20355972045743234</v>
      </c>
      <c r="S40" s="2">
        <f t="shared" si="5"/>
        <v>-2.8097204574332457E-3</v>
      </c>
      <c r="W40" s="1" t="s">
        <v>19</v>
      </c>
      <c r="X40" s="22">
        <v>1.47</v>
      </c>
      <c r="Y40" s="21">
        <f>_xlfn.XLOOKUP(X40,M$7:M$2001,D$7:D$2001,0,-1)</f>
        <v>48.1</v>
      </c>
      <c r="Z40" s="1" cm="1">
        <f t="array" aca="1" ref="Z40" ca="1">CELL("row",_xlfn.XLOOKUP(X40,M$7:M$2001,D$7:D$2001,0,-1))</f>
        <v>273</v>
      </c>
      <c r="AA40" s="1">
        <f t="shared" ref="AA40:AA41" ca="1" si="10">Z40-6</f>
        <v>267</v>
      </c>
      <c r="AB40" t="s">
        <v>61</v>
      </c>
      <c r="AC40" s="2">
        <f ca="1">SUM(INDEX(C7:S1000,AA40,17):(INDEX(C7:S1000,AA41,17)))</f>
        <v>-3.9562830368487942</v>
      </c>
      <c r="AD40" s="1">
        <v>16</v>
      </c>
      <c r="AE40" t="s">
        <v>35</v>
      </c>
      <c r="AF40" t="s">
        <v>31</v>
      </c>
    </row>
    <row r="41" spans="2:32" x14ac:dyDescent="0.25">
      <c r="B41" s="1">
        <f t="shared" si="6"/>
        <v>35</v>
      </c>
      <c r="C41" s="1">
        <v>111</v>
      </c>
      <c r="D41" s="13">
        <v>40.1</v>
      </c>
      <c r="E41" s="1" t="s">
        <v>11</v>
      </c>
      <c r="F41" s="2">
        <v>0.245</v>
      </c>
      <c r="G41" s="1" t="s">
        <v>12</v>
      </c>
      <c r="H41" s="1" t="s">
        <v>13</v>
      </c>
      <c r="I41" s="1" t="s">
        <v>14</v>
      </c>
      <c r="J41" s="14">
        <v>0.56885416666666666</v>
      </c>
      <c r="K41" s="15">
        <v>45514</v>
      </c>
      <c r="L41" s="15"/>
      <c r="M41" s="2">
        <v>0.17499999999999999</v>
      </c>
      <c r="O41" s="2">
        <f t="shared" si="1"/>
        <v>0.10999999999999999</v>
      </c>
      <c r="P41" s="2">
        <f t="shared" si="2"/>
        <v>40.72617534942821</v>
      </c>
      <c r="Q41" s="2">
        <f t="shared" si="3"/>
        <v>0.20025000000000015</v>
      </c>
      <c r="R41" s="2">
        <f t="shared" si="4"/>
        <v>0.203702033036849</v>
      </c>
      <c r="S41" s="2">
        <f t="shared" si="5"/>
        <v>-3.4520330368488505E-3</v>
      </c>
      <c r="W41" s="1" t="s">
        <v>20</v>
      </c>
      <c r="X41" s="2">
        <f>X52</f>
        <v>2.1850000000000001</v>
      </c>
      <c r="Y41" s="19">
        <f>_xlfn.XLOOKUP(X41,M$7:M$2001,D$7:D$2001,0,-1)</f>
        <v>50.2</v>
      </c>
      <c r="Z41" s="1" cm="1">
        <f t="array" aca="1" ref="Z41" ca="1">CELL("row",_xlfn.XLOOKUP(X41,M$7:M$2001,D$7:D$2001,0,-1))</f>
        <v>387</v>
      </c>
      <c r="AA41" s="1">
        <f t="shared" ca="1" si="10"/>
        <v>381</v>
      </c>
      <c r="AB41" t="s">
        <v>62</v>
      </c>
      <c r="AC41" s="2">
        <f ca="1">MIN(INDEX(C7:S1000,AA40,2):(INDEX(C7:S1000,AA41,2)))</f>
        <v>42.3</v>
      </c>
      <c r="AD41" s="1">
        <v>1</v>
      </c>
      <c r="AE41" t="s">
        <v>36</v>
      </c>
      <c r="AF41" t="s">
        <v>37</v>
      </c>
    </row>
    <row r="42" spans="2:32" x14ac:dyDescent="0.25">
      <c r="B42" s="1">
        <f t="shared" si="6"/>
        <v>36</v>
      </c>
      <c r="C42" s="1">
        <v>112</v>
      </c>
      <c r="D42" s="13">
        <v>40</v>
      </c>
      <c r="E42" s="1" t="s">
        <v>11</v>
      </c>
      <c r="F42" s="2">
        <v>0.25</v>
      </c>
      <c r="G42" s="1" t="s">
        <v>12</v>
      </c>
      <c r="H42" s="1" t="s">
        <v>13</v>
      </c>
      <c r="I42" s="1" t="s">
        <v>14</v>
      </c>
      <c r="J42" s="14">
        <v>0.56885416666666666</v>
      </c>
      <c r="K42" s="15">
        <v>45514</v>
      </c>
      <c r="L42" s="15"/>
      <c r="M42" s="2">
        <v>0.18</v>
      </c>
      <c r="O42" s="2">
        <f t="shared" si="1"/>
        <v>0.11499999999999999</v>
      </c>
      <c r="P42" s="2">
        <f t="shared" si="2"/>
        <v>40.754637865311309</v>
      </c>
      <c r="Q42" s="2">
        <f t="shared" si="3"/>
        <v>0.19975000000000021</v>
      </c>
      <c r="R42" s="2">
        <f t="shared" si="4"/>
        <v>0.20384434561626447</v>
      </c>
      <c r="S42" s="2">
        <f t="shared" si="5"/>
        <v>-4.0943456162642611E-3</v>
      </c>
      <c r="Y42" s="1"/>
      <c r="AB42" t="s">
        <v>63</v>
      </c>
      <c r="AC42" s="2">
        <f ca="1">_xlfn.XLOOKUP(AC41,D2:D1000,P2:P1000)-AC41</f>
        <v>1.8132147395171572</v>
      </c>
      <c r="AF42" t="s">
        <v>45</v>
      </c>
    </row>
    <row r="43" spans="2:32" x14ac:dyDescent="0.25">
      <c r="B43" s="1">
        <f t="shared" si="6"/>
        <v>37</v>
      </c>
      <c r="C43" s="1">
        <v>114</v>
      </c>
      <c r="D43" s="13">
        <v>39.9</v>
      </c>
      <c r="E43" s="1" t="s">
        <v>11</v>
      </c>
      <c r="F43" s="2">
        <v>0.255</v>
      </c>
      <c r="G43" s="1" t="s">
        <v>12</v>
      </c>
      <c r="H43" s="1" t="s">
        <v>13</v>
      </c>
      <c r="I43" s="1" t="s">
        <v>14</v>
      </c>
      <c r="J43" s="14">
        <v>0.56885416666666666</v>
      </c>
      <c r="K43" s="15">
        <v>45514</v>
      </c>
      <c r="L43" s="15"/>
      <c r="M43" s="2">
        <v>0.185</v>
      </c>
      <c r="O43" s="2">
        <f t="shared" si="1"/>
        <v>0.12</v>
      </c>
      <c r="P43" s="2">
        <f t="shared" si="2"/>
        <v>40.783100381194409</v>
      </c>
      <c r="Q43" s="2">
        <f t="shared" si="3"/>
        <v>0.19950000000000018</v>
      </c>
      <c r="R43" s="2">
        <f t="shared" si="4"/>
        <v>0.20398665819567999</v>
      </c>
      <c r="S43" s="2">
        <f t="shared" si="5"/>
        <v>-4.4866581956798102E-3</v>
      </c>
      <c r="X43" s="2">
        <f ca="1">_xlfn.XLOOKUP(Y43,D$7:D$2001,M$7:M$2001,0,-1)</f>
        <v>0.77</v>
      </c>
      <c r="Y43" s="2">
        <f ca="1">AC41</f>
        <v>42.3</v>
      </c>
      <c r="Z43" s="1" cm="1">
        <f t="array" aca="1" ref="Z43" ca="1">CELL("row",_xlfn.XLOOKUP(Y43,D$7:D$2001,M$7:M$2001,0,-1))</f>
        <v>158</v>
      </c>
      <c r="AA43" s="1">
        <f t="shared" ref="AA43" ca="1" si="11">Z43-6</f>
        <v>152</v>
      </c>
      <c r="AB43" t="s">
        <v>69</v>
      </c>
      <c r="AC43" s="2">
        <f>X41-X40</f>
        <v>0.71500000000000008</v>
      </c>
      <c r="AF43" t="s">
        <v>47</v>
      </c>
    </row>
    <row r="44" spans="2:32" x14ac:dyDescent="0.25">
      <c r="B44" s="1">
        <f t="shared" si="6"/>
        <v>38</v>
      </c>
      <c r="C44" s="1">
        <v>115</v>
      </c>
      <c r="D44" s="13">
        <v>39.9</v>
      </c>
      <c r="E44" s="1" t="s">
        <v>11</v>
      </c>
      <c r="F44" s="2">
        <v>0.26</v>
      </c>
      <c r="G44" s="1" t="s">
        <v>12</v>
      </c>
      <c r="H44" s="1" t="s">
        <v>13</v>
      </c>
      <c r="I44" s="1" t="s">
        <v>14</v>
      </c>
      <c r="J44" s="14">
        <v>0.56885416666666666</v>
      </c>
      <c r="K44" s="15">
        <v>45514</v>
      </c>
      <c r="L44" s="15"/>
      <c r="M44" s="2">
        <v>0.19</v>
      </c>
      <c r="O44" s="2">
        <f t="shared" si="1"/>
        <v>0.125</v>
      </c>
      <c r="P44" s="2">
        <f t="shared" si="2"/>
        <v>40.811562897077508</v>
      </c>
      <c r="Q44" s="2">
        <f t="shared" si="3"/>
        <v>0.19925000000000015</v>
      </c>
      <c r="R44" s="2">
        <f t="shared" si="4"/>
        <v>0.20412897077509548</v>
      </c>
      <c r="S44" s="2">
        <f t="shared" si="5"/>
        <v>-4.8789707750953315E-3</v>
      </c>
      <c r="Y44" s="1"/>
      <c r="AB44" s="23" t="s">
        <v>64</v>
      </c>
      <c r="AC44" s="24">
        <f>(AC43)/(AC24+AC31+AC43+AC53) * 100</f>
        <v>18.170266836086405</v>
      </c>
      <c r="AF44" t="s">
        <v>52</v>
      </c>
    </row>
    <row r="45" spans="2:32" x14ac:dyDescent="0.25">
      <c r="B45" s="1">
        <f t="shared" si="6"/>
        <v>39</v>
      </c>
      <c r="C45" s="1">
        <v>116</v>
      </c>
      <c r="D45" s="13">
        <v>39.799999999999997</v>
      </c>
      <c r="E45" s="1" t="s">
        <v>11</v>
      </c>
      <c r="F45" s="2">
        <v>0.26500000000000001</v>
      </c>
      <c r="G45" s="1" t="s">
        <v>12</v>
      </c>
      <c r="H45" s="1" t="s">
        <v>13</v>
      </c>
      <c r="I45" s="1" t="s">
        <v>14</v>
      </c>
      <c r="J45" s="14">
        <v>0.5688657407407407</v>
      </c>
      <c r="K45" s="15">
        <v>45514</v>
      </c>
      <c r="L45" s="15"/>
      <c r="M45" s="2">
        <v>0.19500000000000001</v>
      </c>
      <c r="O45" s="2">
        <f t="shared" si="1"/>
        <v>0.13</v>
      </c>
      <c r="P45" s="2">
        <f t="shared" si="2"/>
        <v>40.840025412960614</v>
      </c>
      <c r="Q45" s="2">
        <f t="shared" si="3"/>
        <v>0.19875000000000018</v>
      </c>
      <c r="R45" s="2">
        <f t="shared" si="4"/>
        <v>0.20427128335451097</v>
      </c>
      <c r="S45" s="2">
        <f t="shared" si="5"/>
        <v>-5.5212833545107975E-3</v>
      </c>
      <c r="Y45" s="1"/>
      <c r="AB45" t="s">
        <v>78</v>
      </c>
      <c r="AC45" s="2">
        <f ca="1">X43-X40</f>
        <v>-0.7</v>
      </c>
    </row>
    <row r="46" spans="2:32" x14ac:dyDescent="0.25">
      <c r="B46" s="1">
        <f t="shared" si="6"/>
        <v>40</v>
      </c>
      <c r="C46" s="1">
        <v>117</v>
      </c>
      <c r="D46" s="13">
        <v>39.700000000000003</v>
      </c>
      <c r="E46" s="1" t="s">
        <v>11</v>
      </c>
      <c r="F46" s="2">
        <v>0.27</v>
      </c>
      <c r="G46" s="1" t="s">
        <v>12</v>
      </c>
      <c r="H46" s="1" t="s">
        <v>13</v>
      </c>
      <c r="I46" s="1" t="s">
        <v>14</v>
      </c>
      <c r="J46" s="14">
        <v>0.5688657407407407</v>
      </c>
      <c r="K46" s="15">
        <v>45514</v>
      </c>
      <c r="L46" s="15"/>
      <c r="M46" s="2">
        <v>0.2</v>
      </c>
      <c r="O46" s="2">
        <f t="shared" si="1"/>
        <v>0.13500000000000001</v>
      </c>
      <c r="P46" s="2">
        <f t="shared" si="2"/>
        <v>40.868487928843713</v>
      </c>
      <c r="Q46" s="2">
        <f t="shared" si="3"/>
        <v>0.19849999999999909</v>
      </c>
      <c r="R46" s="2">
        <f t="shared" si="4"/>
        <v>0.20441359593392538</v>
      </c>
      <c r="S46" s="2">
        <f t="shared" si="5"/>
        <v>-5.9135959339262911E-3</v>
      </c>
      <c r="Y46" s="1"/>
      <c r="AB46" t="s">
        <v>79</v>
      </c>
      <c r="AC46" s="2">
        <f ca="1">SUM(INDEX(C7:S1000,AA40,17):(INDEX(C7:S1000,AA43,17)))</f>
        <v>2.1695254129606081</v>
      </c>
    </row>
    <row r="47" spans="2:32" x14ac:dyDescent="0.25">
      <c r="B47" s="1">
        <f t="shared" si="6"/>
        <v>41</v>
      </c>
      <c r="C47" s="1">
        <v>119</v>
      </c>
      <c r="D47" s="13">
        <v>39.700000000000003</v>
      </c>
      <c r="E47" s="1" t="s">
        <v>11</v>
      </c>
      <c r="F47" s="2">
        <v>0.27500000000000002</v>
      </c>
      <c r="G47" s="1" t="s">
        <v>12</v>
      </c>
      <c r="H47" s="1" t="s">
        <v>13</v>
      </c>
      <c r="I47" s="1" t="s">
        <v>14</v>
      </c>
      <c r="J47" s="14">
        <v>0.5688657407407407</v>
      </c>
      <c r="K47" s="15">
        <v>45514</v>
      </c>
      <c r="L47" s="15"/>
      <c r="M47" s="2">
        <v>0.20499999999999999</v>
      </c>
      <c r="O47" s="2">
        <f t="shared" si="1"/>
        <v>0.13999999999999999</v>
      </c>
      <c r="P47" s="2">
        <f t="shared" si="2"/>
        <v>40.896950444726812</v>
      </c>
      <c r="Q47" s="2">
        <f t="shared" si="3"/>
        <v>0.1985000000000002</v>
      </c>
      <c r="R47" s="2">
        <f t="shared" si="4"/>
        <v>0.20455590851334196</v>
      </c>
      <c r="S47" s="2">
        <f t="shared" si="5"/>
        <v>-6.0559085133417567E-3</v>
      </c>
      <c r="Y47" s="1"/>
      <c r="AB47" s="23" t="s">
        <v>80</v>
      </c>
      <c r="AC47" s="24">
        <f ca="1">(AC46/AC40)*100</f>
        <v>-54.83746720731714</v>
      </c>
    </row>
    <row r="48" spans="2:32" x14ac:dyDescent="0.25">
      <c r="B48" s="1">
        <f t="shared" si="6"/>
        <v>42</v>
      </c>
      <c r="C48" s="1">
        <v>121</v>
      </c>
      <c r="D48" s="13">
        <v>39.700000000000003</v>
      </c>
      <c r="E48" s="1" t="s">
        <v>11</v>
      </c>
      <c r="F48" s="2">
        <v>0.28000000000000003</v>
      </c>
      <c r="G48" s="1" t="s">
        <v>12</v>
      </c>
      <c r="H48" s="1" t="s">
        <v>13</v>
      </c>
      <c r="I48" s="1" t="s">
        <v>14</v>
      </c>
      <c r="J48" s="14">
        <v>0.5688657407407407</v>
      </c>
      <c r="K48" s="15">
        <v>45514</v>
      </c>
      <c r="L48" s="15"/>
      <c r="M48" s="2">
        <v>0.21</v>
      </c>
      <c r="O48" s="2">
        <f t="shared" si="1"/>
        <v>0.14499999999999999</v>
      </c>
      <c r="P48" s="2">
        <f t="shared" si="2"/>
        <v>40.925412960609911</v>
      </c>
      <c r="Q48" s="2">
        <f t="shared" si="3"/>
        <v>0.1982500000000002</v>
      </c>
      <c r="R48" s="2">
        <f t="shared" si="4"/>
        <v>0.20469822109275751</v>
      </c>
      <c r="S48" s="2">
        <f t="shared" si="5"/>
        <v>-6.4482210927573058E-3</v>
      </c>
      <c r="Y48" s="1"/>
      <c r="AB48" t="s">
        <v>81</v>
      </c>
      <c r="AC48" s="2">
        <f ca="1">X41-X43</f>
        <v>1.415</v>
      </c>
    </row>
    <row r="49" spans="2:32" x14ac:dyDescent="0.25">
      <c r="B49" s="1">
        <f t="shared" si="6"/>
        <v>43</v>
      </c>
      <c r="C49" s="1">
        <v>122</v>
      </c>
      <c r="D49" s="13">
        <v>39.6</v>
      </c>
      <c r="E49" s="1" t="s">
        <v>11</v>
      </c>
      <c r="F49" s="2">
        <v>0.28499999999999998</v>
      </c>
      <c r="G49" s="1" t="s">
        <v>12</v>
      </c>
      <c r="H49" s="1" t="s">
        <v>13</v>
      </c>
      <c r="I49" s="1" t="s">
        <v>14</v>
      </c>
      <c r="J49" s="14">
        <v>0.5688657407407407</v>
      </c>
      <c r="K49" s="15">
        <v>45514</v>
      </c>
      <c r="L49" s="15"/>
      <c r="M49" s="2">
        <v>0.215</v>
      </c>
      <c r="O49" s="2">
        <f t="shared" si="1"/>
        <v>0.15</v>
      </c>
      <c r="P49" s="2">
        <f t="shared" si="2"/>
        <v>40.95387547649301</v>
      </c>
      <c r="Q49" s="2">
        <f t="shared" si="3"/>
        <v>0.19800000000000018</v>
      </c>
      <c r="R49" s="2">
        <f t="shared" si="4"/>
        <v>0.204840533672173</v>
      </c>
      <c r="S49" s="2">
        <f t="shared" si="5"/>
        <v>-6.8405336721728272E-3</v>
      </c>
      <c r="Y49" s="1"/>
      <c r="AB49" t="s">
        <v>82</v>
      </c>
      <c r="AC49" s="2">
        <f ca="1">AC40-AC46</f>
        <v>-6.1258084498094023</v>
      </c>
    </row>
    <row r="50" spans="2:32" x14ac:dyDescent="0.25">
      <c r="B50" s="1">
        <f t="shared" si="6"/>
        <v>44</v>
      </c>
      <c r="C50" s="1">
        <v>124</v>
      </c>
      <c r="D50" s="13">
        <v>39.6</v>
      </c>
      <c r="E50" s="1" t="s">
        <v>11</v>
      </c>
      <c r="F50" s="2">
        <v>0.28999999999999998</v>
      </c>
      <c r="G50" s="1" t="s">
        <v>12</v>
      </c>
      <c r="H50" s="1" t="s">
        <v>13</v>
      </c>
      <c r="I50" s="1" t="s">
        <v>14</v>
      </c>
      <c r="J50" s="14">
        <v>0.5688657407407407</v>
      </c>
      <c r="K50" s="15">
        <v>45514</v>
      </c>
      <c r="L50" s="15"/>
      <c r="M50" s="2">
        <v>0.22</v>
      </c>
      <c r="O50" s="2">
        <f t="shared" si="1"/>
        <v>0.155</v>
      </c>
      <c r="P50" s="2">
        <f t="shared" si="2"/>
        <v>40.982337992376117</v>
      </c>
      <c r="Q50" s="2">
        <f t="shared" si="3"/>
        <v>0.19800000000000018</v>
      </c>
      <c r="R50" s="2">
        <f t="shared" si="4"/>
        <v>0.2049828462515885</v>
      </c>
      <c r="S50" s="2">
        <f t="shared" si="5"/>
        <v>-6.9828462515883205E-3</v>
      </c>
      <c r="Y50" s="1"/>
      <c r="AB50" t="s">
        <v>83</v>
      </c>
      <c r="AC50" s="2">
        <f ca="1">100-AC47</f>
        <v>154.83746720731713</v>
      </c>
    </row>
    <row r="51" spans="2:32" x14ac:dyDescent="0.25">
      <c r="B51" s="1">
        <f t="shared" si="6"/>
        <v>45</v>
      </c>
      <c r="C51" s="1">
        <v>125</v>
      </c>
      <c r="D51" s="13">
        <v>39.6</v>
      </c>
      <c r="E51" s="1" t="s">
        <v>11</v>
      </c>
      <c r="F51" s="2">
        <v>0.29499999999999998</v>
      </c>
      <c r="G51" s="1" t="s">
        <v>12</v>
      </c>
      <c r="H51" s="1" t="s">
        <v>13</v>
      </c>
      <c r="I51" s="1" t="s">
        <v>14</v>
      </c>
      <c r="J51" s="14">
        <v>0.5688657407407407</v>
      </c>
      <c r="K51" s="15">
        <v>45514</v>
      </c>
      <c r="L51" s="15"/>
      <c r="M51" s="2">
        <v>0.22500000000000001</v>
      </c>
      <c r="O51" s="2">
        <f t="shared" si="1"/>
        <v>0.16</v>
      </c>
      <c r="P51" s="2">
        <f t="shared" si="2"/>
        <v>41.010800508259216</v>
      </c>
      <c r="Q51" s="2">
        <f t="shared" si="3"/>
        <v>0.19800000000000018</v>
      </c>
      <c r="R51" s="2">
        <f t="shared" si="4"/>
        <v>0.20512515883100402</v>
      </c>
      <c r="S51" s="2">
        <f t="shared" si="5"/>
        <v>-7.1251588310038416E-3</v>
      </c>
      <c r="Y51" s="1"/>
    </row>
    <row r="52" spans="2:32" x14ac:dyDescent="0.25">
      <c r="B52" s="1">
        <f t="shared" si="6"/>
        <v>46</v>
      </c>
      <c r="C52" s="1">
        <v>127</v>
      </c>
      <c r="D52" s="13">
        <v>39.6</v>
      </c>
      <c r="E52" s="1" t="s">
        <v>11</v>
      </c>
      <c r="F52" s="2">
        <v>0.3</v>
      </c>
      <c r="G52" s="1" t="s">
        <v>12</v>
      </c>
      <c r="H52" s="1" t="s">
        <v>13</v>
      </c>
      <c r="I52" s="1" t="s">
        <v>14</v>
      </c>
      <c r="J52" s="14">
        <v>0.56887731481481485</v>
      </c>
      <c r="K52" s="15">
        <v>45514</v>
      </c>
      <c r="L52" s="15"/>
      <c r="M52" s="2">
        <v>0.23</v>
      </c>
      <c r="O52" s="2">
        <f t="shared" si="1"/>
        <v>0.16500000000000001</v>
      </c>
      <c r="P52" s="2">
        <f t="shared" si="2"/>
        <v>41.039263024142315</v>
      </c>
      <c r="Q52" s="2">
        <f t="shared" si="3"/>
        <v>0.19874999999999907</v>
      </c>
      <c r="R52" s="2">
        <f t="shared" si="4"/>
        <v>0.20526747141041835</v>
      </c>
      <c r="S52" s="2">
        <f t="shared" si="5"/>
        <v>-6.5174714104192788E-3</v>
      </c>
      <c r="W52" s="1" t="s">
        <v>21</v>
      </c>
      <c r="X52" s="22">
        <v>2.1850000000000001</v>
      </c>
      <c r="Y52" s="1">
        <f>_xlfn.XLOOKUP(X52,M$7:M$2001,D$7:D$2001,0,-1)</f>
        <v>50.2</v>
      </c>
      <c r="Z52" s="1" cm="1">
        <f t="array" aca="1" ref="Z52" ca="1">CELL("row",_xlfn.XLOOKUP(X52,M$7:M$2001,D$7:D$2001,0,-1))</f>
        <v>387</v>
      </c>
      <c r="AA52" s="1">
        <f t="shared" ref="AA52" ca="1" si="12">Z52-6</f>
        <v>381</v>
      </c>
      <c r="AB52" t="s">
        <v>65</v>
      </c>
      <c r="AC52" s="2">
        <f ca="1">SUM(INDEX(C7:S1000,AA52,17):(INDEX(C7:S1000,AA53,17)))</f>
        <v>-2.6158780177890772</v>
      </c>
      <c r="AF52" t="s">
        <v>33</v>
      </c>
    </row>
    <row r="53" spans="2:32" x14ac:dyDescent="0.25">
      <c r="B53" s="1">
        <f t="shared" si="6"/>
        <v>47</v>
      </c>
      <c r="C53" s="1">
        <v>129</v>
      </c>
      <c r="D53" s="13">
        <v>39.9</v>
      </c>
      <c r="E53" s="1" t="s">
        <v>11</v>
      </c>
      <c r="F53" s="2">
        <v>0.30499999999999999</v>
      </c>
      <c r="G53" s="1" t="s">
        <v>12</v>
      </c>
      <c r="H53" s="1" t="s">
        <v>13</v>
      </c>
      <c r="I53" s="1" t="s">
        <v>14</v>
      </c>
      <c r="J53" s="14">
        <v>0.56887731481481485</v>
      </c>
      <c r="K53" s="15">
        <v>45514</v>
      </c>
      <c r="L53" s="15"/>
      <c r="M53" s="2">
        <v>0.23499999999999999</v>
      </c>
      <c r="O53" s="2">
        <f t="shared" si="1"/>
        <v>0.16999999999999998</v>
      </c>
      <c r="P53" s="2">
        <f t="shared" si="2"/>
        <v>41.067725540025414</v>
      </c>
      <c r="Q53" s="2">
        <f t="shared" si="3"/>
        <v>0.19950000000000018</v>
      </c>
      <c r="R53" s="2">
        <f t="shared" si="4"/>
        <v>0.205409783989835</v>
      </c>
      <c r="S53" s="2">
        <f t="shared" si="5"/>
        <v>-5.909783989834827E-3</v>
      </c>
      <c r="W53" s="1" t="s">
        <v>22</v>
      </c>
      <c r="X53" s="22">
        <v>4</v>
      </c>
      <c r="Y53" s="1">
        <f>_xlfn.XLOOKUP(X53,M$7:M$2001,D$7:D$2001,0,-1)</f>
        <v>62.5</v>
      </c>
      <c r="Z53" s="1" cm="1">
        <f t="array" aca="1" ref="Z53" ca="1">CELL("row",_xlfn.XLOOKUP(X53,M$7:M$2001,D$7:D$2001,0,-1))</f>
        <v>733</v>
      </c>
      <c r="AA53" s="1">
        <f ca="1">Z53-6</f>
        <v>727</v>
      </c>
      <c r="AB53" t="s">
        <v>67</v>
      </c>
      <c r="AC53" s="2">
        <f>X53-X52</f>
        <v>1.8149999999999999</v>
      </c>
      <c r="AF53" t="s">
        <v>49</v>
      </c>
    </row>
    <row r="54" spans="2:32" x14ac:dyDescent="0.25">
      <c r="B54" s="1">
        <f t="shared" si="6"/>
        <v>48</v>
      </c>
      <c r="C54" s="1">
        <v>130</v>
      </c>
      <c r="D54" s="13">
        <v>39.9</v>
      </c>
      <c r="E54" s="1" t="s">
        <v>11</v>
      </c>
      <c r="F54" s="2">
        <v>0.31</v>
      </c>
      <c r="G54" s="1" t="s">
        <v>12</v>
      </c>
      <c r="H54" s="1" t="s">
        <v>13</v>
      </c>
      <c r="I54" s="1" t="s">
        <v>14</v>
      </c>
      <c r="J54" s="14">
        <v>0.56887731481481485</v>
      </c>
      <c r="K54" s="15">
        <v>45514</v>
      </c>
      <c r="L54" s="15"/>
      <c r="M54" s="2">
        <v>0.24</v>
      </c>
      <c r="O54" s="2">
        <f t="shared" si="1"/>
        <v>0.17499999999999999</v>
      </c>
      <c r="P54" s="2">
        <f t="shared" si="2"/>
        <v>41.096188055908513</v>
      </c>
      <c r="Q54" s="2">
        <f t="shared" si="3"/>
        <v>0.19950000000000018</v>
      </c>
      <c r="R54" s="2">
        <f t="shared" si="4"/>
        <v>0.20555209656925047</v>
      </c>
      <c r="S54" s="2">
        <f t="shared" si="5"/>
        <v>-6.0520965692502926E-3</v>
      </c>
      <c r="Y54" s="1"/>
      <c r="AB54" t="s">
        <v>68</v>
      </c>
      <c r="AC54" s="2">
        <f>AC53/(AC53+AC43+AC31+AC24) * 100</f>
        <v>46.12452350698856</v>
      </c>
      <c r="AF54" t="s">
        <v>53</v>
      </c>
    </row>
    <row r="55" spans="2:32" x14ac:dyDescent="0.25">
      <c r="B55" s="1">
        <f t="shared" si="6"/>
        <v>49</v>
      </c>
      <c r="C55" s="1">
        <v>131</v>
      </c>
      <c r="D55" s="13">
        <v>39.9</v>
      </c>
      <c r="E55" s="1" t="s">
        <v>11</v>
      </c>
      <c r="F55" s="2">
        <v>0.315</v>
      </c>
      <c r="G55" s="1" t="s">
        <v>12</v>
      </c>
      <c r="H55" s="1" t="s">
        <v>13</v>
      </c>
      <c r="I55" s="1" t="s">
        <v>14</v>
      </c>
      <c r="J55" s="14">
        <v>0.56887731481481485</v>
      </c>
      <c r="K55" s="15">
        <v>45514</v>
      </c>
      <c r="L55" s="15"/>
      <c r="M55" s="2">
        <v>0.245</v>
      </c>
      <c r="O55" s="2">
        <f t="shared" si="1"/>
        <v>0.18</v>
      </c>
      <c r="P55" s="2">
        <f t="shared" si="2"/>
        <v>41.124650571791612</v>
      </c>
      <c r="Q55" s="2">
        <f t="shared" si="3"/>
        <v>0.19900000000000015</v>
      </c>
      <c r="R55" s="2">
        <f t="shared" si="4"/>
        <v>0.20569440914866602</v>
      </c>
      <c r="S55" s="2">
        <f t="shared" si="5"/>
        <v>-6.6944091486658697E-3</v>
      </c>
    </row>
    <row r="56" spans="2:32" x14ac:dyDescent="0.25">
      <c r="B56" s="1">
        <f t="shared" si="6"/>
        <v>50</v>
      </c>
      <c r="C56" s="1">
        <v>133</v>
      </c>
      <c r="D56" s="13">
        <v>39.700000000000003</v>
      </c>
      <c r="E56" s="1" t="s">
        <v>11</v>
      </c>
      <c r="F56" s="2">
        <v>0.32</v>
      </c>
      <c r="G56" s="1" t="s">
        <v>12</v>
      </c>
      <c r="H56" s="1" t="s">
        <v>13</v>
      </c>
      <c r="I56" s="1" t="s">
        <v>14</v>
      </c>
      <c r="J56" s="14">
        <v>0.56887731481481485</v>
      </c>
      <c r="K56" s="15">
        <v>45514</v>
      </c>
      <c r="L56" s="15"/>
      <c r="M56" s="2">
        <v>0.25</v>
      </c>
      <c r="O56" s="2">
        <f t="shared" si="1"/>
        <v>0.185</v>
      </c>
      <c r="P56" s="2">
        <f t="shared" si="2"/>
        <v>41.153113087674718</v>
      </c>
      <c r="Q56" s="2">
        <f t="shared" si="3"/>
        <v>0.1982500000000002</v>
      </c>
      <c r="R56" s="2">
        <f t="shared" si="4"/>
        <v>0.20583672172808154</v>
      </c>
      <c r="S56" s="2">
        <f t="shared" si="5"/>
        <v>-7.5867217280813359E-3</v>
      </c>
    </row>
    <row r="57" spans="2:32" x14ac:dyDescent="0.25">
      <c r="B57" s="1">
        <f t="shared" si="6"/>
        <v>51</v>
      </c>
      <c r="C57" s="1">
        <v>134</v>
      </c>
      <c r="D57" s="13">
        <v>39.6</v>
      </c>
      <c r="E57" s="1" t="s">
        <v>11</v>
      </c>
      <c r="F57" s="2">
        <v>0.32500000000000001</v>
      </c>
      <c r="G57" s="1" t="s">
        <v>12</v>
      </c>
      <c r="H57" s="1" t="s">
        <v>13</v>
      </c>
      <c r="I57" s="1" t="s">
        <v>14</v>
      </c>
      <c r="J57" s="14">
        <v>0.56887731481481485</v>
      </c>
      <c r="K57" s="15">
        <v>45514</v>
      </c>
      <c r="L57" s="15"/>
      <c r="M57" s="2">
        <v>0.255</v>
      </c>
      <c r="O57" s="2">
        <f t="shared" si="1"/>
        <v>0.19</v>
      </c>
      <c r="P57" s="2">
        <f t="shared" si="2"/>
        <v>41.181575603557818</v>
      </c>
      <c r="Q57" s="2">
        <f t="shared" si="3"/>
        <v>0.19775000000000015</v>
      </c>
      <c r="R57" s="2">
        <f t="shared" si="4"/>
        <v>0.20597903430749701</v>
      </c>
      <c r="S57" s="2">
        <f t="shared" si="5"/>
        <v>-8.2290343074968575E-3</v>
      </c>
    </row>
    <row r="58" spans="2:32" x14ac:dyDescent="0.25">
      <c r="B58" s="1">
        <f t="shared" si="6"/>
        <v>52</v>
      </c>
      <c r="C58" s="1">
        <v>135</v>
      </c>
      <c r="D58" s="13">
        <v>39.5</v>
      </c>
      <c r="E58" s="1" t="s">
        <v>11</v>
      </c>
      <c r="F58" s="2">
        <v>0.33</v>
      </c>
      <c r="G58" s="1" t="s">
        <v>12</v>
      </c>
      <c r="H58" s="1" t="s">
        <v>13</v>
      </c>
      <c r="I58" s="1" t="s">
        <v>14</v>
      </c>
      <c r="J58" s="14">
        <v>0.56887731481481485</v>
      </c>
      <c r="K58" s="15">
        <v>45514</v>
      </c>
      <c r="L58" s="15"/>
      <c r="M58" s="2">
        <v>0.26</v>
      </c>
      <c r="O58" s="2">
        <f t="shared" si="1"/>
        <v>0.19500000000000001</v>
      </c>
      <c r="P58" s="2">
        <f t="shared" si="2"/>
        <v>41.210038119440917</v>
      </c>
      <c r="Q58" s="2">
        <f t="shared" si="3"/>
        <v>0.19750000000000018</v>
      </c>
      <c r="R58" s="2">
        <f t="shared" si="4"/>
        <v>0.20612134688691253</v>
      </c>
      <c r="S58" s="2">
        <f t="shared" si="5"/>
        <v>-8.6213468869123511E-3</v>
      </c>
    </row>
    <row r="59" spans="2:32" x14ac:dyDescent="0.25">
      <c r="B59" s="1">
        <f t="shared" si="6"/>
        <v>53</v>
      </c>
      <c r="C59" s="1">
        <v>137</v>
      </c>
      <c r="D59" s="13">
        <v>39.5</v>
      </c>
      <c r="E59" s="1" t="s">
        <v>11</v>
      </c>
      <c r="F59" s="2">
        <v>0.33500000000000002</v>
      </c>
      <c r="G59" s="1" t="s">
        <v>12</v>
      </c>
      <c r="H59" s="1" t="s">
        <v>13</v>
      </c>
      <c r="I59" s="1" t="s">
        <v>14</v>
      </c>
      <c r="J59" s="14">
        <v>0.56888888888888889</v>
      </c>
      <c r="K59" s="15">
        <v>45514</v>
      </c>
      <c r="L59" s="15"/>
      <c r="M59" s="2">
        <v>0.26500000000000001</v>
      </c>
      <c r="O59" s="2">
        <f t="shared" si="1"/>
        <v>0.2</v>
      </c>
      <c r="P59" s="2">
        <f t="shared" si="2"/>
        <v>41.238500635324016</v>
      </c>
      <c r="Q59" s="2">
        <f t="shared" si="3"/>
        <v>0.19750000000000018</v>
      </c>
      <c r="R59" s="2">
        <f t="shared" si="4"/>
        <v>0.20626365946632799</v>
      </c>
      <c r="S59" s="2">
        <f t="shared" si="5"/>
        <v>-8.7636594663278167E-3</v>
      </c>
    </row>
    <row r="60" spans="2:32" x14ac:dyDescent="0.25">
      <c r="B60" s="1">
        <f t="shared" si="6"/>
        <v>54</v>
      </c>
      <c r="C60" s="1">
        <v>139</v>
      </c>
      <c r="D60" s="13">
        <v>39.5</v>
      </c>
      <c r="E60" s="1" t="s">
        <v>11</v>
      </c>
      <c r="F60" s="2">
        <v>0.34</v>
      </c>
      <c r="G60" s="1" t="s">
        <v>12</v>
      </c>
      <c r="H60" s="1" t="s">
        <v>13</v>
      </c>
      <c r="I60" s="1" t="s">
        <v>14</v>
      </c>
      <c r="J60" s="14">
        <v>0.56888888888888889</v>
      </c>
      <c r="K60" s="15">
        <v>45514</v>
      </c>
      <c r="L60" s="15"/>
      <c r="M60" s="2">
        <v>0.27</v>
      </c>
      <c r="O60" s="2">
        <f t="shared" si="1"/>
        <v>0.20500000000000002</v>
      </c>
      <c r="P60" s="2">
        <f t="shared" si="2"/>
        <v>41.266963151207115</v>
      </c>
      <c r="Q60" s="2">
        <f t="shared" si="3"/>
        <v>0.19775000000000015</v>
      </c>
      <c r="R60" s="2">
        <f t="shared" si="4"/>
        <v>0.20640597204574351</v>
      </c>
      <c r="S60" s="2">
        <f t="shared" si="5"/>
        <v>-8.6559720457433653E-3</v>
      </c>
    </row>
    <row r="61" spans="2:32" x14ac:dyDescent="0.25">
      <c r="B61" s="1">
        <f t="shared" si="6"/>
        <v>55</v>
      </c>
      <c r="C61" s="1">
        <v>141</v>
      </c>
      <c r="D61" s="13">
        <v>39.6</v>
      </c>
      <c r="E61" s="1" t="s">
        <v>11</v>
      </c>
      <c r="F61" s="2">
        <v>0.34499999999999997</v>
      </c>
      <c r="G61" s="1" t="s">
        <v>12</v>
      </c>
      <c r="H61" s="1" t="s">
        <v>13</v>
      </c>
      <c r="I61" s="1" t="s">
        <v>14</v>
      </c>
      <c r="J61" s="14">
        <v>0.56888888888888889</v>
      </c>
      <c r="K61" s="15">
        <v>45514</v>
      </c>
      <c r="L61" s="15"/>
      <c r="M61" s="2">
        <v>0.27500000000000002</v>
      </c>
      <c r="O61" s="2">
        <f t="shared" si="1"/>
        <v>0.21000000000000002</v>
      </c>
      <c r="P61" s="2">
        <f t="shared" si="2"/>
        <v>41.295425667090214</v>
      </c>
      <c r="Q61" s="2">
        <f t="shared" si="3"/>
        <v>0.19775000000000015</v>
      </c>
      <c r="R61" s="2">
        <f t="shared" si="4"/>
        <v>0.20654828462515901</v>
      </c>
      <c r="S61" s="2">
        <f t="shared" si="5"/>
        <v>-8.7982846251588587E-3</v>
      </c>
    </row>
    <row r="62" spans="2:32" x14ac:dyDescent="0.25">
      <c r="B62" s="1">
        <f t="shared" si="6"/>
        <v>56</v>
      </c>
      <c r="C62" s="1">
        <v>143</v>
      </c>
      <c r="D62" s="13">
        <v>39.5</v>
      </c>
      <c r="E62" s="1" t="s">
        <v>11</v>
      </c>
      <c r="F62" s="2">
        <v>0.35</v>
      </c>
      <c r="G62" s="1" t="s">
        <v>12</v>
      </c>
      <c r="H62" s="1" t="s">
        <v>13</v>
      </c>
      <c r="I62" s="1" t="s">
        <v>14</v>
      </c>
      <c r="J62" s="14">
        <v>0.56888888888888889</v>
      </c>
      <c r="K62" s="15">
        <v>45514</v>
      </c>
      <c r="L62" s="15"/>
      <c r="M62" s="2">
        <v>0.28000000000000003</v>
      </c>
      <c r="O62" s="2">
        <f t="shared" si="1"/>
        <v>0.21500000000000002</v>
      </c>
      <c r="P62" s="2">
        <f t="shared" si="2"/>
        <v>41.32388818297332</v>
      </c>
      <c r="Q62" s="2">
        <f t="shared" si="3"/>
        <v>0.19724999999999801</v>
      </c>
      <c r="R62" s="2">
        <f t="shared" si="4"/>
        <v>0.20669059720457222</v>
      </c>
      <c r="S62" s="2">
        <f t="shared" si="5"/>
        <v>-9.4405972045742137E-3</v>
      </c>
    </row>
    <row r="63" spans="2:32" x14ac:dyDescent="0.25">
      <c r="B63" s="1">
        <f t="shared" si="6"/>
        <v>57</v>
      </c>
      <c r="C63" s="1">
        <v>144</v>
      </c>
      <c r="D63" s="13">
        <v>39.4</v>
      </c>
      <c r="E63" s="1" t="s">
        <v>11</v>
      </c>
      <c r="F63" s="2">
        <v>0.35499999999999998</v>
      </c>
      <c r="G63" s="1" t="s">
        <v>12</v>
      </c>
      <c r="H63" s="1" t="s">
        <v>13</v>
      </c>
      <c r="I63" s="1" t="s">
        <v>14</v>
      </c>
      <c r="J63" s="14">
        <v>0.56888888888888889</v>
      </c>
      <c r="K63" s="15">
        <v>45514</v>
      </c>
      <c r="L63" s="15"/>
      <c r="M63" s="2">
        <v>0.28499999999999998</v>
      </c>
      <c r="O63" s="2">
        <f t="shared" si="1"/>
        <v>0.21999999999999997</v>
      </c>
      <c r="P63" s="2">
        <f t="shared" si="2"/>
        <v>41.352350698856419</v>
      </c>
      <c r="Q63" s="2">
        <f t="shared" si="3"/>
        <v>0.19700000000000017</v>
      </c>
      <c r="R63" s="2">
        <f t="shared" si="4"/>
        <v>0.20683290978399005</v>
      </c>
      <c r="S63" s="2">
        <f t="shared" si="5"/>
        <v>-9.8329097839898738E-3</v>
      </c>
    </row>
    <row r="64" spans="2:32" x14ac:dyDescent="0.25">
      <c r="B64" s="1">
        <f t="shared" si="6"/>
        <v>58</v>
      </c>
      <c r="C64" s="1">
        <v>147</v>
      </c>
      <c r="D64" s="13">
        <v>39.4</v>
      </c>
      <c r="E64" s="1" t="s">
        <v>11</v>
      </c>
      <c r="F64" s="2">
        <v>0.36</v>
      </c>
      <c r="G64" s="1" t="s">
        <v>12</v>
      </c>
      <c r="H64" s="1" t="s">
        <v>13</v>
      </c>
      <c r="I64" s="1" t="s">
        <v>14</v>
      </c>
      <c r="J64" s="14">
        <v>0.56890046296296293</v>
      </c>
      <c r="K64" s="15">
        <v>45514</v>
      </c>
      <c r="L64" s="15"/>
      <c r="M64" s="2">
        <v>0.28999999999999998</v>
      </c>
      <c r="O64" s="2">
        <f t="shared" si="1"/>
        <v>0.22499999999999998</v>
      </c>
      <c r="P64" s="2">
        <f t="shared" si="2"/>
        <v>41.380813214739518</v>
      </c>
      <c r="Q64" s="2">
        <f t="shared" si="3"/>
        <v>0.1972500000000002</v>
      </c>
      <c r="R64" s="2">
        <f t="shared" si="4"/>
        <v>0.20697522236340551</v>
      </c>
      <c r="S64" s="2">
        <f t="shared" si="5"/>
        <v>-9.7252223634053114E-3</v>
      </c>
    </row>
    <row r="65" spans="2:19" x14ac:dyDescent="0.25">
      <c r="B65" s="1">
        <f t="shared" si="6"/>
        <v>59</v>
      </c>
      <c r="C65" s="1">
        <v>149</v>
      </c>
      <c r="D65" s="13">
        <v>39.5</v>
      </c>
      <c r="E65" s="1" t="s">
        <v>11</v>
      </c>
      <c r="F65" s="2">
        <v>0.36499999999999999</v>
      </c>
      <c r="G65" s="1" t="s">
        <v>12</v>
      </c>
      <c r="H65" s="1" t="s">
        <v>13</v>
      </c>
      <c r="I65" s="1" t="s">
        <v>14</v>
      </c>
      <c r="J65" s="14">
        <v>0.56890046296296293</v>
      </c>
      <c r="K65" s="15">
        <v>45514</v>
      </c>
      <c r="L65" s="15"/>
      <c r="M65" s="2">
        <v>0.29499999999999998</v>
      </c>
      <c r="O65" s="2">
        <f t="shared" si="1"/>
        <v>0.22999999999999998</v>
      </c>
      <c r="P65" s="2">
        <f t="shared" si="2"/>
        <v>41.409275730622618</v>
      </c>
      <c r="Q65" s="2">
        <f t="shared" si="3"/>
        <v>0.19775000000000015</v>
      </c>
      <c r="R65" s="2">
        <f t="shared" si="4"/>
        <v>0.20711753494282104</v>
      </c>
      <c r="S65" s="2">
        <f t="shared" si="5"/>
        <v>-9.3675349428208876E-3</v>
      </c>
    </row>
    <row r="66" spans="2:19" x14ac:dyDescent="0.25">
      <c r="B66" s="1">
        <f t="shared" si="6"/>
        <v>60</v>
      </c>
      <c r="C66" s="1">
        <v>150</v>
      </c>
      <c r="D66" s="13">
        <v>39.6</v>
      </c>
      <c r="E66" s="1" t="s">
        <v>11</v>
      </c>
      <c r="F66" s="2">
        <v>0.37</v>
      </c>
      <c r="G66" s="1" t="s">
        <v>12</v>
      </c>
      <c r="H66" s="1" t="s">
        <v>13</v>
      </c>
      <c r="I66" s="1" t="s">
        <v>14</v>
      </c>
      <c r="J66" s="14">
        <v>0.56890046296296293</v>
      </c>
      <c r="K66" s="15">
        <v>45514</v>
      </c>
      <c r="L66" s="15"/>
      <c r="M66" s="2">
        <v>0.3</v>
      </c>
      <c r="O66" s="2">
        <f t="shared" si="1"/>
        <v>0.23499999999999999</v>
      </c>
      <c r="P66" s="2">
        <f t="shared" si="2"/>
        <v>41.437738246505717</v>
      </c>
      <c r="Q66" s="2">
        <f t="shared" si="3"/>
        <v>0.1982500000000002</v>
      </c>
      <c r="R66" s="2">
        <f t="shared" si="4"/>
        <v>0.20725984752223653</v>
      </c>
      <c r="S66" s="2">
        <f t="shared" si="5"/>
        <v>-9.009847522236325E-3</v>
      </c>
    </row>
    <row r="67" spans="2:19" x14ac:dyDescent="0.25">
      <c r="B67" s="1">
        <f t="shared" si="6"/>
        <v>61</v>
      </c>
      <c r="C67" s="1">
        <v>152</v>
      </c>
      <c r="D67" s="13">
        <v>39.700000000000003</v>
      </c>
      <c r="E67" s="1" t="s">
        <v>11</v>
      </c>
      <c r="F67" s="2">
        <v>0.375</v>
      </c>
      <c r="G67" s="1" t="s">
        <v>12</v>
      </c>
      <c r="H67" s="1" t="s">
        <v>13</v>
      </c>
      <c r="I67" s="1" t="s">
        <v>14</v>
      </c>
      <c r="J67" s="14">
        <v>0.56890046296296293</v>
      </c>
      <c r="K67" s="15">
        <v>45514</v>
      </c>
      <c r="L67" s="15"/>
      <c r="M67" s="2">
        <v>0.30499999999999999</v>
      </c>
      <c r="O67" s="2">
        <f t="shared" si="1"/>
        <v>0.24</v>
      </c>
      <c r="P67" s="2">
        <f t="shared" si="2"/>
        <v>41.466200762388823</v>
      </c>
      <c r="Q67" s="2">
        <f t="shared" si="3"/>
        <v>0.1985000000000002</v>
      </c>
      <c r="R67" s="2">
        <f t="shared" si="4"/>
        <v>0.20740216010165202</v>
      </c>
      <c r="S67" s="2">
        <f t="shared" si="5"/>
        <v>-8.9021601016518181E-3</v>
      </c>
    </row>
    <row r="68" spans="2:19" x14ac:dyDescent="0.25">
      <c r="B68" s="1">
        <f t="shared" si="6"/>
        <v>62</v>
      </c>
      <c r="C68" s="1">
        <v>155</v>
      </c>
      <c r="D68" s="13">
        <v>39.700000000000003</v>
      </c>
      <c r="E68" s="1" t="s">
        <v>11</v>
      </c>
      <c r="F68" s="2">
        <v>0.38</v>
      </c>
      <c r="G68" s="1" t="s">
        <v>12</v>
      </c>
      <c r="H68" s="1" t="s">
        <v>13</v>
      </c>
      <c r="I68" s="1" t="s">
        <v>14</v>
      </c>
      <c r="J68" s="14">
        <v>0.56890046296296293</v>
      </c>
      <c r="K68" s="15">
        <v>45514</v>
      </c>
      <c r="L68" s="15"/>
      <c r="M68" s="2">
        <v>0.31</v>
      </c>
      <c r="O68" s="2">
        <f t="shared" si="1"/>
        <v>0.245</v>
      </c>
      <c r="P68" s="2">
        <f t="shared" si="2"/>
        <v>41.494663278271922</v>
      </c>
      <c r="Q68" s="2">
        <f t="shared" si="3"/>
        <v>0.19875000000000018</v>
      </c>
      <c r="R68" s="2">
        <f t="shared" si="4"/>
        <v>0.20754447268106757</v>
      </c>
      <c r="S68" s="2">
        <f t="shared" si="5"/>
        <v>-8.7944726810673945E-3</v>
      </c>
    </row>
    <row r="69" spans="2:19" x14ac:dyDescent="0.25">
      <c r="B69" s="1">
        <f t="shared" si="6"/>
        <v>63</v>
      </c>
      <c r="C69" s="1">
        <v>157</v>
      </c>
      <c r="D69" s="13">
        <v>39.799999999999997</v>
      </c>
      <c r="E69" s="1" t="s">
        <v>11</v>
      </c>
      <c r="F69" s="2">
        <v>0.38500000000000001</v>
      </c>
      <c r="G69" s="1" t="s">
        <v>12</v>
      </c>
      <c r="H69" s="1" t="s">
        <v>13</v>
      </c>
      <c r="I69" s="1" t="s">
        <v>14</v>
      </c>
      <c r="J69" s="14">
        <v>0.56891203703703708</v>
      </c>
      <c r="K69" s="15">
        <v>45514</v>
      </c>
      <c r="L69" s="15"/>
      <c r="M69" s="2">
        <v>0.315</v>
      </c>
      <c r="O69" s="2">
        <f t="shared" si="1"/>
        <v>0.25</v>
      </c>
      <c r="P69" s="2">
        <f t="shared" si="2"/>
        <v>41.523125794155021</v>
      </c>
      <c r="Q69" s="2">
        <f t="shared" si="3"/>
        <v>0.19950000000000018</v>
      </c>
      <c r="R69" s="2">
        <f t="shared" si="4"/>
        <v>0.20768678526048301</v>
      </c>
      <c r="S69" s="2">
        <f t="shared" si="5"/>
        <v>-8.1867852604828317E-3</v>
      </c>
    </row>
    <row r="70" spans="2:19" x14ac:dyDescent="0.25">
      <c r="B70" s="1">
        <f t="shared" si="6"/>
        <v>64</v>
      </c>
      <c r="C70" s="1">
        <v>159</v>
      </c>
      <c r="D70" s="13">
        <v>40</v>
      </c>
      <c r="E70" s="1" t="s">
        <v>11</v>
      </c>
      <c r="F70" s="2">
        <v>0.39</v>
      </c>
      <c r="G70" s="1" t="s">
        <v>12</v>
      </c>
      <c r="H70" s="1" t="s">
        <v>13</v>
      </c>
      <c r="I70" s="1" t="s">
        <v>14</v>
      </c>
      <c r="J70" s="14">
        <v>0.56891203703703708</v>
      </c>
      <c r="K70" s="15">
        <v>45514</v>
      </c>
      <c r="L70" s="15"/>
      <c r="M70" s="2">
        <v>0.32</v>
      </c>
      <c r="O70" s="2">
        <f t="shared" si="1"/>
        <v>0.255</v>
      </c>
      <c r="P70" s="2">
        <f t="shared" si="2"/>
        <v>41.55158831003812</v>
      </c>
      <c r="Q70" s="2">
        <f t="shared" si="3"/>
        <v>0.20025000000000015</v>
      </c>
      <c r="R70" s="2">
        <f t="shared" si="4"/>
        <v>0.20782909783989856</v>
      </c>
      <c r="S70" s="2">
        <f t="shared" si="5"/>
        <v>-7.5790978398984077E-3</v>
      </c>
    </row>
    <row r="71" spans="2:19" x14ac:dyDescent="0.25">
      <c r="B71" s="1">
        <f t="shared" si="6"/>
        <v>65</v>
      </c>
      <c r="C71" s="1">
        <v>161</v>
      </c>
      <c r="D71" s="13">
        <v>40.1</v>
      </c>
      <c r="E71" s="1" t="s">
        <v>11</v>
      </c>
      <c r="F71" s="2">
        <v>0.39500000000000002</v>
      </c>
      <c r="G71" s="1" t="s">
        <v>12</v>
      </c>
      <c r="H71" s="1" t="s">
        <v>13</v>
      </c>
      <c r="I71" s="1" t="s">
        <v>14</v>
      </c>
      <c r="J71" s="14">
        <v>0.56891203703703708</v>
      </c>
      <c r="K71" s="15">
        <v>45514</v>
      </c>
      <c r="L71" s="15"/>
      <c r="M71" s="2">
        <v>0.32500000000000001</v>
      </c>
      <c r="O71" s="2">
        <f t="shared" si="1"/>
        <v>0.26</v>
      </c>
      <c r="P71" s="2">
        <f t="shared" si="2"/>
        <v>41.580050825921219</v>
      </c>
      <c r="Q71" s="2">
        <f t="shared" si="3"/>
        <v>0.20050000000000018</v>
      </c>
      <c r="R71" s="2">
        <f t="shared" si="4"/>
        <v>0.20797141041931402</v>
      </c>
      <c r="S71" s="2">
        <f t="shared" si="5"/>
        <v>-7.4714104193138453E-3</v>
      </c>
    </row>
    <row r="72" spans="2:19" x14ac:dyDescent="0.25">
      <c r="B72" s="1">
        <f t="shared" si="6"/>
        <v>66</v>
      </c>
      <c r="C72" s="1">
        <v>162</v>
      </c>
      <c r="D72" s="13">
        <v>40.1</v>
      </c>
      <c r="E72" s="1" t="s">
        <v>11</v>
      </c>
      <c r="F72" s="2">
        <v>0.4</v>
      </c>
      <c r="G72" s="1" t="s">
        <v>12</v>
      </c>
      <c r="H72" s="1" t="s">
        <v>13</v>
      </c>
      <c r="I72" s="1" t="s">
        <v>14</v>
      </c>
      <c r="J72" s="14">
        <v>0.56891203703703708</v>
      </c>
      <c r="K72" s="15">
        <v>45514</v>
      </c>
      <c r="L72" s="15"/>
      <c r="M72" s="2">
        <v>0.33</v>
      </c>
      <c r="O72" s="2">
        <f t="shared" ref="O72:O135" si="13">M72-$X$23</f>
        <v>0.26500000000000001</v>
      </c>
      <c r="P72" s="2">
        <f t="shared" ref="P72:P135" si="14">O72*$AC$21+$Y$23</f>
        <v>41.608513341804318</v>
      </c>
      <c r="Q72" s="2">
        <f t="shared" ref="Q72:Q135" si="15">((D72+D73)/2)*(M73-M72)</f>
        <v>0.20100000000000021</v>
      </c>
      <c r="R72" s="2">
        <f t="shared" ref="R72:R135" si="16">((P72+P73)/2)*(O73-O72)</f>
        <v>0.20811372299872954</v>
      </c>
      <c r="S72" s="2">
        <f t="shared" ref="S72:S135" si="17">Q72-R72</f>
        <v>-7.1137229987293382E-3</v>
      </c>
    </row>
    <row r="73" spans="2:19" x14ac:dyDescent="0.25">
      <c r="B73" s="1">
        <f t="shared" ref="B73:B136" si="18">B72+1</f>
        <v>67</v>
      </c>
      <c r="C73" s="1">
        <v>164</v>
      </c>
      <c r="D73" s="13">
        <v>40.299999999999997</v>
      </c>
      <c r="E73" s="1" t="s">
        <v>11</v>
      </c>
      <c r="F73" s="2">
        <v>0.40500000000000003</v>
      </c>
      <c r="G73" s="1" t="s">
        <v>12</v>
      </c>
      <c r="H73" s="1" t="s">
        <v>13</v>
      </c>
      <c r="I73" s="1" t="s">
        <v>14</v>
      </c>
      <c r="J73" s="14">
        <v>0.56891203703703708</v>
      </c>
      <c r="K73" s="15">
        <v>45514</v>
      </c>
      <c r="L73" s="15"/>
      <c r="M73" s="2">
        <v>0.33500000000000002</v>
      </c>
      <c r="O73" s="2">
        <f t="shared" si="13"/>
        <v>0.27</v>
      </c>
      <c r="P73" s="2">
        <f t="shared" si="14"/>
        <v>41.636975857687425</v>
      </c>
      <c r="Q73" s="2">
        <f t="shared" si="15"/>
        <v>0.20150000000000015</v>
      </c>
      <c r="R73" s="2">
        <f t="shared" si="16"/>
        <v>0.20825603557814507</v>
      </c>
      <c r="S73" s="2">
        <f t="shared" si="17"/>
        <v>-6.7560355781449144E-3</v>
      </c>
    </row>
    <row r="74" spans="2:19" x14ac:dyDescent="0.25">
      <c r="B74" s="1">
        <f t="shared" si="18"/>
        <v>68</v>
      </c>
      <c r="C74" s="1">
        <v>166</v>
      </c>
      <c r="D74" s="13">
        <v>40.299999999999997</v>
      </c>
      <c r="E74" s="1" t="s">
        <v>11</v>
      </c>
      <c r="F74" s="2">
        <v>0.41</v>
      </c>
      <c r="G74" s="1" t="s">
        <v>12</v>
      </c>
      <c r="H74" s="1" t="s">
        <v>13</v>
      </c>
      <c r="I74" s="1" t="s">
        <v>14</v>
      </c>
      <c r="J74" s="14">
        <v>0.56892361111111112</v>
      </c>
      <c r="K74" s="15">
        <v>45514</v>
      </c>
      <c r="L74" s="15"/>
      <c r="M74" s="2">
        <v>0.34</v>
      </c>
      <c r="O74" s="2">
        <f t="shared" si="13"/>
        <v>0.27500000000000002</v>
      </c>
      <c r="P74" s="2">
        <f t="shared" si="14"/>
        <v>41.665438373570524</v>
      </c>
      <c r="Q74" s="2">
        <f t="shared" si="15"/>
        <v>0.20124999999999793</v>
      </c>
      <c r="R74" s="2">
        <f t="shared" si="16"/>
        <v>0.20839834815755823</v>
      </c>
      <c r="S74" s="2">
        <f t="shared" si="17"/>
        <v>-7.148348157560297E-3</v>
      </c>
    </row>
    <row r="75" spans="2:19" x14ac:dyDescent="0.25">
      <c r="B75" s="1">
        <f t="shared" si="18"/>
        <v>69</v>
      </c>
      <c r="C75" s="1">
        <v>168</v>
      </c>
      <c r="D75" s="13">
        <v>40.200000000000003</v>
      </c>
      <c r="E75" s="1" t="s">
        <v>11</v>
      </c>
      <c r="F75" s="2">
        <v>0.41499999999999998</v>
      </c>
      <c r="G75" s="1" t="s">
        <v>12</v>
      </c>
      <c r="H75" s="1" t="s">
        <v>13</v>
      </c>
      <c r="I75" s="1" t="s">
        <v>14</v>
      </c>
      <c r="J75" s="14">
        <v>0.56892361111111112</v>
      </c>
      <c r="K75" s="15">
        <v>45514</v>
      </c>
      <c r="L75" s="15"/>
      <c r="M75" s="2">
        <v>0.34499999999999997</v>
      </c>
      <c r="O75" s="2">
        <f t="shared" si="13"/>
        <v>0.27999999999999997</v>
      </c>
      <c r="P75" s="2">
        <f t="shared" si="14"/>
        <v>41.693900889453623</v>
      </c>
      <c r="Q75" s="2">
        <f t="shared" si="15"/>
        <v>0.20075000000000021</v>
      </c>
      <c r="R75" s="2">
        <f t="shared" si="16"/>
        <v>0.20854066073697605</v>
      </c>
      <c r="S75" s="2">
        <f t="shared" si="17"/>
        <v>-7.7906607369758463E-3</v>
      </c>
    </row>
    <row r="76" spans="2:19" x14ac:dyDescent="0.25">
      <c r="B76" s="1">
        <f t="shared" si="18"/>
        <v>70</v>
      </c>
      <c r="C76" s="1">
        <v>170</v>
      </c>
      <c r="D76" s="13">
        <v>40.1</v>
      </c>
      <c r="E76" s="1" t="s">
        <v>11</v>
      </c>
      <c r="F76" s="2">
        <v>0.42</v>
      </c>
      <c r="G76" s="1" t="s">
        <v>12</v>
      </c>
      <c r="H76" s="1" t="s">
        <v>13</v>
      </c>
      <c r="I76" s="1" t="s">
        <v>14</v>
      </c>
      <c r="J76" s="14">
        <v>0.56892361111111112</v>
      </c>
      <c r="K76" s="15">
        <v>45514</v>
      </c>
      <c r="L76" s="15"/>
      <c r="M76" s="2">
        <v>0.35</v>
      </c>
      <c r="O76" s="2">
        <f t="shared" si="13"/>
        <v>0.28499999999999998</v>
      </c>
      <c r="P76" s="2">
        <f t="shared" si="14"/>
        <v>41.722363405336722</v>
      </c>
      <c r="Q76" s="2">
        <f t="shared" si="15"/>
        <v>0.20025000000000015</v>
      </c>
      <c r="R76" s="2">
        <f t="shared" si="16"/>
        <v>0.20868297331639152</v>
      </c>
      <c r="S76" s="2">
        <f t="shared" si="17"/>
        <v>-8.4329733163913678E-3</v>
      </c>
    </row>
    <row r="77" spans="2:19" x14ac:dyDescent="0.25">
      <c r="B77" s="1">
        <f t="shared" si="18"/>
        <v>71</v>
      </c>
      <c r="C77" s="1">
        <v>172</v>
      </c>
      <c r="D77" s="13">
        <v>40</v>
      </c>
      <c r="E77" s="1" t="s">
        <v>11</v>
      </c>
      <c r="F77" s="2">
        <v>0.42499999999999999</v>
      </c>
      <c r="G77" s="1" t="s">
        <v>12</v>
      </c>
      <c r="H77" s="1" t="s">
        <v>13</v>
      </c>
      <c r="I77" s="1" t="s">
        <v>14</v>
      </c>
      <c r="J77" s="14">
        <v>0.56892361111111112</v>
      </c>
      <c r="K77" s="15">
        <v>45514</v>
      </c>
      <c r="L77" s="15"/>
      <c r="M77" s="2">
        <v>0.35499999999999998</v>
      </c>
      <c r="O77" s="2">
        <f t="shared" si="13"/>
        <v>0.28999999999999998</v>
      </c>
      <c r="P77" s="2">
        <f t="shared" si="14"/>
        <v>41.750825921219821</v>
      </c>
      <c r="Q77" s="2">
        <f t="shared" si="15"/>
        <v>0.20000000000000018</v>
      </c>
      <c r="R77" s="2">
        <f t="shared" si="16"/>
        <v>0.20882528589580707</v>
      </c>
      <c r="S77" s="2">
        <f t="shared" si="17"/>
        <v>-8.8252858958068892E-3</v>
      </c>
    </row>
    <row r="78" spans="2:19" x14ac:dyDescent="0.25">
      <c r="B78" s="1">
        <f t="shared" si="18"/>
        <v>72</v>
      </c>
      <c r="C78" s="1">
        <v>174</v>
      </c>
      <c r="D78" s="13">
        <v>40</v>
      </c>
      <c r="E78" s="1" t="s">
        <v>11</v>
      </c>
      <c r="F78" s="2">
        <v>0.43</v>
      </c>
      <c r="G78" s="1" t="s">
        <v>12</v>
      </c>
      <c r="H78" s="1" t="s">
        <v>13</v>
      </c>
      <c r="I78" s="1" t="s">
        <v>14</v>
      </c>
      <c r="J78" s="14">
        <v>0.56892361111111112</v>
      </c>
      <c r="K78" s="15">
        <v>45514</v>
      </c>
      <c r="L78" s="15"/>
      <c r="M78" s="2">
        <v>0.36</v>
      </c>
      <c r="O78" s="2">
        <f t="shared" si="13"/>
        <v>0.29499999999999998</v>
      </c>
      <c r="P78" s="2">
        <f t="shared" si="14"/>
        <v>41.77928843710292</v>
      </c>
      <c r="Q78" s="2">
        <f t="shared" si="15"/>
        <v>0.20000000000000018</v>
      </c>
      <c r="R78" s="2">
        <f t="shared" si="16"/>
        <v>0.20896759847522256</v>
      </c>
      <c r="S78" s="2">
        <f t="shared" si="17"/>
        <v>-8.9675984752223825E-3</v>
      </c>
    </row>
    <row r="79" spans="2:19" x14ac:dyDescent="0.25">
      <c r="B79" s="1">
        <f t="shared" si="18"/>
        <v>73</v>
      </c>
      <c r="C79" s="1">
        <v>177</v>
      </c>
      <c r="D79" s="13">
        <v>40</v>
      </c>
      <c r="E79" s="1" t="s">
        <v>11</v>
      </c>
      <c r="F79" s="2">
        <v>0.435</v>
      </c>
      <c r="G79" s="1" t="s">
        <v>12</v>
      </c>
      <c r="H79" s="1" t="s">
        <v>13</v>
      </c>
      <c r="I79" s="1" t="s">
        <v>14</v>
      </c>
      <c r="J79" s="14">
        <v>0.56893518518518515</v>
      </c>
      <c r="K79" s="15">
        <v>45514</v>
      </c>
      <c r="L79" s="15"/>
      <c r="M79" s="2">
        <v>0.36499999999999999</v>
      </c>
      <c r="O79" s="2">
        <f t="shared" si="13"/>
        <v>0.3</v>
      </c>
      <c r="P79" s="2">
        <f t="shared" si="14"/>
        <v>41.807750952986027</v>
      </c>
      <c r="Q79" s="2">
        <f t="shared" si="15"/>
        <v>0.20000000000000018</v>
      </c>
      <c r="R79" s="2">
        <f t="shared" si="16"/>
        <v>0.20910991105463805</v>
      </c>
      <c r="S79" s="2">
        <f t="shared" si="17"/>
        <v>-9.1099110546378759E-3</v>
      </c>
    </row>
    <row r="80" spans="2:19" x14ac:dyDescent="0.25">
      <c r="B80" s="1">
        <f t="shared" si="18"/>
        <v>74</v>
      </c>
      <c r="C80" s="1">
        <v>179</v>
      </c>
      <c r="D80" s="13">
        <v>40</v>
      </c>
      <c r="E80" s="1" t="s">
        <v>11</v>
      </c>
      <c r="F80" s="2">
        <v>0.44</v>
      </c>
      <c r="G80" s="1" t="s">
        <v>12</v>
      </c>
      <c r="H80" s="1" t="s">
        <v>13</v>
      </c>
      <c r="I80" s="1" t="s">
        <v>14</v>
      </c>
      <c r="J80" s="14">
        <v>0.56893518518518515</v>
      </c>
      <c r="K80" s="15">
        <v>45514</v>
      </c>
      <c r="L80" s="15"/>
      <c r="M80" s="2">
        <v>0.37</v>
      </c>
      <c r="O80" s="2">
        <f t="shared" si="13"/>
        <v>0.30499999999999999</v>
      </c>
      <c r="P80" s="2">
        <f t="shared" si="14"/>
        <v>41.836213468869126</v>
      </c>
      <c r="Q80" s="2">
        <f t="shared" si="15"/>
        <v>0.20000000000000018</v>
      </c>
      <c r="R80" s="2">
        <f t="shared" si="16"/>
        <v>0.20925222363405357</v>
      </c>
      <c r="S80" s="2">
        <f t="shared" si="17"/>
        <v>-9.252223634053397E-3</v>
      </c>
    </row>
    <row r="81" spans="2:19" x14ac:dyDescent="0.25">
      <c r="B81" s="1">
        <f t="shared" si="18"/>
        <v>75</v>
      </c>
      <c r="C81" s="1">
        <v>180</v>
      </c>
      <c r="D81" s="13">
        <v>40</v>
      </c>
      <c r="E81" s="1" t="s">
        <v>11</v>
      </c>
      <c r="F81" s="2">
        <v>0.44500000000000001</v>
      </c>
      <c r="G81" s="1" t="s">
        <v>12</v>
      </c>
      <c r="H81" s="1" t="s">
        <v>13</v>
      </c>
      <c r="I81" s="1" t="s">
        <v>14</v>
      </c>
      <c r="J81" s="14">
        <v>0.56893518518518515</v>
      </c>
      <c r="K81" s="15">
        <v>45514</v>
      </c>
      <c r="L81" s="15"/>
      <c r="M81" s="2">
        <v>0.375</v>
      </c>
      <c r="O81" s="2">
        <f t="shared" si="13"/>
        <v>0.31</v>
      </c>
      <c r="P81" s="2">
        <f t="shared" si="14"/>
        <v>41.864675984752225</v>
      </c>
      <c r="Q81" s="2">
        <f t="shared" si="15"/>
        <v>0.20000000000000018</v>
      </c>
      <c r="R81" s="2">
        <f t="shared" si="16"/>
        <v>0.20939453621346904</v>
      </c>
      <c r="S81" s="2">
        <f t="shared" si="17"/>
        <v>-9.3945362134688626E-3</v>
      </c>
    </row>
    <row r="82" spans="2:19" x14ac:dyDescent="0.25">
      <c r="B82" s="1">
        <f t="shared" si="18"/>
        <v>76</v>
      </c>
      <c r="C82" s="1">
        <v>182</v>
      </c>
      <c r="D82" s="13">
        <v>40</v>
      </c>
      <c r="E82" s="1" t="s">
        <v>11</v>
      </c>
      <c r="F82" s="2">
        <v>0.45</v>
      </c>
      <c r="G82" s="1" t="s">
        <v>12</v>
      </c>
      <c r="H82" s="1" t="s">
        <v>13</v>
      </c>
      <c r="I82" s="1" t="s">
        <v>14</v>
      </c>
      <c r="J82" s="14">
        <v>0.56893518518518515</v>
      </c>
      <c r="K82" s="15">
        <v>45514</v>
      </c>
      <c r="L82" s="15"/>
      <c r="M82" s="2">
        <v>0.38</v>
      </c>
      <c r="O82" s="2">
        <f t="shared" si="13"/>
        <v>0.315</v>
      </c>
      <c r="P82" s="2">
        <f t="shared" si="14"/>
        <v>41.893138500635324</v>
      </c>
      <c r="Q82" s="2">
        <f t="shared" si="15"/>
        <v>0.20000000000000018</v>
      </c>
      <c r="R82" s="2">
        <f t="shared" si="16"/>
        <v>0.20953684879288456</v>
      </c>
      <c r="S82" s="2">
        <f t="shared" si="17"/>
        <v>-9.5368487928843837E-3</v>
      </c>
    </row>
    <row r="83" spans="2:19" x14ac:dyDescent="0.25">
      <c r="B83" s="1">
        <f t="shared" si="18"/>
        <v>77</v>
      </c>
      <c r="C83" s="1">
        <v>183</v>
      </c>
      <c r="D83" s="13">
        <v>40</v>
      </c>
      <c r="E83" s="1" t="s">
        <v>11</v>
      </c>
      <c r="F83" s="2">
        <v>0.45500000000000002</v>
      </c>
      <c r="G83" s="1" t="s">
        <v>12</v>
      </c>
      <c r="H83" s="1" t="s">
        <v>13</v>
      </c>
      <c r="I83" s="1" t="s">
        <v>14</v>
      </c>
      <c r="J83" s="14">
        <v>0.56893518518518515</v>
      </c>
      <c r="K83" s="15">
        <v>45514</v>
      </c>
      <c r="L83" s="15"/>
      <c r="M83" s="2">
        <v>0.38500000000000001</v>
      </c>
      <c r="O83" s="2">
        <f t="shared" si="13"/>
        <v>0.32</v>
      </c>
      <c r="P83" s="2">
        <f t="shared" si="14"/>
        <v>41.921601016518423</v>
      </c>
      <c r="Q83" s="2">
        <f t="shared" si="15"/>
        <v>0.20050000000000018</v>
      </c>
      <c r="R83" s="2">
        <f t="shared" si="16"/>
        <v>0.20967916137230005</v>
      </c>
      <c r="S83" s="2">
        <f t="shared" si="17"/>
        <v>-9.1791613722998766E-3</v>
      </c>
    </row>
    <row r="84" spans="2:19" x14ac:dyDescent="0.25">
      <c r="B84" s="1">
        <f t="shared" si="18"/>
        <v>78</v>
      </c>
      <c r="C84" s="1">
        <v>184</v>
      </c>
      <c r="D84" s="13">
        <v>40.200000000000003</v>
      </c>
      <c r="E84" s="1" t="s">
        <v>11</v>
      </c>
      <c r="F84" s="2">
        <v>0.46</v>
      </c>
      <c r="G84" s="1" t="s">
        <v>12</v>
      </c>
      <c r="H84" s="1" t="s">
        <v>13</v>
      </c>
      <c r="I84" s="1" t="s">
        <v>14</v>
      </c>
      <c r="J84" s="14">
        <v>0.56893518518518515</v>
      </c>
      <c r="K84" s="15">
        <v>45514</v>
      </c>
      <c r="L84" s="15"/>
      <c r="M84" s="2">
        <v>0.39</v>
      </c>
      <c r="O84" s="2">
        <f t="shared" si="13"/>
        <v>0.32500000000000001</v>
      </c>
      <c r="P84" s="2">
        <f t="shared" si="14"/>
        <v>41.950063532401529</v>
      </c>
      <c r="Q84" s="2">
        <f t="shared" si="15"/>
        <v>0.20100000000000021</v>
      </c>
      <c r="R84" s="2">
        <f t="shared" si="16"/>
        <v>0.20982147395171558</v>
      </c>
      <c r="S84" s="2">
        <f t="shared" si="17"/>
        <v>-8.8214739517153695E-3</v>
      </c>
    </row>
    <row r="85" spans="2:19" x14ac:dyDescent="0.25">
      <c r="B85" s="1">
        <f t="shared" si="18"/>
        <v>79</v>
      </c>
      <c r="C85" s="1">
        <v>185</v>
      </c>
      <c r="D85" s="13">
        <v>40.200000000000003</v>
      </c>
      <c r="E85" s="1" t="s">
        <v>11</v>
      </c>
      <c r="F85" s="2">
        <v>0.46500000000000002</v>
      </c>
      <c r="G85" s="1" t="s">
        <v>12</v>
      </c>
      <c r="H85" s="1" t="s">
        <v>13</v>
      </c>
      <c r="I85" s="1" t="s">
        <v>14</v>
      </c>
      <c r="J85" s="14">
        <v>0.56893518518518515</v>
      </c>
      <c r="K85" s="15">
        <v>45514</v>
      </c>
      <c r="L85" s="15"/>
      <c r="M85" s="2">
        <v>0.39500000000000002</v>
      </c>
      <c r="O85" s="2">
        <f t="shared" si="13"/>
        <v>0.33</v>
      </c>
      <c r="P85" s="2">
        <f t="shared" si="14"/>
        <v>41.978526048284628</v>
      </c>
      <c r="Q85" s="2">
        <f t="shared" si="15"/>
        <v>0.20125000000000018</v>
      </c>
      <c r="R85" s="2">
        <f t="shared" si="16"/>
        <v>0.2099637865311311</v>
      </c>
      <c r="S85" s="2">
        <f t="shared" si="17"/>
        <v>-8.7137865311309182E-3</v>
      </c>
    </row>
    <row r="86" spans="2:19" x14ac:dyDescent="0.25">
      <c r="B86" s="1">
        <f t="shared" si="18"/>
        <v>80</v>
      </c>
      <c r="C86" s="1">
        <v>187</v>
      </c>
      <c r="D86" s="13">
        <v>40.299999999999997</v>
      </c>
      <c r="E86" s="1" t="s">
        <v>11</v>
      </c>
      <c r="F86" s="2">
        <v>0.47</v>
      </c>
      <c r="G86" s="1" t="s">
        <v>12</v>
      </c>
      <c r="H86" s="1" t="s">
        <v>13</v>
      </c>
      <c r="I86" s="1" t="s">
        <v>14</v>
      </c>
      <c r="J86" s="14">
        <v>0.5689467592592593</v>
      </c>
      <c r="K86" s="15">
        <v>45514</v>
      </c>
      <c r="L86" s="15"/>
      <c r="M86" s="2">
        <v>0.4</v>
      </c>
      <c r="O86" s="2">
        <f t="shared" si="13"/>
        <v>0.33500000000000002</v>
      </c>
      <c r="P86" s="2">
        <f t="shared" si="14"/>
        <v>42.006988564167727</v>
      </c>
      <c r="Q86" s="2">
        <f t="shared" si="15"/>
        <v>0.20150000000000015</v>
      </c>
      <c r="R86" s="2">
        <f t="shared" si="16"/>
        <v>0.21010609911054656</v>
      </c>
      <c r="S86" s="2">
        <f t="shared" si="17"/>
        <v>-8.6060991105464113E-3</v>
      </c>
    </row>
    <row r="87" spans="2:19" x14ac:dyDescent="0.25">
      <c r="B87" s="1">
        <f t="shared" si="18"/>
        <v>81</v>
      </c>
      <c r="C87" s="1">
        <v>188</v>
      </c>
      <c r="D87" s="13">
        <v>40.299999999999997</v>
      </c>
      <c r="E87" s="1" t="s">
        <v>11</v>
      </c>
      <c r="F87" s="2">
        <v>0.47499999999999998</v>
      </c>
      <c r="G87" s="1" t="s">
        <v>12</v>
      </c>
      <c r="H87" s="1" t="s">
        <v>13</v>
      </c>
      <c r="I87" s="1" t="s">
        <v>14</v>
      </c>
      <c r="J87" s="14">
        <v>0.5689467592592593</v>
      </c>
      <c r="K87" s="15">
        <v>45514</v>
      </c>
      <c r="L87" s="15"/>
      <c r="M87" s="2">
        <v>0.40500000000000003</v>
      </c>
      <c r="O87" s="2">
        <f t="shared" si="13"/>
        <v>0.34</v>
      </c>
      <c r="P87" s="2">
        <f t="shared" si="14"/>
        <v>42.035451080050827</v>
      </c>
      <c r="Q87" s="2">
        <f t="shared" si="15"/>
        <v>0.20149999999999793</v>
      </c>
      <c r="R87" s="2">
        <f t="shared" si="16"/>
        <v>0.21024841168995975</v>
      </c>
      <c r="S87" s="2">
        <f t="shared" si="17"/>
        <v>-8.7484116899618214E-3</v>
      </c>
    </row>
    <row r="88" spans="2:19" x14ac:dyDescent="0.25">
      <c r="B88" s="1">
        <f t="shared" si="18"/>
        <v>82</v>
      </c>
      <c r="C88" s="1">
        <v>190</v>
      </c>
      <c r="D88" s="13">
        <v>40.299999999999997</v>
      </c>
      <c r="E88" s="1" t="s">
        <v>11</v>
      </c>
      <c r="F88" s="2">
        <v>0.48</v>
      </c>
      <c r="G88" s="1" t="s">
        <v>12</v>
      </c>
      <c r="H88" s="1" t="s">
        <v>13</v>
      </c>
      <c r="I88" s="1" t="s">
        <v>14</v>
      </c>
      <c r="J88" s="14">
        <v>0.5689467592592593</v>
      </c>
      <c r="K88" s="15">
        <v>45514</v>
      </c>
      <c r="L88" s="15"/>
      <c r="M88" s="2">
        <v>0.41</v>
      </c>
      <c r="O88" s="2">
        <f t="shared" si="13"/>
        <v>0.34499999999999997</v>
      </c>
      <c r="P88" s="2">
        <f t="shared" si="14"/>
        <v>42.063913595933926</v>
      </c>
      <c r="Q88" s="2">
        <f t="shared" si="15"/>
        <v>0.20150000000000015</v>
      </c>
      <c r="R88" s="2">
        <f t="shared" si="16"/>
        <v>0.21039072426937755</v>
      </c>
      <c r="S88" s="2">
        <f t="shared" si="17"/>
        <v>-8.890724269377398E-3</v>
      </c>
    </row>
    <row r="89" spans="2:19" x14ac:dyDescent="0.25">
      <c r="B89" s="1">
        <f t="shared" si="18"/>
        <v>83</v>
      </c>
      <c r="C89" s="1">
        <v>191</v>
      </c>
      <c r="D89" s="13">
        <v>40.299999999999997</v>
      </c>
      <c r="E89" s="1" t="s">
        <v>11</v>
      </c>
      <c r="F89" s="2">
        <v>0.48499999999999999</v>
      </c>
      <c r="G89" s="1" t="s">
        <v>12</v>
      </c>
      <c r="H89" s="1" t="s">
        <v>13</v>
      </c>
      <c r="I89" s="1" t="s">
        <v>14</v>
      </c>
      <c r="J89" s="14">
        <v>0.5689467592592593</v>
      </c>
      <c r="K89" s="15">
        <v>45514</v>
      </c>
      <c r="L89" s="15"/>
      <c r="M89" s="2">
        <v>0.41499999999999998</v>
      </c>
      <c r="O89" s="2">
        <f t="shared" si="13"/>
        <v>0.35</v>
      </c>
      <c r="P89" s="2">
        <f t="shared" si="14"/>
        <v>42.092376111817025</v>
      </c>
      <c r="Q89" s="2">
        <f t="shared" si="15"/>
        <v>0.20150000000000015</v>
      </c>
      <c r="R89" s="2">
        <f t="shared" si="16"/>
        <v>0.21053303684879307</v>
      </c>
      <c r="S89" s="2">
        <f t="shared" si="17"/>
        <v>-9.0330368487929191E-3</v>
      </c>
    </row>
    <row r="90" spans="2:19" x14ac:dyDescent="0.25">
      <c r="B90" s="1">
        <f t="shared" si="18"/>
        <v>84</v>
      </c>
      <c r="C90" s="1">
        <v>193</v>
      </c>
      <c r="D90" s="13">
        <v>40.299999999999997</v>
      </c>
      <c r="E90" s="1" t="s">
        <v>11</v>
      </c>
      <c r="F90" s="2">
        <v>0.49</v>
      </c>
      <c r="G90" s="1" t="s">
        <v>12</v>
      </c>
      <c r="H90" s="1" t="s">
        <v>13</v>
      </c>
      <c r="I90" s="1" t="s">
        <v>14</v>
      </c>
      <c r="J90" s="14">
        <v>0.5689467592592593</v>
      </c>
      <c r="K90" s="15">
        <v>45514</v>
      </c>
      <c r="L90" s="15"/>
      <c r="M90" s="2">
        <v>0.42</v>
      </c>
      <c r="O90" s="2">
        <f t="shared" si="13"/>
        <v>0.35499999999999998</v>
      </c>
      <c r="P90" s="2">
        <f t="shared" si="14"/>
        <v>42.120838627700131</v>
      </c>
      <c r="Q90" s="2">
        <f t="shared" si="15"/>
        <v>0.20150000000000015</v>
      </c>
      <c r="R90" s="2">
        <f t="shared" si="16"/>
        <v>0.21067534942820862</v>
      </c>
      <c r="S90" s="2">
        <f t="shared" si="17"/>
        <v>-9.175349428208468E-3</v>
      </c>
    </row>
    <row r="91" spans="2:19" x14ac:dyDescent="0.25">
      <c r="B91" s="1">
        <f t="shared" si="18"/>
        <v>85</v>
      </c>
      <c r="C91" s="1">
        <v>194</v>
      </c>
      <c r="D91" s="13">
        <v>40.299999999999997</v>
      </c>
      <c r="E91" s="1" t="s">
        <v>11</v>
      </c>
      <c r="F91" s="2">
        <v>0.495</v>
      </c>
      <c r="G91" s="1" t="s">
        <v>12</v>
      </c>
      <c r="H91" s="1" t="s">
        <v>13</v>
      </c>
      <c r="I91" s="1" t="s">
        <v>14</v>
      </c>
      <c r="J91" s="14">
        <v>0.5689467592592593</v>
      </c>
      <c r="K91" s="15">
        <v>45514</v>
      </c>
      <c r="L91" s="15"/>
      <c r="M91" s="2">
        <v>0.42499999999999999</v>
      </c>
      <c r="O91" s="2">
        <f t="shared" si="13"/>
        <v>0.36</v>
      </c>
      <c r="P91" s="2">
        <f t="shared" si="14"/>
        <v>42.14930114358323</v>
      </c>
      <c r="Q91" s="2">
        <f t="shared" si="15"/>
        <v>0.20075000000000018</v>
      </c>
      <c r="R91" s="2">
        <f t="shared" si="16"/>
        <v>0.21081766200762406</v>
      </c>
      <c r="S91" s="2">
        <f t="shared" si="17"/>
        <v>-1.0067662007623879E-2</v>
      </c>
    </row>
    <row r="92" spans="2:19" x14ac:dyDescent="0.25">
      <c r="B92" s="1">
        <f t="shared" si="18"/>
        <v>86</v>
      </c>
      <c r="C92" s="1">
        <v>196</v>
      </c>
      <c r="D92" s="13">
        <v>40</v>
      </c>
      <c r="E92" s="1" t="s">
        <v>11</v>
      </c>
      <c r="F92" s="2">
        <v>0.5</v>
      </c>
      <c r="G92" s="1" t="s">
        <v>12</v>
      </c>
      <c r="H92" s="1" t="s">
        <v>13</v>
      </c>
      <c r="I92" s="1" t="s">
        <v>14</v>
      </c>
      <c r="J92" s="14">
        <v>0.56895833333333334</v>
      </c>
      <c r="K92" s="15">
        <v>45514</v>
      </c>
      <c r="L92" s="15"/>
      <c r="M92" s="2">
        <v>0.43</v>
      </c>
      <c r="O92" s="2">
        <f t="shared" si="13"/>
        <v>0.36499999999999999</v>
      </c>
      <c r="P92" s="2">
        <f t="shared" si="14"/>
        <v>42.177763659466329</v>
      </c>
      <c r="Q92" s="2">
        <f t="shared" si="15"/>
        <v>0.20000000000000018</v>
      </c>
      <c r="R92" s="2">
        <f t="shared" si="16"/>
        <v>0.21095997458703961</v>
      </c>
      <c r="S92" s="2">
        <f t="shared" si="17"/>
        <v>-1.0959974587039428E-2</v>
      </c>
    </row>
    <row r="93" spans="2:19" x14ac:dyDescent="0.25">
      <c r="B93" s="1">
        <f t="shared" si="18"/>
        <v>87</v>
      </c>
      <c r="C93" s="1">
        <v>197</v>
      </c>
      <c r="D93" s="13">
        <v>40</v>
      </c>
      <c r="E93" s="1" t="s">
        <v>11</v>
      </c>
      <c r="F93" s="2">
        <v>0.505</v>
      </c>
      <c r="G93" s="1" t="s">
        <v>12</v>
      </c>
      <c r="H93" s="1" t="s">
        <v>13</v>
      </c>
      <c r="I93" s="1" t="s">
        <v>14</v>
      </c>
      <c r="J93" s="14">
        <v>0.56895833333333334</v>
      </c>
      <c r="K93" s="15">
        <v>45514</v>
      </c>
      <c r="L93" s="15"/>
      <c r="M93" s="2">
        <v>0.435</v>
      </c>
      <c r="O93" s="2">
        <f t="shared" si="13"/>
        <v>0.37</v>
      </c>
      <c r="P93" s="2">
        <f t="shared" si="14"/>
        <v>42.206226175349428</v>
      </c>
      <c r="Q93" s="2">
        <f t="shared" si="15"/>
        <v>0.20000000000000018</v>
      </c>
      <c r="R93" s="2">
        <f t="shared" si="16"/>
        <v>0.21110228716645507</v>
      </c>
      <c r="S93" s="2">
        <f t="shared" si="17"/>
        <v>-1.1102287166454894E-2</v>
      </c>
    </row>
    <row r="94" spans="2:19" x14ac:dyDescent="0.25">
      <c r="B94" s="1">
        <f t="shared" si="18"/>
        <v>88</v>
      </c>
      <c r="C94" s="1">
        <v>198</v>
      </c>
      <c r="D94" s="13">
        <v>40</v>
      </c>
      <c r="E94" s="1" t="s">
        <v>11</v>
      </c>
      <c r="F94" s="2">
        <v>0.51</v>
      </c>
      <c r="G94" s="1" t="s">
        <v>12</v>
      </c>
      <c r="H94" s="1" t="s">
        <v>13</v>
      </c>
      <c r="I94" s="1" t="s">
        <v>14</v>
      </c>
      <c r="J94" s="14">
        <v>0.56895833333333334</v>
      </c>
      <c r="K94" s="15">
        <v>45514</v>
      </c>
      <c r="L94" s="15"/>
      <c r="M94" s="2">
        <v>0.44</v>
      </c>
      <c r="O94" s="2">
        <f t="shared" si="13"/>
        <v>0.375</v>
      </c>
      <c r="P94" s="2">
        <f t="shared" si="14"/>
        <v>42.234688691232527</v>
      </c>
      <c r="Q94" s="2">
        <f t="shared" si="15"/>
        <v>0.20000000000000018</v>
      </c>
      <c r="R94" s="2">
        <f t="shared" si="16"/>
        <v>0.21124459974587059</v>
      </c>
      <c r="S94" s="2">
        <f t="shared" si="17"/>
        <v>-1.1244599745870415E-2</v>
      </c>
    </row>
    <row r="95" spans="2:19" x14ac:dyDescent="0.25">
      <c r="B95" s="1">
        <f t="shared" si="18"/>
        <v>89</v>
      </c>
      <c r="C95" s="1">
        <v>200</v>
      </c>
      <c r="D95" s="13">
        <v>40</v>
      </c>
      <c r="E95" s="1" t="s">
        <v>11</v>
      </c>
      <c r="F95" s="2">
        <v>0.51500000000000001</v>
      </c>
      <c r="G95" s="1" t="s">
        <v>12</v>
      </c>
      <c r="H95" s="1" t="s">
        <v>13</v>
      </c>
      <c r="I95" s="1" t="s">
        <v>14</v>
      </c>
      <c r="J95" s="14">
        <v>0.56895833333333334</v>
      </c>
      <c r="K95" s="15">
        <v>45514</v>
      </c>
      <c r="L95" s="15"/>
      <c r="M95" s="2">
        <v>0.44500000000000001</v>
      </c>
      <c r="O95" s="2">
        <f t="shared" si="13"/>
        <v>0.38</v>
      </c>
      <c r="P95" s="2">
        <f t="shared" si="14"/>
        <v>42.263151207115634</v>
      </c>
      <c r="Q95" s="2">
        <f t="shared" si="15"/>
        <v>0.20025000000000015</v>
      </c>
      <c r="R95" s="2">
        <f t="shared" si="16"/>
        <v>0.21138691232528611</v>
      </c>
      <c r="S95" s="2">
        <f t="shared" si="17"/>
        <v>-1.1136912325285964E-2</v>
      </c>
    </row>
    <row r="96" spans="2:19" x14ac:dyDescent="0.25">
      <c r="B96" s="1">
        <f t="shared" si="18"/>
        <v>90</v>
      </c>
      <c r="C96" s="1">
        <v>201</v>
      </c>
      <c r="D96" s="13">
        <v>40.1</v>
      </c>
      <c r="E96" s="1" t="s">
        <v>11</v>
      </c>
      <c r="F96" s="2">
        <v>0.52</v>
      </c>
      <c r="G96" s="1" t="s">
        <v>12</v>
      </c>
      <c r="H96" s="1" t="s">
        <v>13</v>
      </c>
      <c r="I96" s="1" t="s">
        <v>14</v>
      </c>
      <c r="J96" s="14">
        <v>0.56895833333333334</v>
      </c>
      <c r="K96" s="15">
        <v>45514</v>
      </c>
      <c r="L96" s="15"/>
      <c r="M96" s="2">
        <v>0.45</v>
      </c>
      <c r="O96" s="2">
        <f t="shared" si="13"/>
        <v>0.38500000000000001</v>
      </c>
      <c r="P96" s="2">
        <f t="shared" si="14"/>
        <v>42.291613722998733</v>
      </c>
      <c r="Q96" s="2">
        <f t="shared" si="15"/>
        <v>0.20075000000000021</v>
      </c>
      <c r="R96" s="2">
        <f t="shared" si="16"/>
        <v>0.21152922490470158</v>
      </c>
      <c r="S96" s="2">
        <f t="shared" si="17"/>
        <v>-1.0779224904701373E-2</v>
      </c>
    </row>
    <row r="97" spans="2:19" x14ac:dyDescent="0.25">
      <c r="B97" s="1">
        <f t="shared" si="18"/>
        <v>91</v>
      </c>
      <c r="C97" s="1">
        <v>203</v>
      </c>
      <c r="D97" s="13">
        <v>40.200000000000003</v>
      </c>
      <c r="E97" s="1" t="s">
        <v>11</v>
      </c>
      <c r="F97" s="2">
        <v>0.52500000000000002</v>
      </c>
      <c r="G97" s="1" t="s">
        <v>12</v>
      </c>
      <c r="H97" s="1" t="s">
        <v>13</v>
      </c>
      <c r="I97" s="1" t="s">
        <v>14</v>
      </c>
      <c r="J97" s="14">
        <v>0.56895833333333334</v>
      </c>
      <c r="K97" s="15">
        <v>45514</v>
      </c>
      <c r="L97" s="15"/>
      <c r="M97" s="2">
        <v>0.45500000000000002</v>
      </c>
      <c r="O97" s="2">
        <f t="shared" si="13"/>
        <v>0.39</v>
      </c>
      <c r="P97" s="2">
        <f t="shared" si="14"/>
        <v>42.320076238881832</v>
      </c>
      <c r="Q97" s="2">
        <f t="shared" si="15"/>
        <v>0.20150000000000015</v>
      </c>
      <c r="R97" s="2">
        <f t="shared" si="16"/>
        <v>0.2116715374841171</v>
      </c>
      <c r="S97" s="2">
        <f t="shared" si="17"/>
        <v>-1.0171537484116949E-2</v>
      </c>
    </row>
    <row r="98" spans="2:19" x14ac:dyDescent="0.25">
      <c r="B98" s="1">
        <f t="shared" si="18"/>
        <v>92</v>
      </c>
      <c r="C98" s="1">
        <v>205</v>
      </c>
      <c r="D98" s="13">
        <v>40.4</v>
      </c>
      <c r="E98" s="1" t="s">
        <v>11</v>
      </c>
      <c r="F98" s="2">
        <v>0.53</v>
      </c>
      <c r="G98" s="1" t="s">
        <v>12</v>
      </c>
      <c r="H98" s="1" t="s">
        <v>13</v>
      </c>
      <c r="I98" s="1" t="s">
        <v>14</v>
      </c>
      <c r="J98" s="14">
        <v>0.56895833333333334</v>
      </c>
      <c r="K98" s="15">
        <v>45514</v>
      </c>
      <c r="L98" s="15"/>
      <c r="M98" s="2">
        <v>0.46</v>
      </c>
      <c r="O98" s="2">
        <f t="shared" si="13"/>
        <v>0.39500000000000002</v>
      </c>
      <c r="P98" s="2">
        <f t="shared" si="14"/>
        <v>42.348538754764931</v>
      </c>
      <c r="Q98" s="2">
        <f t="shared" si="15"/>
        <v>0.20200000000000018</v>
      </c>
      <c r="R98" s="2">
        <f t="shared" si="16"/>
        <v>0.21181385006353257</v>
      </c>
      <c r="S98" s="2">
        <f t="shared" si="17"/>
        <v>-9.8138500635323866E-3</v>
      </c>
    </row>
    <row r="99" spans="2:19" x14ac:dyDescent="0.25">
      <c r="B99" s="1">
        <f t="shared" si="18"/>
        <v>93</v>
      </c>
      <c r="C99" s="1">
        <v>207</v>
      </c>
      <c r="D99" s="13">
        <v>40.4</v>
      </c>
      <c r="E99" s="1" t="s">
        <v>11</v>
      </c>
      <c r="F99" s="2">
        <v>0.53500000000000003</v>
      </c>
      <c r="G99" s="1" t="s">
        <v>12</v>
      </c>
      <c r="H99" s="1" t="s">
        <v>13</v>
      </c>
      <c r="I99" s="1" t="s">
        <v>14</v>
      </c>
      <c r="J99" s="14">
        <v>0.56896990740740738</v>
      </c>
      <c r="K99" s="15">
        <v>45514</v>
      </c>
      <c r="L99" s="15"/>
      <c r="M99" s="2">
        <v>0.46500000000000002</v>
      </c>
      <c r="O99" s="2">
        <f t="shared" si="13"/>
        <v>0.4</v>
      </c>
      <c r="P99" s="2">
        <f t="shared" si="14"/>
        <v>42.37700127064803</v>
      </c>
      <c r="Q99" s="2">
        <f t="shared" si="15"/>
        <v>0.20224999999999796</v>
      </c>
      <c r="R99" s="2">
        <f t="shared" si="16"/>
        <v>0.21195616264294576</v>
      </c>
      <c r="S99" s="2">
        <f t="shared" si="17"/>
        <v>-9.7061626429477965E-3</v>
      </c>
    </row>
    <row r="100" spans="2:19" x14ac:dyDescent="0.25">
      <c r="B100" s="1">
        <f t="shared" si="18"/>
        <v>94</v>
      </c>
      <c r="C100" s="1">
        <v>209</v>
      </c>
      <c r="D100" s="13">
        <v>40.5</v>
      </c>
      <c r="E100" s="1" t="s">
        <v>11</v>
      </c>
      <c r="F100" s="2">
        <v>0.54</v>
      </c>
      <c r="G100" s="1" t="s">
        <v>12</v>
      </c>
      <c r="H100" s="1" t="s">
        <v>13</v>
      </c>
      <c r="I100" s="1" t="s">
        <v>14</v>
      </c>
      <c r="J100" s="14">
        <v>0.56896990740740738</v>
      </c>
      <c r="K100" s="15">
        <v>45514</v>
      </c>
      <c r="L100" s="15"/>
      <c r="M100" s="2">
        <v>0.47</v>
      </c>
      <c r="O100" s="2">
        <f t="shared" si="13"/>
        <v>0.40499999999999997</v>
      </c>
      <c r="P100" s="2">
        <f t="shared" si="14"/>
        <v>42.405463786531129</v>
      </c>
      <c r="Q100" s="2">
        <f t="shared" si="15"/>
        <v>0.20300000000000018</v>
      </c>
      <c r="R100" s="2">
        <f t="shared" si="16"/>
        <v>0.21209847522236361</v>
      </c>
      <c r="S100" s="2">
        <f t="shared" si="17"/>
        <v>-9.098475222363428E-3</v>
      </c>
    </row>
    <row r="101" spans="2:19" x14ac:dyDescent="0.25">
      <c r="B101" s="1">
        <f t="shared" si="18"/>
        <v>95</v>
      </c>
      <c r="C101" s="1">
        <v>212</v>
      </c>
      <c r="D101" s="13">
        <v>40.700000000000003</v>
      </c>
      <c r="E101" s="1" t="s">
        <v>11</v>
      </c>
      <c r="F101" s="2">
        <v>0.54500000000000004</v>
      </c>
      <c r="G101" s="1" t="s">
        <v>12</v>
      </c>
      <c r="H101" s="1" t="s">
        <v>13</v>
      </c>
      <c r="I101" s="1" t="s">
        <v>14</v>
      </c>
      <c r="J101" s="14">
        <v>0.56896990740740738</v>
      </c>
      <c r="K101" s="15">
        <v>45514</v>
      </c>
      <c r="L101" s="15"/>
      <c r="M101" s="2">
        <v>0.47499999999999998</v>
      </c>
      <c r="O101" s="2">
        <f t="shared" si="13"/>
        <v>0.41</v>
      </c>
      <c r="P101" s="2">
        <f t="shared" si="14"/>
        <v>42.433926302414235</v>
      </c>
      <c r="Q101" s="2">
        <f t="shared" si="15"/>
        <v>0.20400000000000015</v>
      </c>
      <c r="R101" s="2">
        <f t="shared" si="16"/>
        <v>0.2122407878017791</v>
      </c>
      <c r="S101" s="2">
        <f t="shared" si="17"/>
        <v>-8.2407878017789482E-3</v>
      </c>
    </row>
    <row r="102" spans="2:19" x14ac:dyDescent="0.25">
      <c r="B102" s="1">
        <f t="shared" si="18"/>
        <v>96</v>
      </c>
      <c r="C102" s="1">
        <v>214</v>
      </c>
      <c r="D102" s="13">
        <v>40.9</v>
      </c>
      <c r="E102" s="1" t="s">
        <v>11</v>
      </c>
      <c r="F102" s="2">
        <v>0.55000000000000004</v>
      </c>
      <c r="G102" s="1" t="s">
        <v>12</v>
      </c>
      <c r="H102" s="1" t="s">
        <v>13</v>
      </c>
      <c r="I102" s="1" t="s">
        <v>14</v>
      </c>
      <c r="J102" s="14">
        <v>0.56896990740740738</v>
      </c>
      <c r="K102" s="15">
        <v>45514</v>
      </c>
      <c r="L102" s="15"/>
      <c r="M102" s="2">
        <v>0.48</v>
      </c>
      <c r="O102" s="2">
        <f t="shared" si="13"/>
        <v>0.41499999999999998</v>
      </c>
      <c r="P102" s="2">
        <f t="shared" si="14"/>
        <v>42.462388818297335</v>
      </c>
      <c r="Q102" s="2">
        <f t="shared" si="15"/>
        <v>0.20425000000000015</v>
      </c>
      <c r="R102" s="2">
        <f t="shared" si="16"/>
        <v>0.21238310038119462</v>
      </c>
      <c r="S102" s="2">
        <f t="shared" si="17"/>
        <v>-8.1331003811944691E-3</v>
      </c>
    </row>
    <row r="103" spans="2:19" x14ac:dyDescent="0.25">
      <c r="B103" s="1">
        <f t="shared" si="18"/>
        <v>97</v>
      </c>
      <c r="C103" s="1">
        <v>216</v>
      </c>
      <c r="D103" s="13">
        <v>40.799999999999997</v>
      </c>
      <c r="E103" s="1" t="s">
        <v>11</v>
      </c>
      <c r="F103" s="2">
        <v>0.55500000000000005</v>
      </c>
      <c r="G103" s="1" t="s">
        <v>12</v>
      </c>
      <c r="H103" s="1" t="s">
        <v>13</v>
      </c>
      <c r="I103" s="1" t="s">
        <v>14</v>
      </c>
      <c r="J103" s="14">
        <v>0.56898148148148153</v>
      </c>
      <c r="K103" s="15">
        <v>45514</v>
      </c>
      <c r="L103" s="15"/>
      <c r="M103" s="2">
        <v>0.48499999999999999</v>
      </c>
      <c r="O103" s="2">
        <f t="shared" si="13"/>
        <v>0.42</v>
      </c>
      <c r="P103" s="2">
        <f t="shared" si="14"/>
        <v>42.490851334180434</v>
      </c>
      <c r="Q103" s="2">
        <f t="shared" si="15"/>
        <v>0.20350000000000021</v>
      </c>
      <c r="R103" s="2">
        <f t="shared" si="16"/>
        <v>0.21252541296061009</v>
      </c>
      <c r="S103" s="2">
        <f t="shared" si="17"/>
        <v>-9.0254129606098799E-3</v>
      </c>
    </row>
    <row r="104" spans="2:19" x14ac:dyDescent="0.25">
      <c r="B104" s="1">
        <f t="shared" si="18"/>
        <v>98</v>
      </c>
      <c r="C104" s="1">
        <v>218</v>
      </c>
      <c r="D104" s="13">
        <v>40.6</v>
      </c>
      <c r="E104" s="1" t="s">
        <v>11</v>
      </c>
      <c r="F104" s="2">
        <v>0.56000000000000005</v>
      </c>
      <c r="G104" s="1" t="s">
        <v>12</v>
      </c>
      <c r="H104" s="1" t="s">
        <v>13</v>
      </c>
      <c r="I104" s="1" t="s">
        <v>14</v>
      </c>
      <c r="J104" s="14">
        <v>0.56898148148148153</v>
      </c>
      <c r="K104" s="15">
        <v>45514</v>
      </c>
      <c r="L104" s="15"/>
      <c r="M104" s="2">
        <v>0.49</v>
      </c>
      <c r="O104" s="2">
        <f t="shared" si="13"/>
        <v>0.42499999999999999</v>
      </c>
      <c r="P104" s="2">
        <f t="shared" si="14"/>
        <v>42.519313850063533</v>
      </c>
      <c r="Q104" s="2">
        <f t="shared" si="15"/>
        <v>0.20275000000000015</v>
      </c>
      <c r="R104" s="2">
        <f t="shared" si="16"/>
        <v>0.21266772554002561</v>
      </c>
      <c r="S104" s="2">
        <f t="shared" si="17"/>
        <v>-9.9177255400254571E-3</v>
      </c>
    </row>
    <row r="105" spans="2:19" x14ac:dyDescent="0.25">
      <c r="B105" s="1">
        <f t="shared" si="18"/>
        <v>99</v>
      </c>
      <c r="C105" s="1">
        <v>220</v>
      </c>
      <c r="D105" s="13">
        <v>40.5</v>
      </c>
      <c r="E105" s="1" t="s">
        <v>11</v>
      </c>
      <c r="F105" s="2">
        <v>0.56499999999999995</v>
      </c>
      <c r="G105" s="1" t="s">
        <v>12</v>
      </c>
      <c r="H105" s="1" t="s">
        <v>13</v>
      </c>
      <c r="I105" s="1" t="s">
        <v>14</v>
      </c>
      <c r="J105" s="14">
        <v>0.56898148148148153</v>
      </c>
      <c r="K105" s="15">
        <v>45514</v>
      </c>
      <c r="L105" s="15"/>
      <c r="M105" s="2">
        <v>0.495</v>
      </c>
      <c r="O105" s="2">
        <f t="shared" si="13"/>
        <v>0.43</v>
      </c>
      <c r="P105" s="2">
        <f t="shared" si="14"/>
        <v>42.547776365946632</v>
      </c>
      <c r="Q105" s="2">
        <f t="shared" si="15"/>
        <v>0.20300000000000018</v>
      </c>
      <c r="R105" s="2">
        <f t="shared" si="16"/>
        <v>0.2128100381194411</v>
      </c>
      <c r="S105" s="2">
        <f t="shared" si="17"/>
        <v>-9.8100381194409225E-3</v>
      </c>
    </row>
    <row r="106" spans="2:19" x14ac:dyDescent="0.25">
      <c r="B106" s="1">
        <f t="shared" si="18"/>
        <v>100</v>
      </c>
      <c r="C106" s="1">
        <v>221</v>
      </c>
      <c r="D106" s="13">
        <v>40.700000000000003</v>
      </c>
      <c r="E106" s="1" t="s">
        <v>11</v>
      </c>
      <c r="F106" s="2">
        <v>0.56999999999999995</v>
      </c>
      <c r="G106" s="1" t="s">
        <v>12</v>
      </c>
      <c r="H106" s="1" t="s">
        <v>13</v>
      </c>
      <c r="I106" s="1" t="s">
        <v>14</v>
      </c>
      <c r="J106" s="14">
        <v>0.56898148148148153</v>
      </c>
      <c r="K106" s="15">
        <v>45514</v>
      </c>
      <c r="L106" s="15"/>
      <c r="M106" s="2">
        <v>0.5</v>
      </c>
      <c r="O106" s="2">
        <f t="shared" si="13"/>
        <v>0.435</v>
      </c>
      <c r="P106" s="2">
        <f t="shared" si="14"/>
        <v>42.576238881829738</v>
      </c>
      <c r="Q106" s="2">
        <f t="shared" si="15"/>
        <v>0.20375000000000018</v>
      </c>
      <c r="R106" s="2">
        <f t="shared" si="16"/>
        <v>0.2129523506988566</v>
      </c>
      <c r="S106" s="2">
        <f t="shared" si="17"/>
        <v>-9.2023506988564152E-3</v>
      </c>
    </row>
    <row r="107" spans="2:19" x14ac:dyDescent="0.25">
      <c r="B107" s="1">
        <f t="shared" si="18"/>
        <v>101</v>
      </c>
      <c r="C107" s="1">
        <v>222</v>
      </c>
      <c r="D107" s="13">
        <v>40.799999999999997</v>
      </c>
      <c r="E107" s="1" t="s">
        <v>11</v>
      </c>
      <c r="F107" s="2">
        <v>0.57499999999999996</v>
      </c>
      <c r="G107" s="1" t="s">
        <v>12</v>
      </c>
      <c r="H107" s="1" t="s">
        <v>13</v>
      </c>
      <c r="I107" s="1" t="s">
        <v>14</v>
      </c>
      <c r="J107" s="14">
        <v>0.56898148148148153</v>
      </c>
      <c r="K107" s="15">
        <v>45514</v>
      </c>
      <c r="L107" s="15"/>
      <c r="M107" s="2">
        <v>0.505</v>
      </c>
      <c r="O107" s="2">
        <f t="shared" si="13"/>
        <v>0.44</v>
      </c>
      <c r="P107" s="2">
        <f t="shared" si="14"/>
        <v>42.604701397712837</v>
      </c>
      <c r="Q107" s="2">
        <f t="shared" si="15"/>
        <v>0.20450000000000018</v>
      </c>
      <c r="R107" s="2">
        <f t="shared" si="16"/>
        <v>0.21309466327827215</v>
      </c>
      <c r="S107" s="2">
        <f t="shared" si="17"/>
        <v>-8.5946632782719634E-3</v>
      </c>
    </row>
    <row r="108" spans="2:19" x14ac:dyDescent="0.25">
      <c r="B108" s="1">
        <f t="shared" si="18"/>
        <v>102</v>
      </c>
      <c r="C108" s="1">
        <v>224</v>
      </c>
      <c r="D108" s="13">
        <v>41</v>
      </c>
      <c r="E108" s="1" t="s">
        <v>11</v>
      </c>
      <c r="F108" s="2">
        <v>0.57999999999999996</v>
      </c>
      <c r="G108" s="1" t="s">
        <v>12</v>
      </c>
      <c r="H108" s="1" t="s">
        <v>13</v>
      </c>
      <c r="I108" s="1" t="s">
        <v>14</v>
      </c>
      <c r="J108" s="14">
        <v>0.56898148148148153</v>
      </c>
      <c r="K108" s="15">
        <v>45514</v>
      </c>
      <c r="L108" s="15"/>
      <c r="M108" s="2">
        <v>0.51</v>
      </c>
      <c r="O108" s="2">
        <f t="shared" si="13"/>
        <v>0.44500000000000001</v>
      </c>
      <c r="P108" s="2">
        <f t="shared" si="14"/>
        <v>42.633163913595936</v>
      </c>
      <c r="Q108" s="2">
        <f t="shared" si="15"/>
        <v>0.20500000000000018</v>
      </c>
      <c r="R108" s="2">
        <f t="shared" si="16"/>
        <v>0.21323697585768761</v>
      </c>
      <c r="S108" s="2">
        <f t="shared" si="17"/>
        <v>-8.2369758576874286E-3</v>
      </c>
    </row>
    <row r="109" spans="2:19" x14ac:dyDescent="0.25">
      <c r="B109" s="1">
        <f t="shared" si="18"/>
        <v>103</v>
      </c>
      <c r="C109" s="1">
        <v>225</v>
      </c>
      <c r="D109" s="13">
        <v>41</v>
      </c>
      <c r="E109" s="1" t="s">
        <v>11</v>
      </c>
      <c r="F109" s="2">
        <v>0.58499999999999996</v>
      </c>
      <c r="G109" s="1" t="s">
        <v>12</v>
      </c>
      <c r="H109" s="1" t="s">
        <v>13</v>
      </c>
      <c r="I109" s="1" t="s">
        <v>14</v>
      </c>
      <c r="J109" s="14">
        <v>0.56898148148148153</v>
      </c>
      <c r="K109" s="15">
        <v>45514</v>
      </c>
      <c r="L109" s="15"/>
      <c r="M109" s="2">
        <v>0.51500000000000001</v>
      </c>
      <c r="O109" s="2">
        <f t="shared" si="13"/>
        <v>0.45</v>
      </c>
      <c r="P109" s="2">
        <f t="shared" si="14"/>
        <v>42.661626429479035</v>
      </c>
      <c r="Q109" s="2">
        <f t="shared" si="15"/>
        <v>0.20450000000000018</v>
      </c>
      <c r="R109" s="2">
        <f t="shared" si="16"/>
        <v>0.21337928843710313</v>
      </c>
      <c r="S109" s="2">
        <f t="shared" si="17"/>
        <v>-8.8792884371029501E-3</v>
      </c>
    </row>
    <row r="110" spans="2:19" x14ac:dyDescent="0.25">
      <c r="B110" s="1">
        <f t="shared" si="18"/>
        <v>104</v>
      </c>
      <c r="C110" s="1">
        <v>226</v>
      </c>
      <c r="D110" s="13">
        <v>40.799999999999997</v>
      </c>
      <c r="E110" s="1" t="s">
        <v>11</v>
      </c>
      <c r="F110" s="2">
        <v>0.59</v>
      </c>
      <c r="G110" s="1" t="s">
        <v>12</v>
      </c>
      <c r="H110" s="1" t="s">
        <v>13</v>
      </c>
      <c r="I110" s="1" t="s">
        <v>14</v>
      </c>
      <c r="J110" s="14">
        <v>0.56899305555555557</v>
      </c>
      <c r="K110" s="15">
        <v>45514</v>
      </c>
      <c r="L110" s="15"/>
      <c r="M110" s="2">
        <v>0.52</v>
      </c>
      <c r="O110" s="2">
        <f t="shared" si="13"/>
        <v>0.45500000000000002</v>
      </c>
      <c r="P110" s="2">
        <f t="shared" si="14"/>
        <v>42.690088945362135</v>
      </c>
      <c r="Q110" s="2">
        <f t="shared" si="15"/>
        <v>0.20375000000000018</v>
      </c>
      <c r="R110" s="2">
        <f t="shared" si="16"/>
        <v>0.2135216010165186</v>
      </c>
      <c r="S110" s="2">
        <f t="shared" si="17"/>
        <v>-9.7716010165184164E-3</v>
      </c>
    </row>
    <row r="111" spans="2:19" x14ac:dyDescent="0.25">
      <c r="B111" s="1">
        <f t="shared" si="18"/>
        <v>105</v>
      </c>
      <c r="C111" s="1">
        <v>228</v>
      </c>
      <c r="D111" s="13">
        <v>40.700000000000003</v>
      </c>
      <c r="E111" s="1" t="s">
        <v>11</v>
      </c>
      <c r="F111" s="2">
        <v>0.59499999999999997</v>
      </c>
      <c r="G111" s="1" t="s">
        <v>12</v>
      </c>
      <c r="H111" s="1" t="s">
        <v>13</v>
      </c>
      <c r="I111" s="1" t="s">
        <v>14</v>
      </c>
      <c r="J111" s="14">
        <v>0.56899305555555557</v>
      </c>
      <c r="K111" s="15">
        <v>45514</v>
      </c>
      <c r="L111" s="15"/>
      <c r="M111" s="2">
        <v>0.52500000000000002</v>
      </c>
      <c r="O111" s="2">
        <f t="shared" si="13"/>
        <v>0.46</v>
      </c>
      <c r="P111" s="2">
        <f t="shared" si="14"/>
        <v>42.718551461245234</v>
      </c>
      <c r="Q111" s="2">
        <f t="shared" si="15"/>
        <v>0.20325000000000021</v>
      </c>
      <c r="R111" s="2">
        <f t="shared" si="16"/>
        <v>0.21366391359593412</v>
      </c>
      <c r="S111" s="2">
        <f t="shared" si="17"/>
        <v>-1.041391359593391E-2</v>
      </c>
    </row>
    <row r="112" spans="2:19" x14ac:dyDescent="0.25">
      <c r="B112" s="1">
        <f t="shared" si="18"/>
        <v>106</v>
      </c>
      <c r="C112" s="1">
        <v>229</v>
      </c>
      <c r="D112" s="13">
        <v>40.6</v>
      </c>
      <c r="E112" s="1" t="s">
        <v>11</v>
      </c>
      <c r="F112" s="2">
        <v>0.6</v>
      </c>
      <c r="G112" s="1" t="s">
        <v>12</v>
      </c>
      <c r="H112" s="1" t="s">
        <v>13</v>
      </c>
      <c r="I112" s="1" t="s">
        <v>14</v>
      </c>
      <c r="J112" s="14">
        <v>0.56899305555555557</v>
      </c>
      <c r="K112" s="15">
        <v>45514</v>
      </c>
      <c r="L112" s="15"/>
      <c r="M112" s="2">
        <v>0.53</v>
      </c>
      <c r="O112" s="2">
        <f t="shared" si="13"/>
        <v>0.46500000000000002</v>
      </c>
      <c r="P112" s="2">
        <f t="shared" si="14"/>
        <v>42.74701397712834</v>
      </c>
      <c r="Q112" s="2">
        <f t="shared" si="15"/>
        <v>0.20325000000000021</v>
      </c>
      <c r="R112" s="2">
        <f t="shared" si="16"/>
        <v>0.21380622617534967</v>
      </c>
      <c r="S112" s="2">
        <f t="shared" si="17"/>
        <v>-1.0556226175349459E-2</v>
      </c>
    </row>
    <row r="113" spans="2:19" x14ac:dyDescent="0.25">
      <c r="B113" s="1">
        <f t="shared" si="18"/>
        <v>107</v>
      </c>
      <c r="C113" s="1">
        <v>231</v>
      </c>
      <c r="D113" s="13">
        <v>40.700000000000003</v>
      </c>
      <c r="E113" s="1" t="s">
        <v>11</v>
      </c>
      <c r="F113" s="2">
        <v>0.60499999999999998</v>
      </c>
      <c r="G113" s="1" t="s">
        <v>12</v>
      </c>
      <c r="H113" s="1" t="s">
        <v>13</v>
      </c>
      <c r="I113" s="1" t="s">
        <v>14</v>
      </c>
      <c r="J113" s="14">
        <v>0.56899305555555557</v>
      </c>
      <c r="K113" s="15">
        <v>45514</v>
      </c>
      <c r="L113" s="15"/>
      <c r="M113" s="2">
        <v>0.53500000000000003</v>
      </c>
      <c r="O113" s="2">
        <f t="shared" si="13"/>
        <v>0.47000000000000003</v>
      </c>
      <c r="P113" s="2">
        <f t="shared" si="14"/>
        <v>42.775476493011439</v>
      </c>
      <c r="Q113" s="2">
        <f t="shared" si="15"/>
        <v>0.20375000000000018</v>
      </c>
      <c r="R113" s="2">
        <f t="shared" si="16"/>
        <v>0.21394853875476511</v>
      </c>
      <c r="S113" s="2">
        <f t="shared" si="17"/>
        <v>-1.0198538754764924E-2</v>
      </c>
    </row>
    <row r="114" spans="2:19" x14ac:dyDescent="0.25">
      <c r="B114" s="1">
        <f t="shared" si="18"/>
        <v>108</v>
      </c>
      <c r="C114" s="1">
        <v>232</v>
      </c>
      <c r="D114" s="13">
        <v>40.799999999999997</v>
      </c>
      <c r="E114" s="1" t="s">
        <v>11</v>
      </c>
      <c r="F114" s="2">
        <v>0.61</v>
      </c>
      <c r="G114" s="1" t="s">
        <v>12</v>
      </c>
      <c r="H114" s="1" t="s">
        <v>13</v>
      </c>
      <c r="I114" s="1" t="s">
        <v>14</v>
      </c>
      <c r="J114" s="14">
        <v>0.56899305555555557</v>
      </c>
      <c r="K114" s="15">
        <v>45514</v>
      </c>
      <c r="L114" s="15"/>
      <c r="M114" s="2">
        <v>0.54</v>
      </c>
      <c r="O114" s="2">
        <f t="shared" si="13"/>
        <v>0.47500000000000003</v>
      </c>
      <c r="P114" s="2">
        <f t="shared" si="14"/>
        <v>42.803939008894538</v>
      </c>
      <c r="Q114" s="2">
        <f t="shared" si="15"/>
        <v>0.20400000000000015</v>
      </c>
      <c r="R114" s="2">
        <f t="shared" si="16"/>
        <v>0.21409085133418065</v>
      </c>
      <c r="S114" s="2">
        <f t="shared" si="17"/>
        <v>-1.0090851334180501E-2</v>
      </c>
    </row>
    <row r="115" spans="2:19" x14ac:dyDescent="0.25">
      <c r="B115" s="1">
        <f t="shared" si="18"/>
        <v>109</v>
      </c>
      <c r="C115" s="1">
        <v>233</v>
      </c>
      <c r="D115" s="13">
        <v>40.799999999999997</v>
      </c>
      <c r="E115" s="1" t="s">
        <v>11</v>
      </c>
      <c r="F115" s="2">
        <v>0.61499999999999999</v>
      </c>
      <c r="G115" s="1" t="s">
        <v>12</v>
      </c>
      <c r="H115" s="1" t="s">
        <v>13</v>
      </c>
      <c r="I115" s="1" t="s">
        <v>14</v>
      </c>
      <c r="J115" s="14">
        <v>0.56899305555555557</v>
      </c>
      <c r="K115" s="15">
        <v>45514</v>
      </c>
      <c r="L115" s="15"/>
      <c r="M115" s="2">
        <v>0.54500000000000004</v>
      </c>
      <c r="O115" s="2">
        <f t="shared" si="13"/>
        <v>0.48000000000000004</v>
      </c>
      <c r="P115" s="2">
        <f t="shared" si="14"/>
        <v>42.832401524777637</v>
      </c>
      <c r="Q115" s="2">
        <f t="shared" si="15"/>
        <v>0.20450000000000018</v>
      </c>
      <c r="R115" s="2">
        <f t="shared" si="16"/>
        <v>0.21423316391359612</v>
      </c>
      <c r="S115" s="2">
        <f t="shared" si="17"/>
        <v>-9.733163913595938E-3</v>
      </c>
    </row>
    <row r="116" spans="2:19" x14ac:dyDescent="0.25">
      <c r="B116" s="1">
        <f t="shared" si="18"/>
        <v>110</v>
      </c>
      <c r="C116" s="1">
        <v>234</v>
      </c>
      <c r="D116" s="13">
        <v>41</v>
      </c>
      <c r="E116" s="1" t="s">
        <v>11</v>
      </c>
      <c r="F116" s="2">
        <v>0.62</v>
      </c>
      <c r="G116" s="1" t="s">
        <v>12</v>
      </c>
      <c r="H116" s="1" t="s">
        <v>13</v>
      </c>
      <c r="I116" s="1" t="s">
        <v>14</v>
      </c>
      <c r="J116" s="14">
        <v>0.56899305555555557</v>
      </c>
      <c r="K116" s="15">
        <v>45514</v>
      </c>
      <c r="L116" s="15"/>
      <c r="M116" s="2">
        <v>0.55000000000000004</v>
      </c>
      <c r="O116" s="2">
        <f t="shared" si="13"/>
        <v>0.48500000000000004</v>
      </c>
      <c r="P116" s="2">
        <f t="shared" si="14"/>
        <v>42.860864040660736</v>
      </c>
      <c r="Q116" s="2">
        <f t="shared" si="15"/>
        <v>0.20550000000000018</v>
      </c>
      <c r="R116" s="2">
        <f t="shared" si="16"/>
        <v>0.21437547649301164</v>
      </c>
      <c r="S116" s="2">
        <f t="shared" si="17"/>
        <v>-8.8754764930114582E-3</v>
      </c>
    </row>
    <row r="117" spans="2:19" x14ac:dyDescent="0.25">
      <c r="B117" s="1">
        <f t="shared" si="18"/>
        <v>111</v>
      </c>
      <c r="C117" s="1">
        <v>235</v>
      </c>
      <c r="D117" s="13">
        <v>41.2</v>
      </c>
      <c r="E117" s="1" t="s">
        <v>11</v>
      </c>
      <c r="F117" s="2">
        <v>0.625</v>
      </c>
      <c r="G117" s="1" t="s">
        <v>12</v>
      </c>
      <c r="H117" s="1" t="s">
        <v>13</v>
      </c>
      <c r="I117" s="1" t="s">
        <v>14</v>
      </c>
      <c r="J117" s="14">
        <v>0.56899305555555557</v>
      </c>
      <c r="K117" s="15">
        <v>45514</v>
      </c>
      <c r="L117" s="15"/>
      <c r="M117" s="2">
        <v>0.55500000000000005</v>
      </c>
      <c r="O117" s="2">
        <f t="shared" si="13"/>
        <v>0.49000000000000005</v>
      </c>
      <c r="P117" s="2">
        <f t="shared" si="14"/>
        <v>42.889326556543836</v>
      </c>
      <c r="Q117" s="2">
        <f t="shared" si="15"/>
        <v>0.20575000000000021</v>
      </c>
      <c r="R117" s="2">
        <f t="shared" si="16"/>
        <v>0.21451778907242713</v>
      </c>
      <c r="S117" s="2">
        <f t="shared" si="17"/>
        <v>-8.7677890724269236E-3</v>
      </c>
    </row>
    <row r="118" spans="2:19" x14ac:dyDescent="0.25">
      <c r="B118" s="1">
        <f t="shared" si="18"/>
        <v>112</v>
      </c>
      <c r="C118" s="1">
        <v>236</v>
      </c>
      <c r="D118" s="13">
        <v>41.1</v>
      </c>
      <c r="E118" s="1" t="s">
        <v>11</v>
      </c>
      <c r="F118" s="2">
        <v>0.63</v>
      </c>
      <c r="G118" s="1" t="s">
        <v>12</v>
      </c>
      <c r="H118" s="1" t="s">
        <v>13</v>
      </c>
      <c r="I118" s="1" t="s">
        <v>14</v>
      </c>
      <c r="J118" s="14">
        <v>0.56900462962962961</v>
      </c>
      <c r="K118" s="15">
        <v>45514</v>
      </c>
      <c r="L118" s="15"/>
      <c r="M118" s="2">
        <v>0.56000000000000005</v>
      </c>
      <c r="O118" s="2">
        <f t="shared" si="13"/>
        <v>0.49500000000000005</v>
      </c>
      <c r="P118" s="2">
        <f t="shared" si="14"/>
        <v>42.917789072426942</v>
      </c>
      <c r="Q118" s="2">
        <f t="shared" si="15"/>
        <v>0.2052499999999956</v>
      </c>
      <c r="R118" s="2">
        <f t="shared" si="16"/>
        <v>0.21466010165183785</v>
      </c>
      <c r="S118" s="2">
        <f t="shared" si="17"/>
        <v>-9.4101016518422509E-3</v>
      </c>
    </row>
    <row r="119" spans="2:19" x14ac:dyDescent="0.25">
      <c r="B119" s="1">
        <f t="shared" si="18"/>
        <v>113</v>
      </c>
      <c r="C119" s="1">
        <v>237</v>
      </c>
      <c r="D119" s="13">
        <v>41</v>
      </c>
      <c r="E119" s="1" t="s">
        <v>11</v>
      </c>
      <c r="F119" s="2">
        <v>0.63500000000000001</v>
      </c>
      <c r="G119" s="1" t="s">
        <v>12</v>
      </c>
      <c r="H119" s="1" t="s">
        <v>13</v>
      </c>
      <c r="I119" s="1" t="s">
        <v>14</v>
      </c>
      <c r="J119" s="14">
        <v>0.56900462962962961</v>
      </c>
      <c r="K119" s="15">
        <v>45514</v>
      </c>
      <c r="L119" s="15"/>
      <c r="M119" s="2">
        <v>0.56499999999999995</v>
      </c>
      <c r="O119" s="2">
        <f t="shared" si="13"/>
        <v>0.49999999999999994</v>
      </c>
      <c r="P119" s="2">
        <f t="shared" si="14"/>
        <v>42.946251588310041</v>
      </c>
      <c r="Q119" s="2">
        <f t="shared" si="15"/>
        <v>0.20475000000000021</v>
      </c>
      <c r="R119" s="2">
        <f t="shared" si="16"/>
        <v>0.21480241423125579</v>
      </c>
      <c r="S119" s="2">
        <f t="shared" si="17"/>
        <v>-1.005241423125558E-2</v>
      </c>
    </row>
    <row r="120" spans="2:19" x14ac:dyDescent="0.25">
      <c r="B120" s="1">
        <f t="shared" si="18"/>
        <v>114</v>
      </c>
      <c r="C120" s="1">
        <v>238</v>
      </c>
      <c r="D120" s="13">
        <v>40.9</v>
      </c>
      <c r="E120" s="1" t="s">
        <v>11</v>
      </c>
      <c r="F120" s="2">
        <v>0.64</v>
      </c>
      <c r="G120" s="1" t="s">
        <v>12</v>
      </c>
      <c r="H120" s="1" t="s">
        <v>13</v>
      </c>
      <c r="I120" s="1" t="s">
        <v>14</v>
      </c>
      <c r="J120" s="14">
        <v>0.56900462962962961</v>
      </c>
      <c r="K120" s="15">
        <v>45514</v>
      </c>
      <c r="L120" s="15"/>
      <c r="M120" s="2">
        <v>0.56999999999999995</v>
      </c>
      <c r="O120" s="2">
        <f t="shared" si="13"/>
        <v>0.50499999999999989</v>
      </c>
      <c r="P120" s="2">
        <f t="shared" si="14"/>
        <v>42.97471410419314</v>
      </c>
      <c r="Q120" s="2">
        <f t="shared" si="15"/>
        <v>0.20450000000000018</v>
      </c>
      <c r="R120" s="2">
        <f t="shared" si="16"/>
        <v>0.21494472681067839</v>
      </c>
      <c r="S120" s="2">
        <f t="shared" si="17"/>
        <v>-1.0444726810678207E-2</v>
      </c>
    </row>
    <row r="121" spans="2:19" x14ac:dyDescent="0.25">
      <c r="B121" s="1">
        <f t="shared" si="18"/>
        <v>115</v>
      </c>
      <c r="C121" s="1">
        <v>239</v>
      </c>
      <c r="D121" s="13">
        <v>40.9</v>
      </c>
      <c r="E121" s="1" t="s">
        <v>11</v>
      </c>
      <c r="F121" s="2">
        <v>0.64500000000000002</v>
      </c>
      <c r="G121" s="1" t="s">
        <v>12</v>
      </c>
      <c r="H121" s="1" t="s">
        <v>13</v>
      </c>
      <c r="I121" s="1" t="s">
        <v>14</v>
      </c>
      <c r="J121" s="14">
        <v>0.56900462962962961</v>
      </c>
      <c r="K121" s="15">
        <v>45514</v>
      </c>
      <c r="L121" s="15"/>
      <c r="M121" s="2">
        <v>0.57499999999999996</v>
      </c>
      <c r="O121" s="2">
        <f t="shared" si="13"/>
        <v>0.51</v>
      </c>
      <c r="P121" s="2">
        <f t="shared" si="14"/>
        <v>43.003176620076239</v>
      </c>
      <c r="Q121" s="2">
        <f t="shared" si="15"/>
        <v>0.20425000000000015</v>
      </c>
      <c r="R121" s="2">
        <f t="shared" si="16"/>
        <v>0.21508703939008439</v>
      </c>
      <c r="S121" s="2">
        <f t="shared" si="17"/>
        <v>-1.0837039390084235E-2</v>
      </c>
    </row>
    <row r="122" spans="2:19" x14ac:dyDescent="0.25">
      <c r="B122" s="1">
        <f t="shared" si="18"/>
        <v>116</v>
      </c>
      <c r="C122" s="1">
        <v>241</v>
      </c>
      <c r="D122" s="13">
        <v>40.799999999999997</v>
      </c>
      <c r="E122" s="1" t="s">
        <v>11</v>
      </c>
      <c r="F122" s="2">
        <v>0.65</v>
      </c>
      <c r="G122" s="1" t="s">
        <v>12</v>
      </c>
      <c r="H122" s="1" t="s">
        <v>13</v>
      </c>
      <c r="I122" s="1" t="s">
        <v>14</v>
      </c>
      <c r="J122" s="14">
        <v>0.56900462962962961</v>
      </c>
      <c r="K122" s="15">
        <v>45514</v>
      </c>
      <c r="L122" s="15"/>
      <c r="M122" s="2">
        <v>0.57999999999999996</v>
      </c>
      <c r="O122" s="2">
        <f t="shared" si="13"/>
        <v>0.5149999999999999</v>
      </c>
      <c r="P122" s="2">
        <f t="shared" si="14"/>
        <v>43.031639135959338</v>
      </c>
      <c r="Q122" s="2">
        <f t="shared" si="15"/>
        <v>0.20400000000000015</v>
      </c>
      <c r="R122" s="2">
        <f t="shared" si="16"/>
        <v>0.21522935196950943</v>
      </c>
      <c r="S122" s="2">
        <f t="shared" si="17"/>
        <v>-1.1229351969509277E-2</v>
      </c>
    </row>
    <row r="123" spans="2:19" x14ac:dyDescent="0.25">
      <c r="B123" s="1">
        <f t="shared" si="18"/>
        <v>117</v>
      </c>
      <c r="C123" s="1">
        <v>242</v>
      </c>
      <c r="D123" s="13">
        <v>40.799999999999997</v>
      </c>
      <c r="E123" s="1" t="s">
        <v>11</v>
      </c>
      <c r="F123" s="2">
        <v>0.65500000000000003</v>
      </c>
      <c r="G123" s="1" t="s">
        <v>12</v>
      </c>
      <c r="H123" s="1" t="s">
        <v>13</v>
      </c>
      <c r="I123" s="1" t="s">
        <v>14</v>
      </c>
      <c r="J123" s="14">
        <v>0.56900462962962961</v>
      </c>
      <c r="K123" s="15">
        <v>45514</v>
      </c>
      <c r="L123" s="15"/>
      <c r="M123" s="2">
        <v>0.58499999999999996</v>
      </c>
      <c r="O123" s="2">
        <f t="shared" si="13"/>
        <v>0.52</v>
      </c>
      <c r="P123" s="2">
        <f t="shared" si="14"/>
        <v>43.060101651842444</v>
      </c>
      <c r="Q123" s="2">
        <f t="shared" si="15"/>
        <v>0.20450000000000018</v>
      </c>
      <c r="R123" s="2">
        <f t="shared" si="16"/>
        <v>0.21537166454891535</v>
      </c>
      <c r="S123" s="2">
        <f t="shared" si="17"/>
        <v>-1.0871664548915166E-2</v>
      </c>
    </row>
    <row r="124" spans="2:19" x14ac:dyDescent="0.25">
      <c r="B124" s="1">
        <f t="shared" si="18"/>
        <v>118</v>
      </c>
      <c r="C124" s="1">
        <v>244</v>
      </c>
      <c r="D124" s="13">
        <v>41</v>
      </c>
      <c r="E124" s="1" t="s">
        <v>11</v>
      </c>
      <c r="F124" s="2">
        <v>0.66</v>
      </c>
      <c r="G124" s="1" t="s">
        <v>12</v>
      </c>
      <c r="H124" s="1" t="s">
        <v>13</v>
      </c>
      <c r="I124" s="1" t="s">
        <v>14</v>
      </c>
      <c r="J124" s="14">
        <v>0.56900462962962961</v>
      </c>
      <c r="K124" s="15">
        <v>45514</v>
      </c>
      <c r="L124" s="15"/>
      <c r="M124" s="2">
        <v>0.59</v>
      </c>
      <c r="O124" s="2">
        <f t="shared" si="13"/>
        <v>0.52499999999999991</v>
      </c>
      <c r="P124" s="2">
        <f t="shared" si="14"/>
        <v>43.088564167725544</v>
      </c>
      <c r="Q124" s="2">
        <f t="shared" si="15"/>
        <v>0.20525000000000015</v>
      </c>
      <c r="R124" s="2">
        <f t="shared" si="16"/>
        <v>0.21551397712834047</v>
      </c>
      <c r="S124" s="2">
        <f t="shared" si="17"/>
        <v>-1.0263977128340318E-2</v>
      </c>
    </row>
    <row r="125" spans="2:19" x14ac:dyDescent="0.25">
      <c r="B125" s="1">
        <f t="shared" si="18"/>
        <v>119</v>
      </c>
      <c r="C125" s="1">
        <v>245</v>
      </c>
      <c r="D125" s="13">
        <v>41.1</v>
      </c>
      <c r="E125" s="1" t="s">
        <v>11</v>
      </c>
      <c r="F125" s="2">
        <v>0.66500000000000004</v>
      </c>
      <c r="G125" s="1" t="s">
        <v>12</v>
      </c>
      <c r="H125" s="1" t="s">
        <v>13</v>
      </c>
      <c r="I125" s="1" t="s">
        <v>14</v>
      </c>
      <c r="J125" s="14">
        <v>0.56900462962962961</v>
      </c>
      <c r="K125" s="15">
        <v>45514</v>
      </c>
      <c r="L125" s="15"/>
      <c r="M125" s="2">
        <v>0.59499999999999997</v>
      </c>
      <c r="O125" s="2">
        <f t="shared" si="13"/>
        <v>0.53</v>
      </c>
      <c r="P125" s="2">
        <f t="shared" si="14"/>
        <v>43.117026683608643</v>
      </c>
      <c r="Q125" s="2">
        <f t="shared" si="15"/>
        <v>0.20525000000000015</v>
      </c>
      <c r="R125" s="2">
        <f t="shared" si="16"/>
        <v>0.21565628970774633</v>
      </c>
      <c r="S125" s="2">
        <f t="shared" si="17"/>
        <v>-1.040628970774618E-2</v>
      </c>
    </row>
    <row r="126" spans="2:19" x14ac:dyDescent="0.25">
      <c r="B126" s="1">
        <f t="shared" si="18"/>
        <v>120</v>
      </c>
      <c r="C126" s="1">
        <v>246</v>
      </c>
      <c r="D126" s="13">
        <v>41</v>
      </c>
      <c r="E126" s="1" t="s">
        <v>11</v>
      </c>
      <c r="F126" s="2">
        <v>0.67</v>
      </c>
      <c r="G126" s="1" t="s">
        <v>12</v>
      </c>
      <c r="H126" s="1" t="s">
        <v>13</v>
      </c>
      <c r="I126" s="1" t="s">
        <v>14</v>
      </c>
      <c r="J126" s="14">
        <v>0.56901620370370365</v>
      </c>
      <c r="K126" s="15">
        <v>45514</v>
      </c>
      <c r="L126" s="15"/>
      <c r="M126" s="2">
        <v>0.6</v>
      </c>
      <c r="O126" s="2">
        <f t="shared" si="13"/>
        <v>0.53499999999999992</v>
      </c>
      <c r="P126" s="2">
        <f t="shared" si="14"/>
        <v>43.145489199491742</v>
      </c>
      <c r="Q126" s="2">
        <f t="shared" si="15"/>
        <v>0.20525000000000015</v>
      </c>
      <c r="R126" s="2">
        <f t="shared" si="16"/>
        <v>0.21579860228717146</v>
      </c>
      <c r="S126" s="2">
        <f t="shared" si="17"/>
        <v>-1.0548602287171305E-2</v>
      </c>
    </row>
    <row r="127" spans="2:19" x14ac:dyDescent="0.25">
      <c r="B127" s="1">
        <f t="shared" si="18"/>
        <v>121</v>
      </c>
      <c r="C127" s="1">
        <v>247</v>
      </c>
      <c r="D127" s="13">
        <v>41.1</v>
      </c>
      <c r="E127" s="1" t="s">
        <v>11</v>
      </c>
      <c r="F127" s="2">
        <v>0.67500000000000004</v>
      </c>
      <c r="G127" s="1" t="s">
        <v>12</v>
      </c>
      <c r="H127" s="1" t="s">
        <v>13</v>
      </c>
      <c r="I127" s="1" t="s">
        <v>14</v>
      </c>
      <c r="J127" s="14">
        <v>0.56901620370370365</v>
      </c>
      <c r="K127" s="15">
        <v>45514</v>
      </c>
      <c r="L127" s="15"/>
      <c r="M127" s="2">
        <v>0.60499999999999998</v>
      </c>
      <c r="O127" s="2">
        <f t="shared" si="13"/>
        <v>0.54</v>
      </c>
      <c r="P127" s="2">
        <f t="shared" si="14"/>
        <v>43.173951715374841</v>
      </c>
      <c r="Q127" s="2">
        <f t="shared" si="15"/>
        <v>0.20575000000000021</v>
      </c>
      <c r="R127" s="2">
        <f t="shared" si="16"/>
        <v>0.21594091486657732</v>
      </c>
      <c r="S127" s="2">
        <f t="shared" si="17"/>
        <v>-1.0190914866577111E-2</v>
      </c>
    </row>
    <row r="128" spans="2:19" x14ac:dyDescent="0.25">
      <c r="B128" s="1">
        <f t="shared" si="18"/>
        <v>122</v>
      </c>
      <c r="C128" s="1">
        <v>248</v>
      </c>
      <c r="D128" s="13">
        <v>41.2</v>
      </c>
      <c r="E128" s="1" t="s">
        <v>11</v>
      </c>
      <c r="F128" s="2">
        <v>0.68</v>
      </c>
      <c r="G128" s="1" t="s">
        <v>12</v>
      </c>
      <c r="H128" s="1" t="s">
        <v>13</v>
      </c>
      <c r="I128" s="1" t="s">
        <v>14</v>
      </c>
      <c r="J128" s="14">
        <v>0.56901620370370365</v>
      </c>
      <c r="K128" s="15">
        <v>45514</v>
      </c>
      <c r="L128" s="15"/>
      <c r="M128" s="2">
        <v>0.61</v>
      </c>
      <c r="O128" s="2">
        <f t="shared" si="13"/>
        <v>0.54499999999999993</v>
      </c>
      <c r="P128" s="2">
        <f t="shared" si="14"/>
        <v>43.20241423125794</v>
      </c>
      <c r="Q128" s="2">
        <f t="shared" si="15"/>
        <v>0.20625000000000018</v>
      </c>
      <c r="R128" s="2">
        <f t="shared" si="16"/>
        <v>0.21608322744600245</v>
      </c>
      <c r="S128" s="2">
        <f t="shared" si="17"/>
        <v>-9.8332274460022628E-3</v>
      </c>
    </row>
    <row r="129" spans="2:19" x14ac:dyDescent="0.25">
      <c r="B129" s="1">
        <f t="shared" si="18"/>
        <v>123</v>
      </c>
      <c r="C129" s="1">
        <v>249</v>
      </c>
      <c r="D129" s="13">
        <v>41.3</v>
      </c>
      <c r="E129" s="1" t="s">
        <v>11</v>
      </c>
      <c r="F129" s="2">
        <v>0.68500000000000005</v>
      </c>
      <c r="G129" s="1" t="s">
        <v>12</v>
      </c>
      <c r="H129" s="1" t="s">
        <v>13</v>
      </c>
      <c r="I129" s="1" t="s">
        <v>14</v>
      </c>
      <c r="J129" s="14">
        <v>0.56901620370370365</v>
      </c>
      <c r="K129" s="15">
        <v>45514</v>
      </c>
      <c r="L129" s="15"/>
      <c r="M129" s="2">
        <v>0.61499999999999999</v>
      </c>
      <c r="O129" s="2">
        <f t="shared" si="13"/>
        <v>0.55000000000000004</v>
      </c>
      <c r="P129" s="2">
        <f t="shared" si="14"/>
        <v>43.230876747141046</v>
      </c>
      <c r="Q129" s="2">
        <f t="shared" si="15"/>
        <v>0.20650000000000016</v>
      </c>
      <c r="R129" s="2">
        <f t="shared" si="16"/>
        <v>0.21622554002540839</v>
      </c>
      <c r="S129" s="2">
        <f t="shared" si="17"/>
        <v>-9.7255400254082358E-3</v>
      </c>
    </row>
    <row r="130" spans="2:19" x14ac:dyDescent="0.25">
      <c r="B130" s="1">
        <f t="shared" si="18"/>
        <v>124</v>
      </c>
      <c r="C130" s="1">
        <v>250</v>
      </c>
      <c r="D130" s="13">
        <v>41.3</v>
      </c>
      <c r="E130" s="1" t="s">
        <v>11</v>
      </c>
      <c r="F130" s="2">
        <v>0.69</v>
      </c>
      <c r="G130" s="1" t="s">
        <v>12</v>
      </c>
      <c r="H130" s="1" t="s">
        <v>13</v>
      </c>
      <c r="I130" s="1" t="s">
        <v>14</v>
      </c>
      <c r="J130" s="14">
        <v>0.56901620370370365</v>
      </c>
      <c r="K130" s="15">
        <v>45514</v>
      </c>
      <c r="L130" s="15"/>
      <c r="M130" s="2">
        <v>0.62</v>
      </c>
      <c r="O130" s="2">
        <f t="shared" si="13"/>
        <v>0.55499999999999994</v>
      </c>
      <c r="P130" s="2">
        <f t="shared" si="14"/>
        <v>43.259339263024145</v>
      </c>
      <c r="Q130" s="2">
        <f t="shared" si="15"/>
        <v>0.20625000000000018</v>
      </c>
      <c r="R130" s="2">
        <f t="shared" si="16"/>
        <v>0.21636785260483346</v>
      </c>
      <c r="S130" s="2">
        <f t="shared" si="17"/>
        <v>-1.0117852604833277E-2</v>
      </c>
    </row>
    <row r="131" spans="2:19" x14ac:dyDescent="0.25">
      <c r="B131" s="1">
        <f t="shared" si="18"/>
        <v>125</v>
      </c>
      <c r="C131" s="1">
        <v>251</v>
      </c>
      <c r="D131" s="13">
        <v>41.2</v>
      </c>
      <c r="E131" s="1" t="s">
        <v>11</v>
      </c>
      <c r="F131" s="2">
        <v>0.69499999999999995</v>
      </c>
      <c r="G131" s="1" t="s">
        <v>12</v>
      </c>
      <c r="H131" s="1" t="s">
        <v>13</v>
      </c>
      <c r="I131" s="1" t="s">
        <v>14</v>
      </c>
      <c r="J131" s="14">
        <v>0.56901620370370365</v>
      </c>
      <c r="K131" s="15">
        <v>45514</v>
      </c>
      <c r="L131" s="15"/>
      <c r="M131" s="2">
        <v>0.625</v>
      </c>
      <c r="O131" s="2">
        <f t="shared" si="13"/>
        <v>0.56000000000000005</v>
      </c>
      <c r="P131" s="2">
        <f t="shared" si="14"/>
        <v>43.287801778907244</v>
      </c>
      <c r="Q131" s="2">
        <f t="shared" si="15"/>
        <v>0.20600000000000021</v>
      </c>
      <c r="R131" s="2">
        <f t="shared" si="16"/>
        <v>0.21651016518423938</v>
      </c>
      <c r="S131" s="2">
        <f t="shared" si="17"/>
        <v>-1.0510165184239167E-2</v>
      </c>
    </row>
    <row r="132" spans="2:19" x14ac:dyDescent="0.25">
      <c r="B132" s="1">
        <f t="shared" si="18"/>
        <v>126</v>
      </c>
      <c r="C132" s="1">
        <v>253</v>
      </c>
      <c r="D132" s="13">
        <v>41.2</v>
      </c>
      <c r="E132" s="1" t="s">
        <v>11</v>
      </c>
      <c r="F132" s="2">
        <v>0.7</v>
      </c>
      <c r="G132" s="1" t="s">
        <v>12</v>
      </c>
      <c r="H132" s="1" t="s">
        <v>13</v>
      </c>
      <c r="I132" s="1" t="s">
        <v>14</v>
      </c>
      <c r="J132" s="14">
        <v>0.56901620370370365</v>
      </c>
      <c r="K132" s="15">
        <v>45514</v>
      </c>
      <c r="L132" s="15"/>
      <c r="M132" s="2">
        <v>0.63</v>
      </c>
      <c r="O132" s="2">
        <f t="shared" si="13"/>
        <v>0.56499999999999995</v>
      </c>
      <c r="P132" s="2">
        <f t="shared" si="14"/>
        <v>43.316264294790344</v>
      </c>
      <c r="Q132" s="2">
        <f t="shared" si="15"/>
        <v>0.20625000000000018</v>
      </c>
      <c r="R132" s="2">
        <f t="shared" si="16"/>
        <v>0.21665247776366445</v>
      </c>
      <c r="S132" s="2">
        <f t="shared" si="17"/>
        <v>-1.0402477763664264E-2</v>
      </c>
    </row>
    <row r="133" spans="2:19" x14ac:dyDescent="0.25">
      <c r="B133" s="1">
        <f t="shared" si="18"/>
        <v>127</v>
      </c>
      <c r="C133" s="1">
        <v>254</v>
      </c>
      <c r="D133" s="13">
        <v>41.3</v>
      </c>
      <c r="E133" s="1" t="s">
        <v>11</v>
      </c>
      <c r="F133" s="2">
        <v>0.70499999999999996</v>
      </c>
      <c r="G133" s="1" t="s">
        <v>12</v>
      </c>
      <c r="H133" s="1" t="s">
        <v>13</v>
      </c>
      <c r="I133" s="1" t="s">
        <v>14</v>
      </c>
      <c r="J133" s="14">
        <v>0.56901620370370365</v>
      </c>
      <c r="K133" s="15">
        <v>45514</v>
      </c>
      <c r="L133" s="15"/>
      <c r="M133" s="2">
        <v>0.63500000000000001</v>
      </c>
      <c r="O133" s="2">
        <f t="shared" si="13"/>
        <v>0.57000000000000006</v>
      </c>
      <c r="P133" s="2">
        <f t="shared" si="14"/>
        <v>43.344726810673443</v>
      </c>
      <c r="Q133" s="2">
        <f t="shared" si="15"/>
        <v>0.20675000000000016</v>
      </c>
      <c r="R133" s="2">
        <f t="shared" si="16"/>
        <v>0.21679479034307036</v>
      </c>
      <c r="S133" s="2">
        <f t="shared" si="17"/>
        <v>-1.0044790343070209E-2</v>
      </c>
    </row>
    <row r="134" spans="2:19" x14ac:dyDescent="0.25">
      <c r="B134" s="1">
        <f t="shared" si="18"/>
        <v>128</v>
      </c>
      <c r="C134" s="1">
        <v>255</v>
      </c>
      <c r="D134" s="13">
        <v>41.4</v>
      </c>
      <c r="E134" s="1" t="s">
        <v>11</v>
      </c>
      <c r="F134" s="2">
        <v>0.71</v>
      </c>
      <c r="G134" s="1" t="s">
        <v>12</v>
      </c>
      <c r="H134" s="1" t="s">
        <v>13</v>
      </c>
      <c r="I134" s="1" t="s">
        <v>14</v>
      </c>
      <c r="J134" s="14">
        <v>0.56901620370370365</v>
      </c>
      <c r="K134" s="15">
        <v>45514</v>
      </c>
      <c r="L134" s="15"/>
      <c r="M134" s="2">
        <v>0.64</v>
      </c>
      <c r="O134" s="2">
        <f t="shared" si="13"/>
        <v>0.57499999999999996</v>
      </c>
      <c r="P134" s="2">
        <f t="shared" si="14"/>
        <v>43.373189326556542</v>
      </c>
      <c r="Q134" s="2">
        <f t="shared" si="15"/>
        <v>0.20675000000000016</v>
      </c>
      <c r="R134" s="2">
        <f t="shared" si="16"/>
        <v>0.21693710292249549</v>
      </c>
      <c r="S134" s="2">
        <f t="shared" si="17"/>
        <v>-1.0187102922495334E-2</v>
      </c>
    </row>
    <row r="135" spans="2:19" x14ac:dyDescent="0.25">
      <c r="B135" s="1">
        <f t="shared" si="18"/>
        <v>129</v>
      </c>
      <c r="C135" s="1">
        <v>256</v>
      </c>
      <c r="D135" s="13">
        <v>41.3</v>
      </c>
      <c r="E135" s="1" t="s">
        <v>11</v>
      </c>
      <c r="F135" s="2">
        <v>0.71499999999999997</v>
      </c>
      <c r="G135" s="1" t="s">
        <v>12</v>
      </c>
      <c r="H135" s="1" t="s">
        <v>13</v>
      </c>
      <c r="I135" s="1" t="s">
        <v>14</v>
      </c>
      <c r="J135" s="14">
        <v>0.5690277777777778</v>
      </c>
      <c r="K135" s="15">
        <v>45514</v>
      </c>
      <c r="L135" s="15"/>
      <c r="M135" s="2">
        <v>0.64500000000000002</v>
      </c>
      <c r="O135" s="2">
        <f t="shared" si="13"/>
        <v>0.58000000000000007</v>
      </c>
      <c r="P135" s="2">
        <f t="shared" si="14"/>
        <v>43.401651842439648</v>
      </c>
      <c r="Q135" s="2">
        <f t="shared" si="15"/>
        <v>0.20650000000000016</v>
      </c>
      <c r="R135" s="2">
        <f t="shared" si="16"/>
        <v>0.21707941550190135</v>
      </c>
      <c r="S135" s="2">
        <f t="shared" si="17"/>
        <v>-1.0579415501901196E-2</v>
      </c>
    </row>
    <row r="136" spans="2:19" x14ac:dyDescent="0.25">
      <c r="B136" s="1">
        <f t="shared" si="18"/>
        <v>130</v>
      </c>
      <c r="C136" s="1">
        <v>257</v>
      </c>
      <c r="D136" s="13">
        <v>41.3</v>
      </c>
      <c r="E136" s="1" t="s">
        <v>11</v>
      </c>
      <c r="F136" s="2">
        <v>0.72</v>
      </c>
      <c r="G136" s="1" t="s">
        <v>12</v>
      </c>
      <c r="H136" s="1" t="s">
        <v>13</v>
      </c>
      <c r="I136" s="1" t="s">
        <v>14</v>
      </c>
      <c r="J136" s="14">
        <v>0.5690277777777778</v>
      </c>
      <c r="K136" s="15">
        <v>45514</v>
      </c>
      <c r="L136" s="15"/>
      <c r="M136" s="2">
        <v>0.65</v>
      </c>
      <c r="O136" s="2">
        <f t="shared" ref="O136:O199" si="19">M136-$X$23</f>
        <v>0.58499999999999996</v>
      </c>
      <c r="P136" s="2">
        <f t="shared" ref="P136:P199" si="20">O136*$AC$21+$Y$23</f>
        <v>43.430114358322747</v>
      </c>
      <c r="Q136" s="2">
        <f t="shared" ref="Q136:Q199" si="21">((D136+D137)/2)*(M137-M136)</f>
        <v>0.20675000000000016</v>
      </c>
      <c r="R136" s="2">
        <f t="shared" ref="R136:R199" si="22">((P136+P137)/2)*(O137-O136)</f>
        <v>0.2172217280813265</v>
      </c>
      <c r="S136" s="2">
        <f t="shared" ref="S136:S199" si="23">Q136-R136</f>
        <v>-1.0471728081326348E-2</v>
      </c>
    </row>
    <row r="137" spans="2:19" x14ac:dyDescent="0.25">
      <c r="B137" s="1">
        <f t="shared" ref="B137:B200" si="24">B136+1</f>
        <v>131</v>
      </c>
      <c r="C137" s="1">
        <v>259</v>
      </c>
      <c r="D137" s="13">
        <v>41.4</v>
      </c>
      <c r="E137" s="1" t="s">
        <v>11</v>
      </c>
      <c r="F137" s="2">
        <v>0.72499999999999998</v>
      </c>
      <c r="G137" s="1" t="s">
        <v>12</v>
      </c>
      <c r="H137" s="1" t="s">
        <v>13</v>
      </c>
      <c r="I137" s="1" t="s">
        <v>14</v>
      </c>
      <c r="J137" s="14">
        <v>0.5690277777777778</v>
      </c>
      <c r="K137" s="15">
        <v>45514</v>
      </c>
      <c r="L137" s="15"/>
      <c r="M137" s="2">
        <v>0.65500000000000003</v>
      </c>
      <c r="O137" s="2">
        <f t="shared" si="19"/>
        <v>0.59000000000000008</v>
      </c>
      <c r="P137" s="2">
        <f t="shared" si="20"/>
        <v>43.458576874205846</v>
      </c>
      <c r="Q137" s="2">
        <f t="shared" si="21"/>
        <v>0.20700000000000018</v>
      </c>
      <c r="R137" s="2">
        <f t="shared" si="22"/>
        <v>0.21736404066073234</v>
      </c>
      <c r="S137" s="2">
        <f t="shared" si="23"/>
        <v>-1.0364040660732154E-2</v>
      </c>
    </row>
    <row r="138" spans="2:19" x14ac:dyDescent="0.25">
      <c r="B138" s="1">
        <f t="shared" si="24"/>
        <v>132</v>
      </c>
      <c r="C138" s="1">
        <v>260</v>
      </c>
      <c r="D138" s="13">
        <v>41.4</v>
      </c>
      <c r="E138" s="1" t="s">
        <v>11</v>
      </c>
      <c r="F138" s="2">
        <v>0.73</v>
      </c>
      <c r="G138" s="1" t="s">
        <v>12</v>
      </c>
      <c r="H138" s="1" t="s">
        <v>13</v>
      </c>
      <c r="I138" s="1" t="s">
        <v>14</v>
      </c>
      <c r="J138" s="14">
        <v>0.5690277777777778</v>
      </c>
      <c r="K138" s="15">
        <v>45514</v>
      </c>
      <c r="L138" s="15"/>
      <c r="M138" s="2">
        <v>0.66</v>
      </c>
      <c r="O138" s="2">
        <f t="shared" si="19"/>
        <v>0.59499999999999997</v>
      </c>
      <c r="P138" s="2">
        <f t="shared" si="20"/>
        <v>43.487039390088945</v>
      </c>
      <c r="Q138" s="2">
        <f t="shared" si="21"/>
        <v>0.20675000000000016</v>
      </c>
      <c r="R138" s="2">
        <f t="shared" si="22"/>
        <v>0.21750635324015752</v>
      </c>
      <c r="S138" s="2">
        <f t="shared" si="23"/>
        <v>-1.0756353240157362E-2</v>
      </c>
    </row>
    <row r="139" spans="2:19" x14ac:dyDescent="0.25">
      <c r="B139" s="1">
        <f t="shared" si="24"/>
        <v>133</v>
      </c>
      <c r="C139" s="1">
        <v>261</v>
      </c>
      <c r="D139" s="13">
        <v>41.3</v>
      </c>
      <c r="E139" s="1" t="s">
        <v>11</v>
      </c>
      <c r="F139" s="2">
        <v>0.73499999999999999</v>
      </c>
      <c r="G139" s="1" t="s">
        <v>12</v>
      </c>
      <c r="H139" s="1" t="s">
        <v>13</v>
      </c>
      <c r="I139" s="1" t="s">
        <v>14</v>
      </c>
      <c r="J139" s="14">
        <v>0.5690277777777778</v>
      </c>
      <c r="K139" s="15">
        <v>45514</v>
      </c>
      <c r="L139" s="15"/>
      <c r="M139" s="2">
        <v>0.66500000000000004</v>
      </c>
      <c r="O139" s="2">
        <f t="shared" si="19"/>
        <v>0.60000000000000009</v>
      </c>
      <c r="P139" s="2">
        <f t="shared" si="20"/>
        <v>43.515501905972044</v>
      </c>
      <c r="Q139" s="2">
        <f t="shared" si="21"/>
        <v>0.20650000000000016</v>
      </c>
      <c r="R139" s="2">
        <f t="shared" si="22"/>
        <v>0.21764866581956335</v>
      </c>
      <c r="S139" s="2">
        <f t="shared" si="23"/>
        <v>-1.1148665819563197E-2</v>
      </c>
    </row>
    <row r="140" spans="2:19" x14ac:dyDescent="0.25">
      <c r="B140" s="1">
        <f t="shared" si="24"/>
        <v>134</v>
      </c>
      <c r="C140" s="1">
        <v>262</v>
      </c>
      <c r="D140" s="13">
        <v>41.3</v>
      </c>
      <c r="E140" s="1" t="s">
        <v>11</v>
      </c>
      <c r="F140" s="2">
        <v>0.74</v>
      </c>
      <c r="G140" s="1" t="s">
        <v>12</v>
      </c>
      <c r="H140" s="1" t="s">
        <v>13</v>
      </c>
      <c r="I140" s="1" t="s">
        <v>14</v>
      </c>
      <c r="J140" s="14">
        <v>0.5690277777777778</v>
      </c>
      <c r="K140" s="15">
        <v>45514</v>
      </c>
      <c r="L140" s="15"/>
      <c r="M140" s="2">
        <v>0.67</v>
      </c>
      <c r="O140" s="2">
        <f t="shared" si="19"/>
        <v>0.60499999999999998</v>
      </c>
      <c r="P140" s="2">
        <f t="shared" si="20"/>
        <v>43.543964421855151</v>
      </c>
      <c r="Q140" s="2">
        <f t="shared" si="21"/>
        <v>0.20650000000000016</v>
      </c>
      <c r="R140" s="2">
        <f t="shared" si="22"/>
        <v>0.21779097839898851</v>
      </c>
      <c r="S140" s="2">
        <f t="shared" si="23"/>
        <v>-1.1290978398988349E-2</v>
      </c>
    </row>
    <row r="141" spans="2:19" x14ac:dyDescent="0.25">
      <c r="B141" s="1">
        <f t="shared" si="24"/>
        <v>135</v>
      </c>
      <c r="C141" s="1">
        <v>263</v>
      </c>
      <c r="D141" s="13">
        <v>41.3</v>
      </c>
      <c r="E141" s="1" t="s">
        <v>11</v>
      </c>
      <c r="F141" s="2">
        <v>0.745</v>
      </c>
      <c r="G141" s="1" t="s">
        <v>12</v>
      </c>
      <c r="H141" s="1" t="s">
        <v>13</v>
      </c>
      <c r="I141" s="1" t="s">
        <v>14</v>
      </c>
      <c r="J141" s="14">
        <v>0.5690277777777778</v>
      </c>
      <c r="K141" s="15">
        <v>45514</v>
      </c>
      <c r="L141" s="15"/>
      <c r="M141" s="2">
        <v>0.67500000000000004</v>
      </c>
      <c r="O141" s="2">
        <f t="shared" si="19"/>
        <v>0.6100000000000001</v>
      </c>
      <c r="P141" s="2">
        <f t="shared" si="20"/>
        <v>43.57242693773825</v>
      </c>
      <c r="Q141" s="2">
        <f t="shared" si="21"/>
        <v>0.20650000000000016</v>
      </c>
      <c r="R141" s="2">
        <f t="shared" si="22"/>
        <v>0.21793329097839437</v>
      </c>
      <c r="S141" s="2">
        <f t="shared" si="23"/>
        <v>-1.1433290978394212E-2</v>
      </c>
    </row>
    <row r="142" spans="2:19" x14ac:dyDescent="0.25">
      <c r="B142" s="1">
        <f t="shared" si="24"/>
        <v>136</v>
      </c>
      <c r="C142" s="1">
        <v>264</v>
      </c>
      <c r="D142" s="13">
        <v>41.3</v>
      </c>
      <c r="E142" s="1" t="s">
        <v>11</v>
      </c>
      <c r="F142" s="2">
        <v>0.75</v>
      </c>
      <c r="G142" s="1" t="s">
        <v>12</v>
      </c>
      <c r="H142" s="1" t="s">
        <v>13</v>
      </c>
      <c r="I142" s="1" t="s">
        <v>14</v>
      </c>
      <c r="J142" s="14">
        <v>0.5690277777777778</v>
      </c>
      <c r="K142" s="15">
        <v>45514</v>
      </c>
      <c r="L142" s="15"/>
      <c r="M142" s="2">
        <v>0.68</v>
      </c>
      <c r="O142" s="2">
        <f t="shared" si="19"/>
        <v>0.61499999999999999</v>
      </c>
      <c r="P142" s="2">
        <f t="shared" si="20"/>
        <v>43.600889453621349</v>
      </c>
      <c r="Q142" s="2">
        <f t="shared" si="21"/>
        <v>0.20675000000000016</v>
      </c>
      <c r="R142" s="2">
        <f t="shared" si="22"/>
        <v>0.21807560355781952</v>
      </c>
      <c r="S142" s="2">
        <f t="shared" si="23"/>
        <v>-1.1325603557819364E-2</v>
      </c>
    </row>
    <row r="143" spans="2:19" x14ac:dyDescent="0.25">
      <c r="B143" s="1">
        <f t="shared" si="24"/>
        <v>137</v>
      </c>
      <c r="C143" s="1">
        <v>265</v>
      </c>
      <c r="D143" s="13">
        <v>41.4</v>
      </c>
      <c r="E143" s="1" t="s">
        <v>11</v>
      </c>
      <c r="F143" s="2">
        <v>0.755</v>
      </c>
      <c r="G143" s="1" t="s">
        <v>12</v>
      </c>
      <c r="H143" s="1" t="s">
        <v>13</v>
      </c>
      <c r="I143" s="1" t="s">
        <v>14</v>
      </c>
      <c r="J143" s="14">
        <v>0.5690277777777778</v>
      </c>
      <c r="K143" s="15">
        <v>45514</v>
      </c>
      <c r="L143" s="15"/>
      <c r="M143" s="2">
        <v>0.68500000000000005</v>
      </c>
      <c r="O143" s="2">
        <f t="shared" si="19"/>
        <v>0.62000000000000011</v>
      </c>
      <c r="P143" s="2">
        <f t="shared" si="20"/>
        <v>43.629351969504448</v>
      </c>
      <c r="Q143" s="2">
        <f t="shared" si="21"/>
        <v>0.20699999999999558</v>
      </c>
      <c r="R143" s="2">
        <f t="shared" si="22"/>
        <v>0.21821791613722535</v>
      </c>
      <c r="S143" s="2">
        <f t="shared" si="23"/>
        <v>-1.1217916137229778E-2</v>
      </c>
    </row>
    <row r="144" spans="2:19" x14ac:dyDescent="0.25">
      <c r="B144" s="1">
        <f t="shared" si="24"/>
        <v>138</v>
      </c>
      <c r="C144" s="1">
        <v>266</v>
      </c>
      <c r="D144" s="13">
        <v>41.4</v>
      </c>
      <c r="E144" s="1" t="s">
        <v>11</v>
      </c>
      <c r="F144" s="2">
        <v>0.76</v>
      </c>
      <c r="G144" s="1" t="s">
        <v>12</v>
      </c>
      <c r="H144" s="1" t="s">
        <v>13</v>
      </c>
      <c r="I144" s="1" t="s">
        <v>14</v>
      </c>
      <c r="J144" s="14">
        <v>0.56903935185185184</v>
      </c>
      <c r="K144" s="15">
        <v>45514</v>
      </c>
      <c r="L144" s="15"/>
      <c r="M144" s="2">
        <v>0.69</v>
      </c>
      <c r="O144" s="2">
        <f t="shared" si="19"/>
        <v>0.625</v>
      </c>
      <c r="P144" s="2">
        <f t="shared" si="20"/>
        <v>43.657814485387547</v>
      </c>
      <c r="Q144" s="2">
        <f t="shared" si="21"/>
        <v>0.20700000000000018</v>
      </c>
      <c r="R144" s="2">
        <f t="shared" si="22"/>
        <v>0.21836022871664082</v>
      </c>
      <c r="S144" s="2">
        <f t="shared" si="23"/>
        <v>-1.1360228716640636E-2</v>
      </c>
    </row>
    <row r="145" spans="2:19" x14ac:dyDescent="0.25">
      <c r="B145" s="1">
        <f t="shared" si="24"/>
        <v>139</v>
      </c>
      <c r="C145" s="1">
        <v>267</v>
      </c>
      <c r="D145" s="13">
        <v>41.4</v>
      </c>
      <c r="E145" s="1" t="s">
        <v>11</v>
      </c>
      <c r="F145" s="2">
        <v>0.76500000000000001</v>
      </c>
      <c r="G145" s="1" t="s">
        <v>12</v>
      </c>
      <c r="H145" s="1" t="s">
        <v>13</v>
      </c>
      <c r="I145" s="1" t="s">
        <v>14</v>
      </c>
      <c r="J145" s="14">
        <v>0.56903935185185184</v>
      </c>
      <c r="K145" s="15">
        <v>45514</v>
      </c>
      <c r="L145" s="15"/>
      <c r="M145" s="2">
        <v>0.69499999999999995</v>
      </c>
      <c r="O145" s="2">
        <f t="shared" si="19"/>
        <v>0.62999999999999989</v>
      </c>
      <c r="P145" s="2">
        <f t="shared" si="20"/>
        <v>43.686277001270646</v>
      </c>
      <c r="Q145" s="2">
        <f t="shared" si="21"/>
        <v>0.20725000000000021</v>
      </c>
      <c r="R145" s="2">
        <f t="shared" si="22"/>
        <v>0.21850254129606606</v>
      </c>
      <c r="S145" s="2">
        <f t="shared" si="23"/>
        <v>-1.1252541296065843E-2</v>
      </c>
    </row>
    <row r="146" spans="2:19" x14ac:dyDescent="0.25">
      <c r="B146" s="1">
        <f t="shared" si="24"/>
        <v>140</v>
      </c>
      <c r="C146" s="1">
        <v>269</v>
      </c>
      <c r="D146" s="13">
        <v>41.5</v>
      </c>
      <c r="E146" s="1" t="s">
        <v>11</v>
      </c>
      <c r="F146" s="2">
        <v>0.77</v>
      </c>
      <c r="G146" s="1" t="s">
        <v>12</v>
      </c>
      <c r="H146" s="1" t="s">
        <v>13</v>
      </c>
      <c r="I146" s="1" t="s">
        <v>14</v>
      </c>
      <c r="J146" s="14">
        <v>0.56903935185185184</v>
      </c>
      <c r="K146" s="15">
        <v>45514</v>
      </c>
      <c r="L146" s="15"/>
      <c r="M146" s="2">
        <v>0.7</v>
      </c>
      <c r="O146" s="2">
        <f t="shared" si="19"/>
        <v>0.63500000000000001</v>
      </c>
      <c r="P146" s="2">
        <f t="shared" si="20"/>
        <v>43.714739517153753</v>
      </c>
      <c r="Q146" s="2">
        <f t="shared" si="21"/>
        <v>0.20750000000000018</v>
      </c>
      <c r="R146" s="2">
        <f t="shared" si="22"/>
        <v>0.21864485387547186</v>
      </c>
      <c r="S146" s="2">
        <f t="shared" si="23"/>
        <v>-1.1144853875471677E-2</v>
      </c>
    </row>
    <row r="147" spans="2:19" x14ac:dyDescent="0.25">
      <c r="B147" s="1">
        <f t="shared" si="24"/>
        <v>141</v>
      </c>
      <c r="C147" s="1">
        <v>270</v>
      </c>
      <c r="D147" s="13">
        <v>41.5</v>
      </c>
      <c r="E147" s="1" t="s">
        <v>11</v>
      </c>
      <c r="F147" s="2">
        <v>0.77500000000000002</v>
      </c>
      <c r="G147" s="1" t="s">
        <v>12</v>
      </c>
      <c r="H147" s="1" t="s">
        <v>13</v>
      </c>
      <c r="I147" s="1" t="s">
        <v>14</v>
      </c>
      <c r="J147" s="14">
        <v>0.56903935185185184</v>
      </c>
      <c r="K147" s="15">
        <v>45514</v>
      </c>
      <c r="L147" s="15"/>
      <c r="M147" s="2">
        <v>0.70499999999999996</v>
      </c>
      <c r="O147" s="2">
        <f t="shared" si="19"/>
        <v>0.6399999999999999</v>
      </c>
      <c r="P147" s="2">
        <f t="shared" si="20"/>
        <v>43.743202033036852</v>
      </c>
      <c r="Q147" s="2">
        <f t="shared" si="21"/>
        <v>0.41450000000000042</v>
      </c>
      <c r="R147" s="2">
        <f t="shared" si="22"/>
        <v>0.43771664548919992</v>
      </c>
      <c r="S147" s="2">
        <f t="shared" si="23"/>
        <v>-2.3216645489199494E-2</v>
      </c>
    </row>
    <row r="148" spans="2:19" x14ac:dyDescent="0.25">
      <c r="B148" s="1">
        <f t="shared" si="24"/>
        <v>142</v>
      </c>
      <c r="C148" s="1">
        <v>271</v>
      </c>
      <c r="D148" s="13">
        <v>41.4</v>
      </c>
      <c r="E148" s="1" t="s">
        <v>11</v>
      </c>
      <c r="F148" s="2">
        <v>0.78500000000000003</v>
      </c>
      <c r="G148" s="1" t="s">
        <v>12</v>
      </c>
      <c r="H148" s="1" t="s">
        <v>13</v>
      </c>
      <c r="I148" s="1" t="s">
        <v>14</v>
      </c>
      <c r="J148" s="14">
        <v>0.56903935185185184</v>
      </c>
      <c r="K148" s="15">
        <v>45514</v>
      </c>
      <c r="L148" s="15"/>
      <c r="M148" s="2">
        <v>0.71499999999999997</v>
      </c>
      <c r="O148" s="2">
        <f t="shared" si="19"/>
        <v>0.64999999999999991</v>
      </c>
      <c r="P148" s="2">
        <f t="shared" si="20"/>
        <v>43.80012706480305</v>
      </c>
      <c r="Q148" s="2">
        <f t="shared" si="21"/>
        <v>0.20750000000000018</v>
      </c>
      <c r="R148" s="2">
        <f t="shared" si="22"/>
        <v>0.21907179161372803</v>
      </c>
      <c r="S148" s="2">
        <f t="shared" si="23"/>
        <v>-1.1571791613727844E-2</v>
      </c>
    </row>
    <row r="149" spans="2:19" x14ac:dyDescent="0.25">
      <c r="B149" s="1">
        <f t="shared" si="24"/>
        <v>143</v>
      </c>
      <c r="C149" s="1">
        <v>272</v>
      </c>
      <c r="D149" s="13">
        <v>41.6</v>
      </c>
      <c r="E149" s="1" t="s">
        <v>11</v>
      </c>
      <c r="F149" s="2">
        <v>0.79</v>
      </c>
      <c r="G149" s="1" t="s">
        <v>12</v>
      </c>
      <c r="H149" s="1" t="s">
        <v>13</v>
      </c>
      <c r="I149" s="1" t="s">
        <v>14</v>
      </c>
      <c r="J149" s="14">
        <v>0.56903935185185184</v>
      </c>
      <c r="K149" s="15">
        <v>45514</v>
      </c>
      <c r="L149" s="15"/>
      <c r="M149" s="2">
        <v>0.72</v>
      </c>
      <c r="O149" s="2">
        <f t="shared" si="19"/>
        <v>0.65500000000000003</v>
      </c>
      <c r="P149" s="2">
        <f t="shared" si="20"/>
        <v>43.828589580686149</v>
      </c>
      <c r="Q149" s="2">
        <f t="shared" si="21"/>
        <v>0.20850000000000021</v>
      </c>
      <c r="R149" s="2">
        <f t="shared" si="22"/>
        <v>0.21921410419313384</v>
      </c>
      <c r="S149" s="2">
        <f t="shared" si="23"/>
        <v>-1.0714104193133622E-2</v>
      </c>
    </row>
    <row r="150" spans="2:19" x14ac:dyDescent="0.25">
      <c r="B150" s="1">
        <f t="shared" si="24"/>
        <v>144</v>
      </c>
      <c r="C150" s="1">
        <v>273</v>
      </c>
      <c r="D150" s="13">
        <v>41.8</v>
      </c>
      <c r="E150" s="1" t="s">
        <v>11</v>
      </c>
      <c r="F150" s="2">
        <v>0.79500000000000004</v>
      </c>
      <c r="G150" s="1" t="s">
        <v>12</v>
      </c>
      <c r="H150" s="1" t="s">
        <v>13</v>
      </c>
      <c r="I150" s="1" t="s">
        <v>14</v>
      </c>
      <c r="J150" s="14">
        <v>0.56903935185185184</v>
      </c>
      <c r="K150" s="15">
        <v>45514</v>
      </c>
      <c r="L150" s="15"/>
      <c r="M150" s="2">
        <v>0.72499999999999998</v>
      </c>
      <c r="O150" s="2">
        <f t="shared" si="19"/>
        <v>0.65999999999999992</v>
      </c>
      <c r="P150" s="2">
        <f t="shared" si="20"/>
        <v>43.857052096569248</v>
      </c>
      <c r="Q150" s="2">
        <f t="shared" si="21"/>
        <v>0.20925000000000016</v>
      </c>
      <c r="R150" s="2">
        <f t="shared" si="22"/>
        <v>0.21935641677255907</v>
      </c>
      <c r="S150" s="2">
        <f t="shared" si="23"/>
        <v>-1.0106416772558913E-2</v>
      </c>
    </row>
    <row r="151" spans="2:19" x14ac:dyDescent="0.25">
      <c r="B151" s="1">
        <f t="shared" si="24"/>
        <v>145</v>
      </c>
      <c r="C151" s="1">
        <v>274</v>
      </c>
      <c r="D151" s="13">
        <v>41.9</v>
      </c>
      <c r="E151" s="1" t="s">
        <v>11</v>
      </c>
      <c r="F151" s="2">
        <v>0.8</v>
      </c>
      <c r="G151" s="1" t="s">
        <v>12</v>
      </c>
      <c r="H151" s="1" t="s">
        <v>13</v>
      </c>
      <c r="I151" s="1" t="s">
        <v>14</v>
      </c>
      <c r="J151" s="14">
        <v>0.56903935185185184</v>
      </c>
      <c r="K151" s="15">
        <v>45514</v>
      </c>
      <c r="L151" s="15"/>
      <c r="M151" s="2">
        <v>0.73</v>
      </c>
      <c r="O151" s="2">
        <f t="shared" si="19"/>
        <v>0.66500000000000004</v>
      </c>
      <c r="P151" s="2">
        <f t="shared" si="20"/>
        <v>43.885514612452354</v>
      </c>
      <c r="Q151" s="2">
        <f t="shared" si="21"/>
        <v>0.41900000000000037</v>
      </c>
      <c r="R151" s="2">
        <f t="shared" si="22"/>
        <v>0.43913977128335491</v>
      </c>
      <c r="S151" s="2">
        <f t="shared" si="23"/>
        <v>-2.0139771283354535E-2</v>
      </c>
    </row>
    <row r="152" spans="2:19" x14ac:dyDescent="0.25">
      <c r="B152" s="1">
        <f t="shared" si="24"/>
        <v>146</v>
      </c>
      <c r="C152" s="1">
        <v>275</v>
      </c>
      <c r="D152" s="13">
        <v>41.9</v>
      </c>
      <c r="E152" s="1" t="s">
        <v>11</v>
      </c>
      <c r="F152" s="2">
        <v>0.81</v>
      </c>
      <c r="G152" s="1" t="s">
        <v>12</v>
      </c>
      <c r="H152" s="1" t="s">
        <v>13</v>
      </c>
      <c r="I152" s="1" t="s">
        <v>14</v>
      </c>
      <c r="J152" s="14">
        <v>0.56903935185185184</v>
      </c>
      <c r="K152" s="15">
        <v>45514</v>
      </c>
      <c r="L152" s="15"/>
      <c r="M152" s="2">
        <v>0.74</v>
      </c>
      <c r="O152" s="2">
        <f t="shared" si="19"/>
        <v>0.67500000000000004</v>
      </c>
      <c r="P152" s="2">
        <f t="shared" si="20"/>
        <v>43.942439644218553</v>
      </c>
      <c r="Q152" s="2">
        <f t="shared" si="21"/>
        <v>0.20950000000000019</v>
      </c>
      <c r="R152" s="2">
        <f t="shared" si="22"/>
        <v>0.21978335451079581</v>
      </c>
      <c r="S152" s="2">
        <f t="shared" si="23"/>
        <v>-1.0283354510795623E-2</v>
      </c>
    </row>
    <row r="153" spans="2:19" x14ac:dyDescent="0.25">
      <c r="B153" s="1">
        <f t="shared" si="24"/>
        <v>147</v>
      </c>
      <c r="C153" s="1">
        <v>276</v>
      </c>
      <c r="D153" s="13">
        <v>41.9</v>
      </c>
      <c r="E153" s="1" t="s">
        <v>11</v>
      </c>
      <c r="F153" s="2">
        <v>0.81499999999999995</v>
      </c>
      <c r="G153" s="1" t="s">
        <v>12</v>
      </c>
      <c r="H153" s="1" t="s">
        <v>13</v>
      </c>
      <c r="I153" s="1" t="s">
        <v>14</v>
      </c>
      <c r="J153" s="14">
        <v>0.56905092592592588</v>
      </c>
      <c r="K153" s="15">
        <v>45514</v>
      </c>
      <c r="L153" s="15"/>
      <c r="M153" s="2">
        <v>0.745</v>
      </c>
      <c r="O153" s="2">
        <f t="shared" si="19"/>
        <v>0.67999999999999994</v>
      </c>
      <c r="P153" s="2">
        <f t="shared" si="20"/>
        <v>43.970902160101652</v>
      </c>
      <c r="Q153" s="2">
        <f t="shared" si="21"/>
        <v>0.20975000000000021</v>
      </c>
      <c r="R153" s="2">
        <f t="shared" si="22"/>
        <v>0.2199256670902211</v>
      </c>
      <c r="S153" s="2">
        <f t="shared" si="23"/>
        <v>-1.0175667090220886E-2</v>
      </c>
    </row>
    <row r="154" spans="2:19" x14ac:dyDescent="0.25">
      <c r="B154" s="1">
        <f t="shared" si="24"/>
        <v>148</v>
      </c>
      <c r="C154" s="1">
        <v>278</v>
      </c>
      <c r="D154" s="13">
        <v>42</v>
      </c>
      <c r="E154" s="1" t="s">
        <v>11</v>
      </c>
      <c r="F154" s="2">
        <v>0.82</v>
      </c>
      <c r="G154" s="1" t="s">
        <v>12</v>
      </c>
      <c r="H154" s="1" t="s">
        <v>13</v>
      </c>
      <c r="I154" s="1" t="s">
        <v>14</v>
      </c>
      <c r="J154" s="14">
        <v>0.56905092592592588</v>
      </c>
      <c r="K154" s="15">
        <v>45514</v>
      </c>
      <c r="L154" s="15"/>
      <c r="M154" s="2">
        <v>0.75</v>
      </c>
      <c r="O154" s="2">
        <f t="shared" si="19"/>
        <v>0.68500000000000005</v>
      </c>
      <c r="P154" s="2">
        <f t="shared" si="20"/>
        <v>43.999364675984751</v>
      </c>
      <c r="Q154" s="2">
        <f t="shared" si="21"/>
        <v>0.21025000000000016</v>
      </c>
      <c r="R154" s="2">
        <f t="shared" si="22"/>
        <v>0.22006797966962682</v>
      </c>
      <c r="S154" s="2">
        <f t="shared" si="23"/>
        <v>-9.8179796696266641E-3</v>
      </c>
    </row>
    <row r="155" spans="2:19" x14ac:dyDescent="0.25">
      <c r="B155" s="1">
        <f t="shared" si="24"/>
        <v>149</v>
      </c>
      <c r="C155" s="1">
        <v>279</v>
      </c>
      <c r="D155" s="13">
        <v>42.1</v>
      </c>
      <c r="E155" s="1" t="s">
        <v>11</v>
      </c>
      <c r="F155" s="2">
        <v>0.82499999999999996</v>
      </c>
      <c r="G155" s="1" t="s">
        <v>12</v>
      </c>
      <c r="H155" s="1" t="s">
        <v>13</v>
      </c>
      <c r="I155" s="1" t="s">
        <v>14</v>
      </c>
      <c r="J155" s="14">
        <v>0.56905092592592588</v>
      </c>
      <c r="K155" s="15">
        <v>45514</v>
      </c>
      <c r="L155" s="15"/>
      <c r="M155" s="2">
        <v>0.755</v>
      </c>
      <c r="O155" s="2">
        <f t="shared" si="19"/>
        <v>0.69</v>
      </c>
      <c r="P155" s="2">
        <f t="shared" si="20"/>
        <v>44.027827191867857</v>
      </c>
      <c r="Q155" s="2">
        <f t="shared" si="21"/>
        <v>0.21075000000000021</v>
      </c>
      <c r="R155" s="2">
        <f t="shared" si="22"/>
        <v>0.22021029224905209</v>
      </c>
      <c r="S155" s="2">
        <f t="shared" si="23"/>
        <v>-9.4602922490518715E-3</v>
      </c>
    </row>
    <row r="156" spans="2:19" x14ac:dyDescent="0.25">
      <c r="B156" s="1">
        <f t="shared" si="24"/>
        <v>150</v>
      </c>
      <c r="C156" s="1">
        <v>280</v>
      </c>
      <c r="D156" s="13">
        <v>42.2</v>
      </c>
      <c r="E156" s="1" t="s">
        <v>11</v>
      </c>
      <c r="F156" s="2">
        <v>0.83</v>
      </c>
      <c r="G156" s="1" t="s">
        <v>12</v>
      </c>
      <c r="H156" s="1" t="s">
        <v>13</v>
      </c>
      <c r="I156" s="1" t="s">
        <v>14</v>
      </c>
      <c r="J156" s="14">
        <v>0.56905092592592588</v>
      </c>
      <c r="K156" s="15">
        <v>45514</v>
      </c>
      <c r="L156" s="15"/>
      <c r="M156" s="2">
        <v>0.76</v>
      </c>
      <c r="O156" s="2">
        <f t="shared" si="19"/>
        <v>0.69500000000000006</v>
      </c>
      <c r="P156" s="2">
        <f t="shared" si="20"/>
        <v>44.056289707750956</v>
      </c>
      <c r="Q156" s="2">
        <f t="shared" si="21"/>
        <v>0.21075000000000021</v>
      </c>
      <c r="R156" s="2">
        <f t="shared" si="22"/>
        <v>0.22035260482845784</v>
      </c>
      <c r="S156" s="2">
        <f t="shared" si="23"/>
        <v>-9.6026048284576226E-3</v>
      </c>
    </row>
    <row r="157" spans="2:19" x14ac:dyDescent="0.25">
      <c r="B157" s="1">
        <f t="shared" si="24"/>
        <v>151</v>
      </c>
      <c r="C157" s="1">
        <v>281</v>
      </c>
      <c r="D157" s="13">
        <v>42.1</v>
      </c>
      <c r="E157" s="1" t="s">
        <v>11</v>
      </c>
      <c r="F157" s="2">
        <v>0.83499999999999996</v>
      </c>
      <c r="G157" s="1" t="s">
        <v>12</v>
      </c>
      <c r="H157" s="1" t="s">
        <v>13</v>
      </c>
      <c r="I157" s="1" t="s">
        <v>14</v>
      </c>
      <c r="J157" s="14">
        <v>0.56905092592592588</v>
      </c>
      <c r="K157" s="15">
        <v>45514</v>
      </c>
      <c r="L157" s="15"/>
      <c r="M157" s="2">
        <v>0.76500000000000001</v>
      </c>
      <c r="O157" s="2">
        <f t="shared" si="19"/>
        <v>0.7</v>
      </c>
      <c r="P157" s="2">
        <f t="shared" si="20"/>
        <v>44.084752223634055</v>
      </c>
      <c r="Q157" s="2">
        <f t="shared" si="21"/>
        <v>0.21100000000000022</v>
      </c>
      <c r="R157" s="2">
        <f t="shared" si="22"/>
        <v>0.2204949174078831</v>
      </c>
      <c r="S157" s="2">
        <f t="shared" si="23"/>
        <v>-9.4949174078828857E-3</v>
      </c>
    </row>
    <row r="158" spans="2:19" x14ac:dyDescent="0.25">
      <c r="B158" s="1">
        <f t="shared" si="24"/>
        <v>152</v>
      </c>
      <c r="C158" s="1">
        <v>283</v>
      </c>
      <c r="D158" s="13">
        <v>42.3</v>
      </c>
      <c r="E158" s="1" t="s">
        <v>11</v>
      </c>
      <c r="F158" s="2">
        <v>0.84</v>
      </c>
      <c r="G158" s="1" t="s">
        <v>12</v>
      </c>
      <c r="H158" s="1" t="s">
        <v>13</v>
      </c>
      <c r="I158" s="1" t="s">
        <v>14</v>
      </c>
      <c r="J158" s="14">
        <v>0.56905092592592588</v>
      </c>
      <c r="K158" s="15">
        <v>45514</v>
      </c>
      <c r="L158" s="15"/>
      <c r="M158" s="2">
        <v>0.77</v>
      </c>
      <c r="O158" s="2">
        <f t="shared" si="19"/>
        <v>0.70500000000000007</v>
      </c>
      <c r="P158" s="2">
        <f t="shared" si="20"/>
        <v>44.113214739517154</v>
      </c>
      <c r="Q158" s="2">
        <f t="shared" si="21"/>
        <v>0.21150000000000016</v>
      </c>
      <c r="R158" s="2">
        <f t="shared" si="22"/>
        <v>0.22063722998728882</v>
      </c>
      <c r="S158" s="2">
        <f t="shared" si="23"/>
        <v>-9.1372299872886642E-3</v>
      </c>
    </row>
    <row r="159" spans="2:19" x14ac:dyDescent="0.25">
      <c r="B159" s="1">
        <f t="shared" si="24"/>
        <v>153</v>
      </c>
      <c r="C159" s="1">
        <v>284</v>
      </c>
      <c r="D159" s="13">
        <v>42.3</v>
      </c>
      <c r="E159" s="1" t="s">
        <v>11</v>
      </c>
      <c r="F159" s="2">
        <v>0.84499999999999997</v>
      </c>
      <c r="G159" s="1" t="s">
        <v>12</v>
      </c>
      <c r="H159" s="1" t="s">
        <v>13</v>
      </c>
      <c r="I159" s="1" t="s">
        <v>14</v>
      </c>
      <c r="J159" s="14">
        <v>0.56905092592592588</v>
      </c>
      <c r="K159" s="15">
        <v>45514</v>
      </c>
      <c r="L159" s="15"/>
      <c r="M159" s="2">
        <v>0.77500000000000002</v>
      </c>
      <c r="O159" s="2">
        <f t="shared" si="19"/>
        <v>0.71</v>
      </c>
      <c r="P159" s="2">
        <f t="shared" si="20"/>
        <v>44.141677255400253</v>
      </c>
      <c r="Q159" s="2">
        <f t="shared" si="21"/>
        <v>0.21150000000000016</v>
      </c>
      <c r="R159" s="2">
        <f t="shared" si="22"/>
        <v>0.22077954256671414</v>
      </c>
      <c r="S159" s="2">
        <f t="shared" si="23"/>
        <v>-9.279542566713983E-3</v>
      </c>
    </row>
    <row r="160" spans="2:19" x14ac:dyDescent="0.25">
      <c r="B160" s="1">
        <f t="shared" si="24"/>
        <v>154</v>
      </c>
      <c r="C160" s="1">
        <v>285</v>
      </c>
      <c r="D160" s="13">
        <v>42.3</v>
      </c>
      <c r="E160" s="1" t="s">
        <v>11</v>
      </c>
      <c r="F160" s="2">
        <v>0.85</v>
      </c>
      <c r="G160" s="1" t="s">
        <v>12</v>
      </c>
      <c r="H160" s="1" t="s">
        <v>13</v>
      </c>
      <c r="I160" s="1" t="s">
        <v>14</v>
      </c>
      <c r="J160" s="14">
        <v>0.56905092592592588</v>
      </c>
      <c r="K160" s="15">
        <v>45514</v>
      </c>
      <c r="L160" s="15"/>
      <c r="M160" s="2">
        <v>0.78</v>
      </c>
      <c r="O160" s="2">
        <f t="shared" si="19"/>
        <v>0.71500000000000008</v>
      </c>
      <c r="P160" s="2">
        <f t="shared" si="20"/>
        <v>44.17013977128336</v>
      </c>
      <c r="Q160" s="2">
        <f t="shared" si="21"/>
        <v>0.21150000000000016</v>
      </c>
      <c r="R160" s="2">
        <f t="shared" si="22"/>
        <v>0.22092185514611981</v>
      </c>
      <c r="S160" s="2">
        <f t="shared" si="23"/>
        <v>-9.4218551461196509E-3</v>
      </c>
    </row>
    <row r="161" spans="2:19" x14ac:dyDescent="0.25">
      <c r="B161" s="1">
        <f t="shared" si="24"/>
        <v>155</v>
      </c>
      <c r="C161" s="1">
        <v>287</v>
      </c>
      <c r="D161" s="13">
        <v>42.3</v>
      </c>
      <c r="E161" s="1" t="s">
        <v>11</v>
      </c>
      <c r="F161" s="2">
        <v>0.85499999999999998</v>
      </c>
      <c r="G161" s="1" t="s">
        <v>12</v>
      </c>
      <c r="H161" s="1" t="s">
        <v>13</v>
      </c>
      <c r="I161" s="1" t="s">
        <v>14</v>
      </c>
      <c r="J161" s="14">
        <v>0.56906250000000003</v>
      </c>
      <c r="K161" s="15">
        <v>45514</v>
      </c>
      <c r="L161" s="15"/>
      <c r="M161" s="2">
        <v>0.78500000000000003</v>
      </c>
      <c r="O161" s="2">
        <f t="shared" si="19"/>
        <v>0.72</v>
      </c>
      <c r="P161" s="2">
        <f t="shared" si="20"/>
        <v>44.198602287166459</v>
      </c>
      <c r="Q161" s="2">
        <f t="shared" si="21"/>
        <v>0.21125000000000019</v>
      </c>
      <c r="R161" s="2">
        <f t="shared" si="22"/>
        <v>0.22106416772554516</v>
      </c>
      <c r="S161" s="2">
        <f t="shared" si="23"/>
        <v>-9.81416772554497E-3</v>
      </c>
    </row>
    <row r="162" spans="2:19" x14ac:dyDescent="0.25">
      <c r="B162" s="1">
        <f t="shared" si="24"/>
        <v>156</v>
      </c>
      <c r="C162" s="1">
        <v>289</v>
      </c>
      <c r="D162" s="13">
        <v>42.2</v>
      </c>
      <c r="E162" s="1" t="s">
        <v>11</v>
      </c>
      <c r="F162" s="2">
        <v>0.86</v>
      </c>
      <c r="G162" s="1" t="s">
        <v>12</v>
      </c>
      <c r="H162" s="1" t="s">
        <v>13</v>
      </c>
      <c r="I162" s="1" t="s">
        <v>14</v>
      </c>
      <c r="J162" s="14">
        <v>0.56906250000000003</v>
      </c>
      <c r="K162" s="15">
        <v>45514</v>
      </c>
      <c r="L162" s="15"/>
      <c r="M162" s="2">
        <v>0.79</v>
      </c>
      <c r="O162" s="2">
        <f t="shared" si="19"/>
        <v>0.72500000000000009</v>
      </c>
      <c r="P162" s="2">
        <f t="shared" si="20"/>
        <v>44.227064803049558</v>
      </c>
      <c r="Q162" s="2">
        <f t="shared" si="21"/>
        <v>0.21150000000000016</v>
      </c>
      <c r="R162" s="2">
        <f t="shared" si="22"/>
        <v>0.2212064803049508</v>
      </c>
      <c r="S162" s="2">
        <f t="shared" si="23"/>
        <v>-9.7064803049506376E-3</v>
      </c>
    </row>
    <row r="163" spans="2:19" x14ac:dyDescent="0.25">
      <c r="B163" s="1">
        <f t="shared" si="24"/>
        <v>157</v>
      </c>
      <c r="C163" s="1">
        <v>290</v>
      </c>
      <c r="D163" s="13">
        <v>42.4</v>
      </c>
      <c r="E163" s="1" t="s">
        <v>11</v>
      </c>
      <c r="F163" s="2">
        <v>0.86499999999999999</v>
      </c>
      <c r="G163" s="1" t="s">
        <v>12</v>
      </c>
      <c r="H163" s="1" t="s">
        <v>13</v>
      </c>
      <c r="I163" s="1" t="s">
        <v>14</v>
      </c>
      <c r="J163" s="14">
        <v>0.56906250000000003</v>
      </c>
      <c r="K163" s="15">
        <v>45514</v>
      </c>
      <c r="L163" s="15"/>
      <c r="M163" s="2">
        <v>0.79500000000000004</v>
      </c>
      <c r="O163" s="2">
        <f t="shared" si="19"/>
        <v>0.73</v>
      </c>
      <c r="P163" s="2">
        <f t="shared" si="20"/>
        <v>44.255527318932657</v>
      </c>
      <c r="Q163" s="2">
        <f t="shared" si="21"/>
        <v>0.21225000000000022</v>
      </c>
      <c r="R163" s="2">
        <f t="shared" si="22"/>
        <v>0.22134879288437617</v>
      </c>
      <c r="S163" s="2">
        <f t="shared" si="23"/>
        <v>-9.0987928843759558E-3</v>
      </c>
    </row>
    <row r="164" spans="2:19" x14ac:dyDescent="0.25">
      <c r="B164" s="1">
        <f t="shared" si="24"/>
        <v>158</v>
      </c>
      <c r="C164" s="1">
        <v>292</v>
      </c>
      <c r="D164" s="13">
        <v>42.5</v>
      </c>
      <c r="E164" s="1" t="s">
        <v>11</v>
      </c>
      <c r="F164" s="2">
        <v>0.87</v>
      </c>
      <c r="G164" s="1" t="s">
        <v>12</v>
      </c>
      <c r="H164" s="1" t="s">
        <v>13</v>
      </c>
      <c r="I164" s="1" t="s">
        <v>14</v>
      </c>
      <c r="J164" s="14">
        <v>0.56906250000000003</v>
      </c>
      <c r="K164" s="15">
        <v>45514</v>
      </c>
      <c r="L164" s="15"/>
      <c r="M164" s="2">
        <v>0.8</v>
      </c>
      <c r="O164" s="2">
        <f t="shared" si="19"/>
        <v>0.7350000000000001</v>
      </c>
      <c r="P164" s="2">
        <f t="shared" si="20"/>
        <v>44.283989834815756</v>
      </c>
      <c r="Q164" s="2">
        <f t="shared" si="21"/>
        <v>0.21225000000000022</v>
      </c>
      <c r="R164" s="2">
        <f t="shared" si="22"/>
        <v>0.22149110546378178</v>
      </c>
      <c r="S164" s="2">
        <f t="shared" si="23"/>
        <v>-9.2411054637815682E-3</v>
      </c>
    </row>
    <row r="165" spans="2:19" x14ac:dyDescent="0.25">
      <c r="B165" s="1">
        <f t="shared" si="24"/>
        <v>159</v>
      </c>
      <c r="C165" s="1">
        <v>294</v>
      </c>
      <c r="D165" s="13">
        <v>42.4</v>
      </c>
      <c r="E165" s="1" t="s">
        <v>11</v>
      </c>
      <c r="F165" s="2">
        <v>0.875</v>
      </c>
      <c r="G165" s="1" t="s">
        <v>12</v>
      </c>
      <c r="H165" s="1" t="s">
        <v>13</v>
      </c>
      <c r="I165" s="1" t="s">
        <v>14</v>
      </c>
      <c r="J165" s="14">
        <v>0.56906250000000003</v>
      </c>
      <c r="K165" s="15">
        <v>45514</v>
      </c>
      <c r="L165" s="15"/>
      <c r="M165" s="2">
        <v>0.80500000000000005</v>
      </c>
      <c r="O165" s="2">
        <f t="shared" si="19"/>
        <v>0.74</v>
      </c>
      <c r="P165" s="2">
        <f t="shared" si="20"/>
        <v>44.312452350698855</v>
      </c>
      <c r="Q165" s="2">
        <f t="shared" si="21"/>
        <v>0.21175000000000016</v>
      </c>
      <c r="R165" s="2">
        <f t="shared" si="22"/>
        <v>0.22163341804320716</v>
      </c>
      <c r="S165" s="2">
        <f t="shared" si="23"/>
        <v>-9.8834180432069985E-3</v>
      </c>
    </row>
    <row r="166" spans="2:19" x14ac:dyDescent="0.25">
      <c r="B166" s="1">
        <f t="shared" si="24"/>
        <v>160</v>
      </c>
      <c r="C166" s="1">
        <v>295</v>
      </c>
      <c r="D166" s="13">
        <v>42.3</v>
      </c>
      <c r="E166" s="1" t="s">
        <v>11</v>
      </c>
      <c r="F166" s="2">
        <v>0.88</v>
      </c>
      <c r="G166" s="1" t="s">
        <v>12</v>
      </c>
      <c r="H166" s="1" t="s">
        <v>13</v>
      </c>
      <c r="I166" s="1" t="s">
        <v>14</v>
      </c>
      <c r="J166" s="14">
        <v>0.56906250000000003</v>
      </c>
      <c r="K166" s="15">
        <v>45514</v>
      </c>
      <c r="L166" s="15"/>
      <c r="M166" s="2">
        <v>0.81</v>
      </c>
      <c r="O166" s="2">
        <f t="shared" si="19"/>
        <v>0.74500000000000011</v>
      </c>
      <c r="P166" s="2">
        <f t="shared" si="20"/>
        <v>44.340914866581961</v>
      </c>
      <c r="Q166" s="2">
        <f t="shared" si="21"/>
        <v>0.21149999999999547</v>
      </c>
      <c r="R166" s="2">
        <f t="shared" si="22"/>
        <v>0.22177573062261285</v>
      </c>
      <c r="S166" s="2">
        <f t="shared" si="23"/>
        <v>-1.0275730622617385E-2</v>
      </c>
    </row>
    <row r="167" spans="2:19" x14ac:dyDescent="0.25">
      <c r="B167" s="1">
        <f t="shared" si="24"/>
        <v>161</v>
      </c>
      <c r="C167" s="1">
        <v>297</v>
      </c>
      <c r="D167" s="13">
        <v>42.3</v>
      </c>
      <c r="E167" s="1" t="s">
        <v>11</v>
      </c>
      <c r="F167" s="2">
        <v>0.88500000000000001</v>
      </c>
      <c r="G167" s="1" t="s">
        <v>12</v>
      </c>
      <c r="H167" s="1" t="s">
        <v>13</v>
      </c>
      <c r="I167" s="1" t="s">
        <v>14</v>
      </c>
      <c r="J167" s="14">
        <v>0.56907407407407407</v>
      </c>
      <c r="K167" s="15">
        <v>45514</v>
      </c>
      <c r="L167" s="15"/>
      <c r="M167" s="2">
        <v>0.81499999999999995</v>
      </c>
      <c r="O167" s="2">
        <f t="shared" si="19"/>
        <v>0.75</v>
      </c>
      <c r="P167" s="2">
        <f t="shared" si="20"/>
        <v>44.369377382465061</v>
      </c>
      <c r="Q167" s="2">
        <f t="shared" si="21"/>
        <v>0.21150000000000016</v>
      </c>
      <c r="R167" s="2">
        <f t="shared" si="22"/>
        <v>0.22191804320202829</v>
      </c>
      <c r="S167" s="2">
        <f t="shared" si="23"/>
        <v>-1.0418043202028132E-2</v>
      </c>
    </row>
    <row r="168" spans="2:19" x14ac:dyDescent="0.25">
      <c r="B168" s="1">
        <f t="shared" si="24"/>
        <v>162</v>
      </c>
      <c r="C168" s="1">
        <v>299</v>
      </c>
      <c r="D168" s="13">
        <v>42.3</v>
      </c>
      <c r="E168" s="1" t="s">
        <v>11</v>
      </c>
      <c r="F168" s="2">
        <v>0.89</v>
      </c>
      <c r="G168" s="1" t="s">
        <v>12</v>
      </c>
      <c r="H168" s="1" t="s">
        <v>13</v>
      </c>
      <c r="I168" s="1" t="s">
        <v>14</v>
      </c>
      <c r="J168" s="14">
        <v>0.56907407407407407</v>
      </c>
      <c r="K168" s="15">
        <v>45514</v>
      </c>
      <c r="L168" s="15"/>
      <c r="M168" s="2">
        <v>0.82</v>
      </c>
      <c r="O168" s="2">
        <f t="shared" si="19"/>
        <v>0.75499999999999989</v>
      </c>
      <c r="P168" s="2">
        <f t="shared" si="20"/>
        <v>44.39783989834816</v>
      </c>
      <c r="Q168" s="2">
        <f t="shared" si="21"/>
        <v>0.21150000000000016</v>
      </c>
      <c r="R168" s="2">
        <f t="shared" si="22"/>
        <v>0.22206035578145369</v>
      </c>
      <c r="S168" s="2">
        <f t="shared" si="23"/>
        <v>-1.0560355781453534E-2</v>
      </c>
    </row>
    <row r="169" spans="2:19" x14ac:dyDescent="0.25">
      <c r="B169" s="1">
        <f t="shared" si="24"/>
        <v>163</v>
      </c>
      <c r="C169" s="1">
        <v>300</v>
      </c>
      <c r="D169" s="13">
        <v>42.3</v>
      </c>
      <c r="E169" s="1" t="s">
        <v>11</v>
      </c>
      <c r="F169" s="2">
        <v>0.89500000000000002</v>
      </c>
      <c r="G169" s="1" t="s">
        <v>12</v>
      </c>
      <c r="H169" s="1" t="s">
        <v>13</v>
      </c>
      <c r="I169" s="1" t="s">
        <v>14</v>
      </c>
      <c r="J169" s="14">
        <v>0.56907407407407407</v>
      </c>
      <c r="K169" s="15">
        <v>45514</v>
      </c>
      <c r="L169" s="15"/>
      <c r="M169" s="2">
        <v>0.82499999999999996</v>
      </c>
      <c r="O169" s="2">
        <f t="shared" si="19"/>
        <v>0.76</v>
      </c>
      <c r="P169" s="2">
        <f t="shared" si="20"/>
        <v>44.426302414231259</v>
      </c>
      <c r="Q169" s="2">
        <f t="shared" si="21"/>
        <v>0.21125000000000019</v>
      </c>
      <c r="R169" s="2">
        <f t="shared" si="22"/>
        <v>0.22220266836085928</v>
      </c>
      <c r="S169" s="2">
        <f t="shared" si="23"/>
        <v>-1.0952668360859091E-2</v>
      </c>
    </row>
    <row r="170" spans="2:19" x14ac:dyDescent="0.25">
      <c r="B170" s="1">
        <f t="shared" si="24"/>
        <v>164</v>
      </c>
      <c r="C170" s="1">
        <v>301</v>
      </c>
      <c r="D170" s="13">
        <v>42.2</v>
      </c>
      <c r="E170" s="1" t="s">
        <v>11</v>
      </c>
      <c r="F170" s="2">
        <v>0.9</v>
      </c>
      <c r="G170" s="1" t="s">
        <v>12</v>
      </c>
      <c r="H170" s="1" t="s">
        <v>13</v>
      </c>
      <c r="I170" s="1" t="s">
        <v>14</v>
      </c>
      <c r="J170" s="14">
        <v>0.56907407407407407</v>
      </c>
      <c r="K170" s="15">
        <v>45514</v>
      </c>
      <c r="L170" s="15"/>
      <c r="M170" s="2">
        <v>0.83</v>
      </c>
      <c r="O170" s="2">
        <f t="shared" si="19"/>
        <v>0.7649999999999999</v>
      </c>
      <c r="P170" s="2">
        <f t="shared" si="20"/>
        <v>44.454764930114358</v>
      </c>
      <c r="Q170" s="2">
        <f t="shared" si="21"/>
        <v>0.21175000000000019</v>
      </c>
      <c r="R170" s="2">
        <f t="shared" si="22"/>
        <v>0.22234498094028468</v>
      </c>
      <c r="S170" s="2">
        <f t="shared" si="23"/>
        <v>-1.0594980940284493E-2</v>
      </c>
    </row>
    <row r="171" spans="2:19" x14ac:dyDescent="0.25">
      <c r="B171" s="1">
        <f t="shared" si="24"/>
        <v>165</v>
      </c>
      <c r="C171" s="1">
        <v>303</v>
      </c>
      <c r="D171" s="13">
        <v>42.5</v>
      </c>
      <c r="E171" s="1" t="s">
        <v>11</v>
      </c>
      <c r="F171" s="2">
        <v>0.90500000000000003</v>
      </c>
      <c r="G171" s="1" t="s">
        <v>12</v>
      </c>
      <c r="H171" s="1" t="s">
        <v>13</v>
      </c>
      <c r="I171" s="1" t="s">
        <v>14</v>
      </c>
      <c r="J171" s="14">
        <v>0.56907407407407407</v>
      </c>
      <c r="K171" s="15">
        <v>45514</v>
      </c>
      <c r="L171" s="15"/>
      <c r="M171" s="2">
        <v>0.83499999999999996</v>
      </c>
      <c r="O171" s="2">
        <f t="shared" si="19"/>
        <v>0.77</v>
      </c>
      <c r="P171" s="2">
        <f t="shared" si="20"/>
        <v>44.483227445997457</v>
      </c>
      <c r="Q171" s="2">
        <f t="shared" si="21"/>
        <v>0.21275000000000016</v>
      </c>
      <c r="R171" s="2">
        <f t="shared" si="22"/>
        <v>0.22248729351969032</v>
      </c>
      <c r="S171" s="2">
        <f t="shared" si="23"/>
        <v>-9.73729351969016E-3</v>
      </c>
    </row>
    <row r="172" spans="2:19" x14ac:dyDescent="0.25">
      <c r="B172" s="1">
        <f t="shared" si="24"/>
        <v>166</v>
      </c>
      <c r="C172" s="1">
        <v>304</v>
      </c>
      <c r="D172" s="13">
        <v>42.6</v>
      </c>
      <c r="E172" s="1" t="s">
        <v>11</v>
      </c>
      <c r="F172" s="2">
        <v>0.91</v>
      </c>
      <c r="G172" s="1" t="s">
        <v>12</v>
      </c>
      <c r="H172" s="1" t="s">
        <v>13</v>
      </c>
      <c r="I172" s="1" t="s">
        <v>14</v>
      </c>
      <c r="J172" s="14">
        <v>0.56907407407407407</v>
      </c>
      <c r="K172" s="15">
        <v>45514</v>
      </c>
      <c r="L172" s="15"/>
      <c r="M172" s="2">
        <v>0.84</v>
      </c>
      <c r="O172" s="2">
        <f t="shared" si="19"/>
        <v>0.77499999999999991</v>
      </c>
      <c r="P172" s="2">
        <f t="shared" si="20"/>
        <v>44.511689961880563</v>
      </c>
      <c r="Q172" s="2">
        <f t="shared" si="21"/>
        <v>0.21350000000000022</v>
      </c>
      <c r="R172" s="2">
        <f t="shared" si="22"/>
        <v>0.2226296060991157</v>
      </c>
      <c r="S172" s="2">
        <f t="shared" si="23"/>
        <v>-9.1296060991154782E-3</v>
      </c>
    </row>
    <row r="173" spans="2:19" x14ac:dyDescent="0.25">
      <c r="B173" s="1">
        <f t="shared" si="24"/>
        <v>167</v>
      </c>
      <c r="C173" s="1">
        <v>305</v>
      </c>
      <c r="D173" s="13">
        <v>42.8</v>
      </c>
      <c r="E173" s="1" t="s">
        <v>11</v>
      </c>
      <c r="F173" s="2">
        <v>0.91500000000000004</v>
      </c>
      <c r="G173" s="1" t="s">
        <v>12</v>
      </c>
      <c r="H173" s="1" t="s">
        <v>13</v>
      </c>
      <c r="I173" s="1" t="s">
        <v>14</v>
      </c>
      <c r="J173" s="14">
        <v>0.56907407407407407</v>
      </c>
      <c r="K173" s="15">
        <v>45514</v>
      </c>
      <c r="L173" s="15"/>
      <c r="M173" s="2">
        <v>0.84499999999999997</v>
      </c>
      <c r="O173" s="2">
        <f t="shared" si="19"/>
        <v>0.78</v>
      </c>
      <c r="P173" s="2">
        <f t="shared" si="20"/>
        <v>44.540152477763662</v>
      </c>
      <c r="Q173" s="2">
        <f t="shared" si="21"/>
        <v>0.21375000000000019</v>
      </c>
      <c r="R173" s="2">
        <f t="shared" si="22"/>
        <v>0.22277191867852134</v>
      </c>
      <c r="S173" s="2">
        <f t="shared" si="23"/>
        <v>-9.0219186785211458E-3</v>
      </c>
    </row>
    <row r="174" spans="2:19" x14ac:dyDescent="0.25">
      <c r="B174" s="1">
        <f t="shared" si="24"/>
        <v>168</v>
      </c>
      <c r="C174" s="1">
        <v>306</v>
      </c>
      <c r="D174" s="13">
        <v>42.7</v>
      </c>
      <c r="E174" s="1" t="s">
        <v>11</v>
      </c>
      <c r="F174" s="2">
        <v>0.92</v>
      </c>
      <c r="G174" s="1" t="s">
        <v>12</v>
      </c>
      <c r="H174" s="1" t="s">
        <v>13</v>
      </c>
      <c r="I174" s="1" t="s">
        <v>14</v>
      </c>
      <c r="J174" s="14">
        <v>0.5690856481481481</v>
      </c>
      <c r="K174" s="15">
        <v>45514</v>
      </c>
      <c r="L174" s="15"/>
      <c r="M174" s="2">
        <v>0.85</v>
      </c>
      <c r="O174" s="2">
        <f t="shared" si="19"/>
        <v>0.78499999999999992</v>
      </c>
      <c r="P174" s="2">
        <f t="shared" si="20"/>
        <v>44.568614993646761</v>
      </c>
      <c r="Q174" s="2">
        <f t="shared" si="21"/>
        <v>0.21375000000000019</v>
      </c>
      <c r="R174" s="2">
        <f t="shared" si="22"/>
        <v>0.22291423125794668</v>
      </c>
      <c r="S174" s="2">
        <f t="shared" si="23"/>
        <v>-9.1642312579464924E-3</v>
      </c>
    </row>
    <row r="175" spans="2:19" x14ac:dyDescent="0.25">
      <c r="B175" s="1">
        <f t="shared" si="24"/>
        <v>169</v>
      </c>
      <c r="C175" s="1">
        <v>308</v>
      </c>
      <c r="D175" s="13">
        <v>42.8</v>
      </c>
      <c r="E175" s="1" t="s">
        <v>11</v>
      </c>
      <c r="F175" s="2">
        <v>0.92500000000000004</v>
      </c>
      <c r="G175" s="1" t="s">
        <v>12</v>
      </c>
      <c r="H175" s="1" t="s">
        <v>13</v>
      </c>
      <c r="I175" s="1" t="s">
        <v>14</v>
      </c>
      <c r="J175" s="14">
        <v>0.5690856481481481</v>
      </c>
      <c r="K175" s="15">
        <v>45514</v>
      </c>
      <c r="L175" s="15"/>
      <c r="M175" s="2">
        <v>0.85499999999999998</v>
      </c>
      <c r="O175" s="2">
        <f t="shared" si="19"/>
        <v>0.79</v>
      </c>
      <c r="P175" s="2">
        <f t="shared" si="20"/>
        <v>44.597077509529861</v>
      </c>
      <c r="Q175" s="2">
        <f t="shared" si="21"/>
        <v>0.21375000000000019</v>
      </c>
      <c r="R175" s="2">
        <f t="shared" si="22"/>
        <v>0.22305654383735232</v>
      </c>
      <c r="S175" s="2">
        <f t="shared" si="23"/>
        <v>-9.3065438373521325E-3</v>
      </c>
    </row>
    <row r="176" spans="2:19" x14ac:dyDescent="0.25">
      <c r="B176" s="1">
        <f t="shared" si="24"/>
        <v>170</v>
      </c>
      <c r="C176" s="1">
        <v>309</v>
      </c>
      <c r="D176" s="13">
        <v>42.7</v>
      </c>
      <c r="E176" s="1" t="s">
        <v>11</v>
      </c>
      <c r="F176" s="2">
        <v>0.93</v>
      </c>
      <c r="G176" s="1" t="s">
        <v>12</v>
      </c>
      <c r="H176" s="1" t="s">
        <v>13</v>
      </c>
      <c r="I176" s="1" t="s">
        <v>14</v>
      </c>
      <c r="J176" s="14">
        <v>0.5690856481481481</v>
      </c>
      <c r="K176" s="15">
        <v>45514</v>
      </c>
      <c r="L176" s="15"/>
      <c r="M176" s="2">
        <v>0.86</v>
      </c>
      <c r="O176" s="2">
        <f t="shared" si="19"/>
        <v>0.79499999999999993</v>
      </c>
      <c r="P176" s="2">
        <f t="shared" si="20"/>
        <v>44.62554002541296</v>
      </c>
      <c r="Q176" s="2">
        <f t="shared" si="21"/>
        <v>0.21350000000000022</v>
      </c>
      <c r="R176" s="2">
        <f t="shared" si="22"/>
        <v>0.22319885641677772</v>
      </c>
      <c r="S176" s="2">
        <f t="shared" si="23"/>
        <v>-9.6988564167775071E-3</v>
      </c>
    </row>
    <row r="177" spans="2:19" x14ac:dyDescent="0.25">
      <c r="B177" s="1">
        <f t="shared" si="24"/>
        <v>171</v>
      </c>
      <c r="C177" s="1">
        <v>310</v>
      </c>
      <c r="D177" s="13">
        <v>42.7</v>
      </c>
      <c r="E177" s="1" t="s">
        <v>11</v>
      </c>
      <c r="F177" s="2">
        <v>0.93500000000000005</v>
      </c>
      <c r="G177" s="1" t="s">
        <v>12</v>
      </c>
      <c r="H177" s="1" t="s">
        <v>13</v>
      </c>
      <c r="I177" s="1" t="s">
        <v>14</v>
      </c>
      <c r="J177" s="14">
        <v>0.5690856481481481</v>
      </c>
      <c r="K177" s="15">
        <v>45514</v>
      </c>
      <c r="L177" s="15"/>
      <c r="M177" s="2">
        <v>0.86499999999999999</v>
      </c>
      <c r="O177" s="2">
        <f t="shared" si="19"/>
        <v>0.8</v>
      </c>
      <c r="P177" s="2">
        <f t="shared" si="20"/>
        <v>44.654002541296066</v>
      </c>
      <c r="Q177" s="2">
        <f t="shared" si="21"/>
        <v>0.21375000000000019</v>
      </c>
      <c r="R177" s="2">
        <f t="shared" si="22"/>
        <v>0.22334116899618331</v>
      </c>
      <c r="S177" s="2">
        <f t="shared" si="23"/>
        <v>-9.5911689961831192E-3</v>
      </c>
    </row>
    <row r="178" spans="2:19" x14ac:dyDescent="0.25">
      <c r="B178" s="1">
        <f t="shared" si="24"/>
        <v>172</v>
      </c>
      <c r="C178" s="1">
        <v>311</v>
      </c>
      <c r="D178" s="13">
        <v>42.8</v>
      </c>
      <c r="E178" s="1" t="s">
        <v>11</v>
      </c>
      <c r="F178" s="2">
        <v>0.94</v>
      </c>
      <c r="G178" s="1" t="s">
        <v>12</v>
      </c>
      <c r="H178" s="1" t="s">
        <v>13</v>
      </c>
      <c r="I178" s="1" t="s">
        <v>14</v>
      </c>
      <c r="J178" s="14">
        <v>0.5690856481481481</v>
      </c>
      <c r="K178" s="15">
        <v>45514</v>
      </c>
      <c r="L178" s="15"/>
      <c r="M178" s="2">
        <v>0.87</v>
      </c>
      <c r="O178" s="2">
        <f t="shared" si="19"/>
        <v>0.80499999999999994</v>
      </c>
      <c r="P178" s="2">
        <f t="shared" si="20"/>
        <v>44.682465057179165</v>
      </c>
      <c r="Q178" s="2">
        <f t="shared" si="21"/>
        <v>0.21425000000000016</v>
      </c>
      <c r="R178" s="2">
        <f t="shared" si="22"/>
        <v>0.22348348157560874</v>
      </c>
      <c r="S178" s="2">
        <f t="shared" si="23"/>
        <v>-9.2334815756085764E-3</v>
      </c>
    </row>
    <row r="179" spans="2:19" x14ac:dyDescent="0.25">
      <c r="B179" s="1">
        <f t="shared" si="24"/>
        <v>173</v>
      </c>
      <c r="C179" s="1">
        <v>313</v>
      </c>
      <c r="D179" s="13">
        <v>42.9</v>
      </c>
      <c r="E179" s="1" t="s">
        <v>11</v>
      </c>
      <c r="F179" s="2">
        <v>0.94499999999999995</v>
      </c>
      <c r="G179" s="1" t="s">
        <v>12</v>
      </c>
      <c r="H179" s="1" t="s">
        <v>13</v>
      </c>
      <c r="I179" s="1" t="s">
        <v>14</v>
      </c>
      <c r="J179" s="14">
        <v>0.5690856481481481</v>
      </c>
      <c r="K179" s="15">
        <v>45514</v>
      </c>
      <c r="L179" s="15"/>
      <c r="M179" s="2">
        <v>0.875</v>
      </c>
      <c r="O179" s="2">
        <f t="shared" si="19"/>
        <v>0.81</v>
      </c>
      <c r="P179" s="2">
        <f t="shared" si="20"/>
        <v>44.710927573062264</v>
      </c>
      <c r="Q179" s="2">
        <f t="shared" si="21"/>
        <v>0.21450000000000019</v>
      </c>
      <c r="R179" s="2">
        <f t="shared" si="22"/>
        <v>0.2236257941550143</v>
      </c>
      <c r="S179" s="2">
        <f t="shared" si="23"/>
        <v>-9.1257941550141053E-3</v>
      </c>
    </row>
    <row r="180" spans="2:19" x14ac:dyDescent="0.25">
      <c r="B180" s="1">
        <f t="shared" si="24"/>
        <v>174</v>
      </c>
      <c r="C180" s="1">
        <v>314</v>
      </c>
      <c r="D180" s="13">
        <v>42.9</v>
      </c>
      <c r="E180" s="1" t="s">
        <v>11</v>
      </c>
      <c r="F180" s="2">
        <v>0.95</v>
      </c>
      <c r="G180" s="1" t="s">
        <v>12</v>
      </c>
      <c r="H180" s="1" t="s">
        <v>13</v>
      </c>
      <c r="I180" s="1" t="s">
        <v>14</v>
      </c>
      <c r="J180" s="14">
        <v>0.5690856481481481</v>
      </c>
      <c r="K180" s="15">
        <v>45514</v>
      </c>
      <c r="L180" s="15"/>
      <c r="M180" s="2">
        <v>0.88</v>
      </c>
      <c r="O180" s="2">
        <f t="shared" si="19"/>
        <v>0.81499999999999995</v>
      </c>
      <c r="P180" s="2">
        <f t="shared" si="20"/>
        <v>44.739390088945363</v>
      </c>
      <c r="Q180" s="2">
        <f t="shared" si="21"/>
        <v>0.21450000000000019</v>
      </c>
      <c r="R180" s="2">
        <f t="shared" si="22"/>
        <v>0.22376810673443975</v>
      </c>
      <c r="S180" s="2">
        <f t="shared" si="23"/>
        <v>-9.2681067344395629E-3</v>
      </c>
    </row>
    <row r="181" spans="2:19" x14ac:dyDescent="0.25">
      <c r="B181" s="1">
        <f t="shared" si="24"/>
        <v>175</v>
      </c>
      <c r="C181" s="1">
        <v>316</v>
      </c>
      <c r="D181" s="13">
        <v>42.9</v>
      </c>
      <c r="E181" s="1" t="s">
        <v>11</v>
      </c>
      <c r="F181" s="2">
        <v>0.95499999999999996</v>
      </c>
      <c r="G181" s="1" t="s">
        <v>12</v>
      </c>
      <c r="H181" s="1" t="s">
        <v>13</v>
      </c>
      <c r="I181" s="1" t="s">
        <v>14</v>
      </c>
      <c r="J181" s="14">
        <v>0.56909722222222225</v>
      </c>
      <c r="K181" s="15">
        <v>45514</v>
      </c>
      <c r="L181" s="15"/>
      <c r="M181" s="2">
        <v>0.88500000000000001</v>
      </c>
      <c r="O181" s="2">
        <f t="shared" si="19"/>
        <v>0.82000000000000006</v>
      </c>
      <c r="P181" s="2">
        <f t="shared" si="20"/>
        <v>44.767852604828462</v>
      </c>
      <c r="Q181" s="2">
        <f t="shared" si="21"/>
        <v>0.21475000000000022</v>
      </c>
      <c r="R181" s="2">
        <f t="shared" si="22"/>
        <v>0.22391041931384528</v>
      </c>
      <c r="S181" s="2">
        <f t="shared" si="23"/>
        <v>-9.160419313845064E-3</v>
      </c>
    </row>
    <row r="182" spans="2:19" x14ac:dyDescent="0.25">
      <c r="B182" s="1">
        <f t="shared" si="24"/>
        <v>176</v>
      </c>
      <c r="C182" s="1">
        <v>319</v>
      </c>
      <c r="D182" s="13">
        <v>43</v>
      </c>
      <c r="E182" s="1" t="s">
        <v>11</v>
      </c>
      <c r="F182" s="2">
        <v>0.96</v>
      </c>
      <c r="G182" s="1" t="s">
        <v>12</v>
      </c>
      <c r="H182" s="1" t="s">
        <v>13</v>
      </c>
      <c r="I182" s="1" t="s">
        <v>14</v>
      </c>
      <c r="J182" s="14">
        <v>0.56909722222222225</v>
      </c>
      <c r="K182" s="15">
        <v>45514</v>
      </c>
      <c r="L182" s="15"/>
      <c r="M182" s="2">
        <v>0.89</v>
      </c>
      <c r="O182" s="2">
        <f t="shared" si="19"/>
        <v>0.82499999999999996</v>
      </c>
      <c r="P182" s="2">
        <f t="shared" si="20"/>
        <v>44.796315120711562</v>
      </c>
      <c r="Q182" s="2">
        <f t="shared" si="21"/>
        <v>0.21525000000000016</v>
      </c>
      <c r="R182" s="2">
        <f t="shared" si="22"/>
        <v>0.22405273189327074</v>
      </c>
      <c r="S182" s="2">
        <f t="shared" si="23"/>
        <v>-8.8027318932705767E-3</v>
      </c>
    </row>
    <row r="183" spans="2:19" x14ac:dyDescent="0.25">
      <c r="B183" s="1">
        <f t="shared" si="24"/>
        <v>177</v>
      </c>
      <c r="C183" s="1">
        <v>321</v>
      </c>
      <c r="D183" s="13">
        <v>43.1</v>
      </c>
      <c r="E183" s="1" t="s">
        <v>11</v>
      </c>
      <c r="F183" s="2">
        <v>0.96499999999999997</v>
      </c>
      <c r="G183" s="1" t="s">
        <v>12</v>
      </c>
      <c r="H183" s="1" t="s">
        <v>13</v>
      </c>
      <c r="I183" s="1" t="s">
        <v>14</v>
      </c>
      <c r="J183" s="14">
        <v>0.56909722222222225</v>
      </c>
      <c r="K183" s="15">
        <v>45514</v>
      </c>
      <c r="L183" s="15"/>
      <c r="M183" s="2">
        <v>0.89500000000000002</v>
      </c>
      <c r="O183" s="2">
        <f t="shared" si="19"/>
        <v>0.83000000000000007</v>
      </c>
      <c r="P183" s="2">
        <f t="shared" si="20"/>
        <v>44.824777636594668</v>
      </c>
      <c r="Q183" s="2">
        <f t="shared" si="21"/>
        <v>0.21550000000000019</v>
      </c>
      <c r="R183" s="2">
        <f t="shared" si="22"/>
        <v>0.22419504447267632</v>
      </c>
      <c r="S183" s="2">
        <f t="shared" si="23"/>
        <v>-8.6950444726761333E-3</v>
      </c>
    </row>
    <row r="184" spans="2:19" x14ac:dyDescent="0.25">
      <c r="B184" s="1">
        <f t="shared" si="24"/>
        <v>178</v>
      </c>
      <c r="C184" s="1">
        <v>322</v>
      </c>
      <c r="D184" s="13">
        <v>43.1</v>
      </c>
      <c r="E184" s="1" t="s">
        <v>11</v>
      </c>
      <c r="F184" s="2">
        <v>0.97</v>
      </c>
      <c r="G184" s="1" t="s">
        <v>12</v>
      </c>
      <c r="H184" s="1" t="s">
        <v>13</v>
      </c>
      <c r="I184" s="1" t="s">
        <v>14</v>
      </c>
      <c r="J184" s="14">
        <v>0.56909722222222225</v>
      </c>
      <c r="K184" s="15">
        <v>45514</v>
      </c>
      <c r="L184" s="15"/>
      <c r="M184" s="2">
        <v>0.9</v>
      </c>
      <c r="O184" s="2">
        <f t="shared" si="19"/>
        <v>0.83499999999999996</v>
      </c>
      <c r="P184" s="2">
        <f t="shared" si="20"/>
        <v>44.853240152477767</v>
      </c>
      <c r="Q184" s="2">
        <f t="shared" si="21"/>
        <v>0.21600000000000022</v>
      </c>
      <c r="R184" s="2">
        <f t="shared" si="22"/>
        <v>0.22433735705210175</v>
      </c>
      <c r="S184" s="2">
        <f t="shared" si="23"/>
        <v>-8.337357052101535E-3</v>
      </c>
    </row>
    <row r="185" spans="2:19" x14ac:dyDescent="0.25">
      <c r="B185" s="1">
        <f t="shared" si="24"/>
        <v>179</v>
      </c>
      <c r="C185" s="1">
        <v>324</v>
      </c>
      <c r="D185" s="13">
        <v>43.3</v>
      </c>
      <c r="E185" s="1" t="s">
        <v>11</v>
      </c>
      <c r="F185" s="2">
        <v>0.97499999999999998</v>
      </c>
      <c r="G185" s="1" t="s">
        <v>12</v>
      </c>
      <c r="H185" s="1" t="s">
        <v>13</v>
      </c>
      <c r="I185" s="1" t="s">
        <v>14</v>
      </c>
      <c r="J185" s="14">
        <v>0.56909722222222225</v>
      </c>
      <c r="K185" s="15">
        <v>45514</v>
      </c>
      <c r="L185" s="15"/>
      <c r="M185" s="2">
        <v>0.90500000000000003</v>
      </c>
      <c r="O185" s="2">
        <f t="shared" si="19"/>
        <v>0.84000000000000008</v>
      </c>
      <c r="P185" s="2">
        <f t="shared" si="20"/>
        <v>44.881702668360866</v>
      </c>
      <c r="Q185" s="2">
        <f t="shared" si="21"/>
        <v>0.21650000000000016</v>
      </c>
      <c r="R185" s="2">
        <f t="shared" si="22"/>
        <v>0.22447966963150731</v>
      </c>
      <c r="S185" s="2">
        <f t="shared" si="23"/>
        <v>-7.9796696315071469E-3</v>
      </c>
    </row>
    <row r="186" spans="2:19" x14ac:dyDescent="0.25">
      <c r="B186" s="1">
        <f t="shared" si="24"/>
        <v>180</v>
      </c>
      <c r="C186" s="1">
        <v>326</v>
      </c>
      <c r="D186" s="13">
        <v>43.3</v>
      </c>
      <c r="E186" s="1" t="s">
        <v>11</v>
      </c>
      <c r="F186" s="2">
        <v>0.98</v>
      </c>
      <c r="G186" s="1" t="s">
        <v>12</v>
      </c>
      <c r="H186" s="1" t="s">
        <v>13</v>
      </c>
      <c r="I186" s="1" t="s">
        <v>14</v>
      </c>
      <c r="J186" s="14">
        <v>0.56910879629629629</v>
      </c>
      <c r="K186" s="15">
        <v>45514</v>
      </c>
      <c r="L186" s="15"/>
      <c r="M186" s="2">
        <v>0.91</v>
      </c>
      <c r="O186" s="2">
        <f t="shared" si="19"/>
        <v>0.84499999999999997</v>
      </c>
      <c r="P186" s="2">
        <f t="shared" si="20"/>
        <v>44.910165184243965</v>
      </c>
      <c r="Q186" s="2">
        <f t="shared" si="21"/>
        <v>0.21625000000000019</v>
      </c>
      <c r="R186" s="2">
        <f t="shared" si="22"/>
        <v>0.22462198221093274</v>
      </c>
      <c r="S186" s="2">
        <f t="shared" si="23"/>
        <v>-8.3719822109325492E-3</v>
      </c>
    </row>
    <row r="187" spans="2:19" x14ac:dyDescent="0.25">
      <c r="B187" s="1">
        <f t="shared" si="24"/>
        <v>181</v>
      </c>
      <c r="C187" s="1">
        <v>328</v>
      </c>
      <c r="D187" s="13">
        <v>43.2</v>
      </c>
      <c r="E187" s="1" t="s">
        <v>11</v>
      </c>
      <c r="F187" s="2">
        <v>0.98499999999999999</v>
      </c>
      <c r="G187" s="1" t="s">
        <v>12</v>
      </c>
      <c r="H187" s="1" t="s">
        <v>13</v>
      </c>
      <c r="I187" s="1" t="s">
        <v>14</v>
      </c>
      <c r="J187" s="14">
        <v>0.56910879629629629</v>
      </c>
      <c r="K187" s="15">
        <v>45514</v>
      </c>
      <c r="L187" s="15"/>
      <c r="M187" s="2">
        <v>0.91500000000000004</v>
      </c>
      <c r="O187" s="2">
        <f t="shared" si="19"/>
        <v>0.85000000000000009</v>
      </c>
      <c r="P187" s="2">
        <f t="shared" si="20"/>
        <v>44.938627700127064</v>
      </c>
      <c r="Q187" s="2">
        <f t="shared" si="21"/>
        <v>0.21575000000000022</v>
      </c>
      <c r="R187" s="2">
        <f t="shared" si="22"/>
        <v>0.2247642947903383</v>
      </c>
      <c r="S187" s="2">
        <f t="shared" si="23"/>
        <v>-9.0142947903380788E-3</v>
      </c>
    </row>
    <row r="188" spans="2:19" x14ac:dyDescent="0.25">
      <c r="B188" s="1">
        <f t="shared" si="24"/>
        <v>182</v>
      </c>
      <c r="C188" s="1">
        <v>330</v>
      </c>
      <c r="D188" s="13">
        <v>43.1</v>
      </c>
      <c r="E188" s="1" t="s">
        <v>11</v>
      </c>
      <c r="F188" s="2">
        <v>0.99</v>
      </c>
      <c r="G188" s="1" t="s">
        <v>12</v>
      </c>
      <c r="H188" s="1" t="s">
        <v>13</v>
      </c>
      <c r="I188" s="1" t="s">
        <v>14</v>
      </c>
      <c r="J188" s="14">
        <v>0.56910879629629629</v>
      </c>
      <c r="K188" s="15">
        <v>45514</v>
      </c>
      <c r="L188" s="15"/>
      <c r="M188" s="2">
        <v>0.92</v>
      </c>
      <c r="O188" s="2">
        <f t="shared" si="19"/>
        <v>0.85499999999999998</v>
      </c>
      <c r="P188" s="2">
        <f t="shared" si="20"/>
        <v>44.967090216010163</v>
      </c>
      <c r="Q188" s="2">
        <f t="shared" si="21"/>
        <v>0.21575000000000022</v>
      </c>
      <c r="R188" s="2">
        <f t="shared" si="22"/>
        <v>0.22490660736976378</v>
      </c>
      <c r="S188" s="2">
        <f t="shared" si="23"/>
        <v>-9.1566073697635642E-3</v>
      </c>
    </row>
    <row r="189" spans="2:19" x14ac:dyDescent="0.25">
      <c r="B189" s="1">
        <f t="shared" si="24"/>
        <v>183</v>
      </c>
      <c r="C189" s="1">
        <v>333</v>
      </c>
      <c r="D189" s="13">
        <v>43.2</v>
      </c>
      <c r="E189" s="1" t="s">
        <v>11</v>
      </c>
      <c r="F189" s="2">
        <v>0.995</v>
      </c>
      <c r="G189" s="1" t="s">
        <v>12</v>
      </c>
      <c r="H189" s="1" t="s">
        <v>13</v>
      </c>
      <c r="I189" s="1" t="s">
        <v>14</v>
      </c>
      <c r="J189" s="14">
        <v>0.56910879629629629</v>
      </c>
      <c r="K189" s="15">
        <v>45514</v>
      </c>
      <c r="L189" s="15"/>
      <c r="M189" s="2">
        <v>0.92500000000000004</v>
      </c>
      <c r="O189" s="2">
        <f t="shared" si="19"/>
        <v>0.8600000000000001</v>
      </c>
      <c r="P189" s="2">
        <f t="shared" si="20"/>
        <v>44.99555273189327</v>
      </c>
      <c r="Q189" s="2">
        <f t="shared" si="21"/>
        <v>0.21650000000000016</v>
      </c>
      <c r="R189" s="2">
        <f t="shared" si="22"/>
        <v>0.22504891994916928</v>
      </c>
      <c r="S189" s="2">
        <f t="shared" si="23"/>
        <v>-8.5489199491691203E-3</v>
      </c>
    </row>
    <row r="190" spans="2:19" x14ac:dyDescent="0.25">
      <c r="B190" s="1">
        <f t="shared" si="24"/>
        <v>184</v>
      </c>
      <c r="C190" s="1">
        <v>336</v>
      </c>
      <c r="D190" s="13">
        <v>43.4</v>
      </c>
      <c r="E190" s="1" t="s">
        <v>11</v>
      </c>
      <c r="F190" s="2">
        <v>1</v>
      </c>
      <c r="G190" s="1" t="s">
        <v>12</v>
      </c>
      <c r="H190" s="1" t="s">
        <v>13</v>
      </c>
      <c r="I190" s="1" t="s">
        <v>14</v>
      </c>
      <c r="J190" s="14">
        <v>0.56912037037037033</v>
      </c>
      <c r="K190" s="15">
        <v>45514</v>
      </c>
      <c r="L190" s="15"/>
      <c r="M190" s="2">
        <v>0.93</v>
      </c>
      <c r="O190" s="2">
        <f t="shared" si="19"/>
        <v>0.86499999999999999</v>
      </c>
      <c r="P190" s="2">
        <f t="shared" si="20"/>
        <v>45.024015247776369</v>
      </c>
      <c r="Q190" s="2">
        <f t="shared" si="21"/>
        <v>0.21700000000000019</v>
      </c>
      <c r="R190" s="2">
        <f t="shared" si="22"/>
        <v>0.2251912325285948</v>
      </c>
      <c r="S190" s="2">
        <f t="shared" si="23"/>
        <v>-8.1912325285946053E-3</v>
      </c>
    </row>
    <row r="191" spans="2:19" x14ac:dyDescent="0.25">
      <c r="B191" s="1">
        <f t="shared" si="24"/>
        <v>185</v>
      </c>
      <c r="C191" s="1">
        <v>338</v>
      </c>
      <c r="D191" s="13">
        <v>43.4</v>
      </c>
      <c r="E191" s="1" t="s">
        <v>11</v>
      </c>
      <c r="F191" s="2">
        <v>1.0049999999999999</v>
      </c>
      <c r="G191" s="1" t="s">
        <v>12</v>
      </c>
      <c r="H191" s="1" t="s">
        <v>13</v>
      </c>
      <c r="I191" s="1" t="s">
        <v>14</v>
      </c>
      <c r="J191" s="14">
        <v>0.56912037037037033</v>
      </c>
      <c r="K191" s="15">
        <v>45514</v>
      </c>
      <c r="L191" s="15"/>
      <c r="M191" s="2">
        <v>0.93500000000000005</v>
      </c>
      <c r="O191" s="2">
        <f t="shared" si="19"/>
        <v>0.87000000000000011</v>
      </c>
      <c r="P191" s="2">
        <f t="shared" si="20"/>
        <v>45.052477763659468</v>
      </c>
      <c r="Q191" s="2">
        <f t="shared" si="21"/>
        <v>0.21774999999999534</v>
      </c>
      <c r="R191" s="2">
        <f t="shared" si="22"/>
        <v>0.22533354510800027</v>
      </c>
      <c r="S191" s="2">
        <f t="shared" si="23"/>
        <v>-7.5835451080049354E-3</v>
      </c>
    </row>
    <row r="192" spans="2:19" x14ac:dyDescent="0.25">
      <c r="B192" s="1">
        <f t="shared" si="24"/>
        <v>186</v>
      </c>
      <c r="C192" s="1">
        <v>340</v>
      </c>
      <c r="D192" s="13">
        <v>43.7</v>
      </c>
      <c r="E192" s="1" t="s">
        <v>11</v>
      </c>
      <c r="F192" s="2">
        <v>1.01</v>
      </c>
      <c r="G192" s="1" t="s">
        <v>12</v>
      </c>
      <c r="H192" s="1" t="s">
        <v>13</v>
      </c>
      <c r="I192" s="1" t="s">
        <v>14</v>
      </c>
      <c r="J192" s="14">
        <v>0.56912037037037033</v>
      </c>
      <c r="K192" s="15">
        <v>45514</v>
      </c>
      <c r="L192" s="15"/>
      <c r="M192" s="2">
        <v>0.94</v>
      </c>
      <c r="O192" s="2">
        <f t="shared" si="19"/>
        <v>0.875</v>
      </c>
      <c r="P192" s="2">
        <f t="shared" si="20"/>
        <v>45.080940279542567</v>
      </c>
      <c r="Q192" s="2">
        <f t="shared" si="21"/>
        <v>0.22025000000000017</v>
      </c>
      <c r="R192" s="2">
        <f t="shared" si="22"/>
        <v>0.22547585768741579</v>
      </c>
      <c r="S192" s="2">
        <f t="shared" si="23"/>
        <v>-5.2258576874156248E-3</v>
      </c>
    </row>
    <row r="193" spans="2:19" x14ac:dyDescent="0.25">
      <c r="B193" s="1">
        <f t="shared" si="24"/>
        <v>187</v>
      </c>
      <c r="C193" s="1">
        <v>343</v>
      </c>
      <c r="D193" s="13">
        <v>44.4</v>
      </c>
      <c r="E193" s="1" t="s">
        <v>11</v>
      </c>
      <c r="F193" s="2">
        <v>1.0149999999999999</v>
      </c>
      <c r="G193" s="1" t="s">
        <v>12</v>
      </c>
      <c r="H193" s="1" t="s">
        <v>13</v>
      </c>
      <c r="I193" s="1" t="s">
        <v>14</v>
      </c>
      <c r="J193" s="14">
        <v>0.56912037037037033</v>
      </c>
      <c r="K193" s="15">
        <v>45514</v>
      </c>
      <c r="L193" s="15"/>
      <c r="M193" s="2">
        <v>0.94499999999999995</v>
      </c>
      <c r="O193" s="2">
        <f t="shared" si="19"/>
        <v>0.87999999999999989</v>
      </c>
      <c r="P193" s="2">
        <f t="shared" si="20"/>
        <v>45.109402795425666</v>
      </c>
      <c r="Q193" s="2">
        <f t="shared" si="21"/>
        <v>0.2232500000000002</v>
      </c>
      <c r="R193" s="2">
        <f t="shared" si="22"/>
        <v>0.22561817026684131</v>
      </c>
      <c r="S193" s="2">
        <f t="shared" si="23"/>
        <v>-2.3681702668411075E-3</v>
      </c>
    </row>
    <row r="194" spans="2:19" x14ac:dyDescent="0.25">
      <c r="B194" s="1">
        <f t="shared" si="24"/>
        <v>188</v>
      </c>
      <c r="C194" s="1">
        <v>344</v>
      </c>
      <c r="D194" s="13">
        <v>44.9</v>
      </c>
      <c r="E194" s="1" t="s">
        <v>11</v>
      </c>
      <c r="F194" s="2">
        <v>1.02</v>
      </c>
      <c r="G194" s="1" t="s">
        <v>12</v>
      </c>
      <c r="H194" s="1" t="s">
        <v>13</v>
      </c>
      <c r="I194" s="1" t="s">
        <v>14</v>
      </c>
      <c r="J194" s="14">
        <v>0.56912037037037033</v>
      </c>
      <c r="K194" s="15">
        <v>45514</v>
      </c>
      <c r="L194" s="15"/>
      <c r="M194" s="2">
        <v>0.95</v>
      </c>
      <c r="O194" s="2">
        <f t="shared" si="19"/>
        <v>0.88500000000000001</v>
      </c>
      <c r="P194" s="2">
        <f t="shared" si="20"/>
        <v>45.137865311308772</v>
      </c>
      <c r="Q194" s="2">
        <f t="shared" si="21"/>
        <v>0.2270000000000002</v>
      </c>
      <c r="R194" s="2">
        <f t="shared" si="22"/>
        <v>0.22576048284624678</v>
      </c>
      <c r="S194" s="2">
        <f t="shared" si="23"/>
        <v>1.2395171537534222E-3</v>
      </c>
    </row>
    <row r="195" spans="2:19" x14ac:dyDescent="0.25">
      <c r="B195" s="1">
        <f t="shared" si="24"/>
        <v>189</v>
      </c>
      <c r="C195" s="1">
        <v>346</v>
      </c>
      <c r="D195" s="13">
        <v>45.9</v>
      </c>
      <c r="E195" s="1" t="s">
        <v>11</v>
      </c>
      <c r="F195" s="2">
        <v>1.0249999999999999</v>
      </c>
      <c r="G195" s="1" t="s">
        <v>12</v>
      </c>
      <c r="H195" s="1" t="s">
        <v>13</v>
      </c>
      <c r="I195" s="1" t="s">
        <v>14</v>
      </c>
      <c r="J195" s="14">
        <v>0.56913194444444448</v>
      </c>
      <c r="K195" s="15">
        <v>45514</v>
      </c>
      <c r="L195" s="15"/>
      <c r="M195" s="2">
        <v>0.95499999999999996</v>
      </c>
      <c r="O195" s="2">
        <f t="shared" si="19"/>
        <v>0.8899999999999999</v>
      </c>
      <c r="P195" s="2">
        <f t="shared" si="20"/>
        <v>45.166327827191871</v>
      </c>
      <c r="Q195" s="2">
        <f t="shared" si="21"/>
        <v>0.23125000000000021</v>
      </c>
      <c r="R195" s="2">
        <f t="shared" si="22"/>
        <v>0.22590279542567235</v>
      </c>
      <c r="S195" s="2">
        <f t="shared" si="23"/>
        <v>5.3472045743278573E-3</v>
      </c>
    </row>
    <row r="196" spans="2:19" x14ac:dyDescent="0.25">
      <c r="B196" s="1">
        <f t="shared" si="24"/>
        <v>190</v>
      </c>
      <c r="C196" s="1">
        <v>348</v>
      </c>
      <c r="D196" s="13">
        <v>46.6</v>
      </c>
      <c r="E196" s="1" t="s">
        <v>11</v>
      </c>
      <c r="F196" s="2">
        <v>1.03</v>
      </c>
      <c r="G196" s="1" t="s">
        <v>12</v>
      </c>
      <c r="H196" s="1" t="s">
        <v>13</v>
      </c>
      <c r="I196" s="1" t="s">
        <v>14</v>
      </c>
      <c r="J196" s="14">
        <v>0.56913194444444448</v>
      </c>
      <c r="K196" s="15">
        <v>45514</v>
      </c>
      <c r="L196" s="15"/>
      <c r="M196" s="2">
        <v>0.96</v>
      </c>
      <c r="O196" s="2">
        <f t="shared" si="19"/>
        <v>0.89500000000000002</v>
      </c>
      <c r="P196" s="2">
        <f t="shared" si="20"/>
        <v>45.19479034307497</v>
      </c>
      <c r="Q196" s="2">
        <f t="shared" si="21"/>
        <v>0.23325000000000023</v>
      </c>
      <c r="R196" s="2">
        <f t="shared" si="22"/>
        <v>0.22604510800507777</v>
      </c>
      <c r="S196" s="2">
        <f t="shared" si="23"/>
        <v>7.2048919949224688E-3</v>
      </c>
    </row>
    <row r="197" spans="2:19" x14ac:dyDescent="0.25">
      <c r="B197" s="1">
        <f t="shared" si="24"/>
        <v>191</v>
      </c>
      <c r="C197" s="1">
        <v>349</v>
      </c>
      <c r="D197" s="13">
        <v>46.7</v>
      </c>
      <c r="E197" s="1" t="s">
        <v>11</v>
      </c>
      <c r="F197" s="2">
        <v>1.0349999999999999</v>
      </c>
      <c r="G197" s="1" t="s">
        <v>12</v>
      </c>
      <c r="H197" s="1" t="s">
        <v>13</v>
      </c>
      <c r="I197" s="1" t="s">
        <v>14</v>
      </c>
      <c r="J197" s="14">
        <v>0.56913194444444448</v>
      </c>
      <c r="K197" s="15">
        <v>45514</v>
      </c>
      <c r="L197" s="15"/>
      <c r="M197" s="2">
        <v>0.96499999999999997</v>
      </c>
      <c r="O197" s="2">
        <f t="shared" si="19"/>
        <v>0.89999999999999991</v>
      </c>
      <c r="P197" s="2">
        <f t="shared" si="20"/>
        <v>45.22325285895807</v>
      </c>
      <c r="Q197" s="2">
        <f t="shared" si="21"/>
        <v>0.23375000000000021</v>
      </c>
      <c r="R197" s="2">
        <f t="shared" si="22"/>
        <v>0.22618742058450333</v>
      </c>
      <c r="S197" s="2">
        <f t="shared" si="23"/>
        <v>7.5625794154968728E-3</v>
      </c>
    </row>
    <row r="198" spans="2:19" x14ac:dyDescent="0.25">
      <c r="B198" s="1">
        <f t="shared" si="24"/>
        <v>192</v>
      </c>
      <c r="C198" s="1">
        <v>351</v>
      </c>
      <c r="D198" s="13">
        <v>46.8</v>
      </c>
      <c r="E198" s="1" t="s">
        <v>11</v>
      </c>
      <c r="F198" s="2">
        <v>1.04</v>
      </c>
      <c r="G198" s="1" t="s">
        <v>12</v>
      </c>
      <c r="H198" s="1" t="s">
        <v>13</v>
      </c>
      <c r="I198" s="1" t="s">
        <v>14</v>
      </c>
      <c r="J198" s="14">
        <v>0.56913194444444448</v>
      </c>
      <c r="K198" s="15">
        <v>45514</v>
      </c>
      <c r="L198" s="15"/>
      <c r="M198" s="2">
        <v>0.97</v>
      </c>
      <c r="O198" s="2">
        <f t="shared" si="19"/>
        <v>0.90500000000000003</v>
      </c>
      <c r="P198" s="2">
        <f t="shared" si="20"/>
        <v>45.251715374841169</v>
      </c>
      <c r="Q198" s="2">
        <f t="shared" si="21"/>
        <v>0.23450000000000021</v>
      </c>
      <c r="R198" s="2">
        <f t="shared" si="22"/>
        <v>0.22632973316390875</v>
      </c>
      <c r="S198" s="2">
        <f t="shared" si="23"/>
        <v>8.1702668360914554E-3</v>
      </c>
    </row>
    <row r="199" spans="2:19" x14ac:dyDescent="0.25">
      <c r="B199" s="1">
        <f t="shared" si="24"/>
        <v>193</v>
      </c>
      <c r="C199" s="1">
        <v>353</v>
      </c>
      <c r="D199" s="13">
        <v>47</v>
      </c>
      <c r="E199" s="1" t="s">
        <v>11</v>
      </c>
      <c r="F199" s="2">
        <v>1.0449999999999999</v>
      </c>
      <c r="G199" s="1" t="s">
        <v>12</v>
      </c>
      <c r="H199" s="1" t="s">
        <v>13</v>
      </c>
      <c r="I199" s="1" t="s">
        <v>14</v>
      </c>
      <c r="J199" s="14">
        <v>0.56913194444444448</v>
      </c>
      <c r="K199" s="15">
        <v>45514</v>
      </c>
      <c r="L199" s="15"/>
      <c r="M199" s="2">
        <v>0.97499999999999998</v>
      </c>
      <c r="O199" s="2">
        <f t="shared" si="19"/>
        <v>0.90999999999999992</v>
      </c>
      <c r="P199" s="2">
        <f t="shared" si="20"/>
        <v>45.280177890724268</v>
      </c>
      <c r="Q199" s="2">
        <f t="shared" si="21"/>
        <v>0.23450000000000021</v>
      </c>
      <c r="R199" s="2">
        <f t="shared" si="22"/>
        <v>0.22647204574333432</v>
      </c>
      <c r="S199" s="2">
        <f t="shared" si="23"/>
        <v>8.0279542566658868E-3</v>
      </c>
    </row>
    <row r="200" spans="2:19" x14ac:dyDescent="0.25">
      <c r="B200" s="1">
        <f t="shared" si="24"/>
        <v>194</v>
      </c>
      <c r="C200" s="1">
        <v>355</v>
      </c>
      <c r="D200" s="13">
        <v>46.8</v>
      </c>
      <c r="E200" s="1" t="s">
        <v>11</v>
      </c>
      <c r="F200" s="2">
        <v>1.05</v>
      </c>
      <c r="G200" s="1" t="s">
        <v>12</v>
      </c>
      <c r="H200" s="1" t="s">
        <v>13</v>
      </c>
      <c r="I200" s="1" t="s">
        <v>14</v>
      </c>
      <c r="J200" s="14">
        <v>0.56913194444444448</v>
      </c>
      <c r="K200" s="15">
        <v>45514</v>
      </c>
      <c r="L200" s="15"/>
      <c r="M200" s="2">
        <v>0.98</v>
      </c>
      <c r="O200" s="2">
        <f t="shared" ref="O200:O263" si="25">M200-$X$23</f>
        <v>0.91500000000000004</v>
      </c>
      <c r="P200" s="2">
        <f t="shared" ref="P200:P263" si="26">O200*$AC$21+$Y$23</f>
        <v>45.308640406607374</v>
      </c>
      <c r="Q200" s="2">
        <f t="shared" ref="Q200:Q263" si="27">((D200+D201)/2)*(M201-M200)</f>
        <v>0.23525000000000018</v>
      </c>
      <c r="R200" s="2">
        <f t="shared" ref="R200:R263" si="28">((P200+P201)/2)*(O201-O200)</f>
        <v>0.2266143583227398</v>
      </c>
      <c r="S200" s="2">
        <f t="shared" ref="S200:S263" si="29">Q200-R200</f>
        <v>8.6356416772603861E-3</v>
      </c>
    </row>
    <row r="201" spans="2:19" x14ac:dyDescent="0.25">
      <c r="B201" s="1">
        <f t="shared" ref="B201:B264" si="30">B200+1</f>
        <v>195</v>
      </c>
      <c r="C201" s="1">
        <v>357</v>
      </c>
      <c r="D201" s="13">
        <v>47.3</v>
      </c>
      <c r="E201" s="1" t="s">
        <v>11</v>
      </c>
      <c r="F201" s="2">
        <v>1.0549999999999999</v>
      </c>
      <c r="G201" s="1" t="s">
        <v>12</v>
      </c>
      <c r="H201" s="1" t="s">
        <v>13</v>
      </c>
      <c r="I201" s="1" t="s">
        <v>14</v>
      </c>
      <c r="J201" s="14">
        <v>0.56914351851851852</v>
      </c>
      <c r="K201" s="15">
        <v>45514</v>
      </c>
      <c r="L201" s="15"/>
      <c r="M201" s="2">
        <v>0.98499999999999999</v>
      </c>
      <c r="O201" s="2">
        <f t="shared" si="25"/>
        <v>0.91999999999999993</v>
      </c>
      <c r="P201" s="2">
        <f t="shared" si="26"/>
        <v>45.337102922490473</v>
      </c>
      <c r="Q201" s="2">
        <f t="shared" si="27"/>
        <v>0.23725000000000024</v>
      </c>
      <c r="R201" s="2">
        <f t="shared" si="28"/>
        <v>0.22675667090216534</v>
      </c>
      <c r="S201" s="2">
        <f t="shared" si="29"/>
        <v>1.0493329097834903E-2</v>
      </c>
    </row>
    <row r="202" spans="2:19" x14ac:dyDescent="0.25">
      <c r="B202" s="1">
        <f t="shared" si="30"/>
        <v>196</v>
      </c>
      <c r="C202" s="1">
        <v>358</v>
      </c>
      <c r="D202" s="13">
        <v>47.6</v>
      </c>
      <c r="E202" s="1" t="s">
        <v>11</v>
      </c>
      <c r="F202" s="2">
        <v>1.06</v>
      </c>
      <c r="G202" s="1" t="s">
        <v>12</v>
      </c>
      <c r="H202" s="1" t="s">
        <v>13</v>
      </c>
      <c r="I202" s="1" t="s">
        <v>14</v>
      </c>
      <c r="J202" s="14">
        <v>0.56914351851851852</v>
      </c>
      <c r="K202" s="15">
        <v>45514</v>
      </c>
      <c r="L202" s="15"/>
      <c r="M202" s="2">
        <v>0.99</v>
      </c>
      <c r="O202" s="2">
        <f t="shared" si="25"/>
        <v>0.92500000000000004</v>
      </c>
      <c r="P202" s="2">
        <f t="shared" si="26"/>
        <v>45.365565438373572</v>
      </c>
      <c r="Q202" s="2">
        <f t="shared" si="27"/>
        <v>0.23875000000000021</v>
      </c>
      <c r="R202" s="2">
        <f t="shared" si="28"/>
        <v>0.22689898348157078</v>
      </c>
      <c r="S202" s="2">
        <f t="shared" si="29"/>
        <v>1.185101651842943E-2</v>
      </c>
    </row>
    <row r="203" spans="2:19" x14ac:dyDescent="0.25">
      <c r="B203" s="1">
        <f t="shared" si="30"/>
        <v>197</v>
      </c>
      <c r="C203" s="1">
        <v>359</v>
      </c>
      <c r="D203" s="13">
        <v>47.9</v>
      </c>
      <c r="E203" s="1" t="s">
        <v>11</v>
      </c>
      <c r="F203" s="2">
        <v>1.0649999999999999</v>
      </c>
      <c r="G203" s="1" t="s">
        <v>12</v>
      </c>
      <c r="H203" s="1" t="s">
        <v>13</v>
      </c>
      <c r="I203" s="1" t="s">
        <v>14</v>
      </c>
      <c r="J203" s="14">
        <v>0.56914351851851852</v>
      </c>
      <c r="K203" s="15">
        <v>45514</v>
      </c>
      <c r="L203" s="15"/>
      <c r="M203" s="2">
        <v>0.995</v>
      </c>
      <c r="O203" s="2">
        <f t="shared" si="25"/>
        <v>0.92999999999999994</v>
      </c>
      <c r="P203" s="2">
        <f t="shared" si="26"/>
        <v>45.394027954256671</v>
      </c>
      <c r="Q203" s="2">
        <f t="shared" si="27"/>
        <v>0.24100000000000024</v>
      </c>
      <c r="R203" s="2">
        <f t="shared" si="28"/>
        <v>0.22704129606099632</v>
      </c>
      <c r="S203" s="2">
        <f t="shared" si="29"/>
        <v>1.3958703939003919E-2</v>
      </c>
    </row>
    <row r="204" spans="2:19" x14ac:dyDescent="0.25">
      <c r="B204" s="1">
        <f t="shared" si="30"/>
        <v>198</v>
      </c>
      <c r="C204" s="1">
        <v>361</v>
      </c>
      <c r="D204" s="13">
        <v>48.5</v>
      </c>
      <c r="E204" s="1" t="s">
        <v>11</v>
      </c>
      <c r="F204" s="2">
        <v>1.07</v>
      </c>
      <c r="G204" s="1" t="s">
        <v>12</v>
      </c>
      <c r="H204" s="1" t="s">
        <v>13</v>
      </c>
      <c r="I204" s="1" t="s">
        <v>14</v>
      </c>
      <c r="J204" s="14">
        <v>0.56914351851851852</v>
      </c>
      <c r="K204" s="15">
        <v>45514</v>
      </c>
      <c r="M204" s="2">
        <v>1</v>
      </c>
      <c r="O204" s="2">
        <f t="shared" si="25"/>
        <v>0.93500000000000005</v>
      </c>
      <c r="P204" s="2">
        <f t="shared" si="26"/>
        <v>45.42249047013977</v>
      </c>
      <c r="Q204" s="2">
        <f t="shared" si="27"/>
        <v>0.48700000000000049</v>
      </c>
      <c r="R204" s="2">
        <f t="shared" si="28"/>
        <v>0.45450952986022908</v>
      </c>
      <c r="S204" s="2">
        <f t="shared" si="29"/>
        <v>3.249047013977141E-2</v>
      </c>
    </row>
    <row r="205" spans="2:19" x14ac:dyDescent="0.25">
      <c r="B205" s="1">
        <f t="shared" si="30"/>
        <v>199</v>
      </c>
      <c r="C205" s="1">
        <v>362</v>
      </c>
      <c r="D205" s="13">
        <v>48.9</v>
      </c>
      <c r="E205" s="1" t="s">
        <v>11</v>
      </c>
      <c r="F205" s="2">
        <v>1.08</v>
      </c>
      <c r="G205" s="1" t="s">
        <v>12</v>
      </c>
      <c r="H205" s="1" t="s">
        <v>13</v>
      </c>
      <c r="I205" s="1" t="s">
        <v>14</v>
      </c>
      <c r="J205" s="14">
        <v>0.56914351851851852</v>
      </c>
      <c r="K205" s="15">
        <v>45514</v>
      </c>
      <c r="M205" s="2">
        <v>1.01</v>
      </c>
      <c r="O205" s="2">
        <f t="shared" si="25"/>
        <v>0.94500000000000006</v>
      </c>
      <c r="P205" s="2">
        <f t="shared" si="26"/>
        <v>45.479415501905976</v>
      </c>
      <c r="Q205" s="2">
        <f t="shared" si="27"/>
        <v>0.24599999999999478</v>
      </c>
      <c r="R205" s="2">
        <f t="shared" si="28"/>
        <v>0.22746823379923276</v>
      </c>
      <c r="S205" s="2">
        <f t="shared" si="29"/>
        <v>1.8531766200762023E-2</v>
      </c>
    </row>
    <row r="206" spans="2:19" x14ac:dyDescent="0.25">
      <c r="B206" s="1">
        <f t="shared" si="30"/>
        <v>200</v>
      </c>
      <c r="C206" s="1">
        <v>363</v>
      </c>
      <c r="D206" s="13">
        <v>49.5</v>
      </c>
      <c r="E206" s="1" t="s">
        <v>11</v>
      </c>
      <c r="F206" s="2">
        <v>1.085</v>
      </c>
      <c r="G206" s="1" t="s">
        <v>12</v>
      </c>
      <c r="H206" s="1" t="s">
        <v>13</v>
      </c>
      <c r="I206" s="1" t="s">
        <v>14</v>
      </c>
      <c r="J206" s="14">
        <v>0.56914351851851852</v>
      </c>
      <c r="K206" s="15">
        <v>45514</v>
      </c>
      <c r="M206" s="2">
        <v>1.0149999999999999</v>
      </c>
      <c r="O206" s="2">
        <f t="shared" si="25"/>
        <v>0.95</v>
      </c>
      <c r="P206" s="2">
        <f t="shared" si="26"/>
        <v>45.507878017789075</v>
      </c>
      <c r="Q206" s="2">
        <f t="shared" si="27"/>
        <v>0.24875000000000574</v>
      </c>
      <c r="R206" s="2">
        <f t="shared" si="28"/>
        <v>0.22761054637865841</v>
      </c>
      <c r="S206" s="2">
        <f t="shared" si="29"/>
        <v>2.1139453621347337E-2</v>
      </c>
    </row>
    <row r="207" spans="2:19" x14ac:dyDescent="0.25">
      <c r="B207" s="1">
        <f t="shared" si="30"/>
        <v>201</v>
      </c>
      <c r="C207" s="1">
        <v>364</v>
      </c>
      <c r="D207" s="13">
        <v>50</v>
      </c>
      <c r="E207" s="1" t="s">
        <v>11</v>
      </c>
      <c r="F207" s="2">
        <v>1.0900000000000001</v>
      </c>
      <c r="G207" s="1" t="s">
        <v>12</v>
      </c>
      <c r="H207" s="1" t="s">
        <v>13</v>
      </c>
      <c r="I207" s="1" t="s">
        <v>14</v>
      </c>
      <c r="J207" s="14">
        <v>0.56914351851851852</v>
      </c>
      <c r="K207" s="15">
        <v>45514</v>
      </c>
      <c r="M207" s="2">
        <v>1.02</v>
      </c>
      <c r="O207" s="2">
        <f t="shared" si="25"/>
        <v>0.95500000000000007</v>
      </c>
      <c r="P207" s="2">
        <f t="shared" si="26"/>
        <v>45.536340533672174</v>
      </c>
      <c r="Q207" s="2">
        <f t="shared" si="27"/>
        <v>0.25099999999999467</v>
      </c>
      <c r="R207" s="2">
        <f t="shared" si="28"/>
        <v>0.22775285895806374</v>
      </c>
      <c r="S207" s="2">
        <f t="shared" si="29"/>
        <v>2.324714104193093E-2</v>
      </c>
    </row>
    <row r="208" spans="2:19" x14ac:dyDescent="0.25">
      <c r="B208" s="1">
        <f t="shared" si="30"/>
        <v>202</v>
      </c>
      <c r="C208" s="1">
        <v>365</v>
      </c>
      <c r="D208" s="13">
        <v>50.4</v>
      </c>
      <c r="E208" s="1" t="s">
        <v>11</v>
      </c>
      <c r="F208" s="2">
        <v>1.095</v>
      </c>
      <c r="G208" s="1" t="s">
        <v>12</v>
      </c>
      <c r="H208" s="1" t="s">
        <v>13</v>
      </c>
      <c r="I208" s="1" t="s">
        <v>14</v>
      </c>
      <c r="J208" s="14">
        <v>0.56914351851851852</v>
      </c>
      <c r="K208" s="15">
        <v>45514</v>
      </c>
      <c r="M208" s="2">
        <v>1.0249999999999999</v>
      </c>
      <c r="O208" s="2">
        <f t="shared" si="25"/>
        <v>0.96</v>
      </c>
      <c r="P208" s="2">
        <f t="shared" si="26"/>
        <v>45.564803049555273</v>
      </c>
      <c r="Q208" s="2">
        <f t="shared" si="27"/>
        <v>0.25300000000000583</v>
      </c>
      <c r="R208" s="2">
        <f t="shared" si="28"/>
        <v>0.22789517153748939</v>
      </c>
      <c r="S208" s="2">
        <f t="shared" si="29"/>
        <v>2.5104828462516438E-2</v>
      </c>
    </row>
    <row r="209" spans="2:19" x14ac:dyDescent="0.25">
      <c r="B209" s="1">
        <f t="shared" si="30"/>
        <v>203</v>
      </c>
      <c r="C209" s="1">
        <v>366</v>
      </c>
      <c r="D209" s="13">
        <v>50.8</v>
      </c>
      <c r="E209" s="1" t="s">
        <v>11</v>
      </c>
      <c r="F209" s="2">
        <v>1.1000000000000001</v>
      </c>
      <c r="G209" s="1" t="s">
        <v>12</v>
      </c>
      <c r="H209" s="1" t="s">
        <v>13</v>
      </c>
      <c r="I209" s="1" t="s">
        <v>14</v>
      </c>
      <c r="J209" s="14">
        <v>0.56915509259259256</v>
      </c>
      <c r="K209" s="15">
        <v>45514</v>
      </c>
      <c r="M209" s="2">
        <v>1.03</v>
      </c>
      <c r="O209" s="2">
        <f t="shared" si="25"/>
        <v>0.96500000000000008</v>
      </c>
      <c r="P209" s="2">
        <f t="shared" si="26"/>
        <v>45.593265565438372</v>
      </c>
      <c r="Q209" s="2">
        <f t="shared" si="27"/>
        <v>0.25474999999999459</v>
      </c>
      <c r="R209" s="2">
        <f t="shared" si="28"/>
        <v>0.22803748411689476</v>
      </c>
      <c r="S209" s="2">
        <f t="shared" si="29"/>
        <v>2.6712515883099835E-2</v>
      </c>
    </row>
    <row r="210" spans="2:19" x14ac:dyDescent="0.25">
      <c r="B210" s="1">
        <f t="shared" si="30"/>
        <v>204</v>
      </c>
      <c r="C210" s="1">
        <v>367</v>
      </c>
      <c r="D210" s="13">
        <v>51.1</v>
      </c>
      <c r="E210" s="1" t="s">
        <v>11</v>
      </c>
      <c r="F210" s="2">
        <v>1.105</v>
      </c>
      <c r="G210" s="1" t="s">
        <v>12</v>
      </c>
      <c r="H210" s="1" t="s">
        <v>13</v>
      </c>
      <c r="I210" s="1" t="s">
        <v>14</v>
      </c>
      <c r="J210" s="14">
        <v>0.56915509259259256</v>
      </c>
      <c r="K210" s="15">
        <v>45514</v>
      </c>
      <c r="M210" s="2">
        <v>1.0349999999999999</v>
      </c>
      <c r="O210" s="2">
        <f t="shared" si="25"/>
        <v>0.97</v>
      </c>
      <c r="P210" s="2">
        <f t="shared" si="26"/>
        <v>45.621728081321478</v>
      </c>
      <c r="Q210" s="2">
        <f t="shared" si="27"/>
        <v>0.25575000000000592</v>
      </c>
      <c r="R210" s="2">
        <f t="shared" si="28"/>
        <v>0.22817979669632038</v>
      </c>
      <c r="S210" s="2">
        <f t="shared" si="29"/>
        <v>2.7570203303685537E-2</v>
      </c>
    </row>
    <row r="211" spans="2:19" x14ac:dyDescent="0.25">
      <c r="B211" s="1">
        <f t="shared" si="30"/>
        <v>205</v>
      </c>
      <c r="C211" s="1">
        <v>368</v>
      </c>
      <c r="D211" s="13">
        <v>51.2</v>
      </c>
      <c r="E211" s="1" t="s">
        <v>11</v>
      </c>
      <c r="F211" s="2">
        <v>1.1100000000000001</v>
      </c>
      <c r="G211" s="1" t="s">
        <v>12</v>
      </c>
      <c r="H211" s="1" t="s">
        <v>13</v>
      </c>
      <c r="I211" s="1" t="s">
        <v>14</v>
      </c>
      <c r="J211" s="14">
        <v>0.56915509259259256</v>
      </c>
      <c r="K211" s="15">
        <v>45514</v>
      </c>
      <c r="M211" s="2">
        <v>1.04</v>
      </c>
      <c r="O211" s="2">
        <f t="shared" si="25"/>
        <v>0.97500000000000009</v>
      </c>
      <c r="P211" s="2">
        <f t="shared" si="26"/>
        <v>45.650190597204578</v>
      </c>
      <c r="Q211" s="2">
        <f t="shared" si="27"/>
        <v>0.5125000000000004</v>
      </c>
      <c r="R211" s="2">
        <f t="shared" si="28"/>
        <v>0.45678653113087719</v>
      </c>
      <c r="S211" s="2">
        <f t="shared" si="29"/>
        <v>5.5713468869123206E-2</v>
      </c>
    </row>
    <row r="212" spans="2:19" x14ac:dyDescent="0.25">
      <c r="B212" s="1">
        <f t="shared" si="30"/>
        <v>206</v>
      </c>
      <c r="C212" s="1">
        <v>369</v>
      </c>
      <c r="D212" s="13">
        <v>51.3</v>
      </c>
      <c r="E212" s="1" t="s">
        <v>11</v>
      </c>
      <c r="F212" s="2">
        <v>1.1200000000000001</v>
      </c>
      <c r="G212" s="1" t="s">
        <v>12</v>
      </c>
      <c r="H212" s="1" t="s">
        <v>13</v>
      </c>
      <c r="I212" s="1" t="s">
        <v>14</v>
      </c>
      <c r="J212" s="14">
        <v>0.56915509259259256</v>
      </c>
      <c r="K212" s="15">
        <v>45514</v>
      </c>
      <c r="M212" s="2">
        <v>1.05</v>
      </c>
      <c r="O212" s="2">
        <f t="shared" si="25"/>
        <v>0.9850000000000001</v>
      </c>
      <c r="P212" s="2">
        <f t="shared" si="26"/>
        <v>45.707115628970776</v>
      </c>
      <c r="Q212" s="2">
        <f t="shared" si="27"/>
        <v>0.25699999999999451</v>
      </c>
      <c r="R212" s="2">
        <f t="shared" si="28"/>
        <v>0.22860673443455679</v>
      </c>
      <c r="S212" s="2">
        <f t="shared" si="29"/>
        <v>2.8393265565437725E-2</v>
      </c>
    </row>
    <row r="213" spans="2:19" x14ac:dyDescent="0.25">
      <c r="B213" s="1">
        <f t="shared" si="30"/>
        <v>207</v>
      </c>
      <c r="C213" s="1">
        <v>370</v>
      </c>
      <c r="D213" s="13">
        <v>51.5</v>
      </c>
      <c r="E213" s="1" t="s">
        <v>11</v>
      </c>
      <c r="F213" s="2">
        <v>1.125</v>
      </c>
      <c r="G213" s="1" t="s">
        <v>12</v>
      </c>
      <c r="H213" s="1" t="s">
        <v>13</v>
      </c>
      <c r="I213" s="1" t="s">
        <v>14</v>
      </c>
      <c r="J213" s="14">
        <v>0.56915509259259256</v>
      </c>
      <c r="K213" s="15">
        <v>45514</v>
      </c>
      <c r="M213" s="2">
        <v>1.0549999999999999</v>
      </c>
      <c r="O213" s="2">
        <f t="shared" si="25"/>
        <v>0.99</v>
      </c>
      <c r="P213" s="2">
        <f t="shared" si="26"/>
        <v>45.735578144853875</v>
      </c>
      <c r="Q213" s="2">
        <f t="shared" si="27"/>
        <v>0.51800000000000046</v>
      </c>
      <c r="R213" s="2">
        <f t="shared" si="28"/>
        <v>0.45764040660737021</v>
      </c>
      <c r="S213" s="2">
        <f t="shared" si="29"/>
        <v>6.0359593392630251E-2</v>
      </c>
    </row>
    <row r="214" spans="2:19" x14ac:dyDescent="0.25">
      <c r="B214" s="1">
        <f t="shared" si="30"/>
        <v>208</v>
      </c>
      <c r="C214" s="1">
        <v>371</v>
      </c>
      <c r="D214" s="13">
        <v>52.1</v>
      </c>
      <c r="E214" s="1" t="s">
        <v>11</v>
      </c>
      <c r="F214" s="2">
        <v>1.135</v>
      </c>
      <c r="G214" s="1" t="s">
        <v>12</v>
      </c>
      <c r="H214" s="1" t="s">
        <v>13</v>
      </c>
      <c r="I214" s="1" t="s">
        <v>14</v>
      </c>
      <c r="J214" s="14">
        <v>0.56915509259259256</v>
      </c>
      <c r="K214" s="15">
        <v>45514</v>
      </c>
      <c r="M214" s="2">
        <v>1.0649999999999999</v>
      </c>
      <c r="O214" s="2">
        <f t="shared" si="25"/>
        <v>1</v>
      </c>
      <c r="P214" s="2">
        <f t="shared" si="26"/>
        <v>45.79250317662008</v>
      </c>
      <c r="Q214" s="2">
        <f t="shared" si="27"/>
        <v>0.7837500000000065</v>
      </c>
      <c r="R214" s="2">
        <f t="shared" si="28"/>
        <v>0.68752795425667657</v>
      </c>
      <c r="S214" s="2">
        <f t="shared" si="29"/>
        <v>9.6222045743329931E-2</v>
      </c>
    </row>
    <row r="215" spans="2:19" x14ac:dyDescent="0.25">
      <c r="B215" s="1">
        <f t="shared" si="30"/>
        <v>209</v>
      </c>
      <c r="C215" s="1">
        <v>372</v>
      </c>
      <c r="D215" s="13">
        <v>52.4</v>
      </c>
      <c r="E215" s="1" t="s">
        <v>11</v>
      </c>
      <c r="F215" s="2">
        <v>1.1499999999999999</v>
      </c>
      <c r="G215" s="1" t="s">
        <v>12</v>
      </c>
      <c r="H215" s="1" t="s">
        <v>13</v>
      </c>
      <c r="I215" s="1" t="s">
        <v>14</v>
      </c>
      <c r="J215" s="14">
        <v>0.56915509259259256</v>
      </c>
      <c r="K215" s="15">
        <v>45514</v>
      </c>
      <c r="M215" s="2">
        <v>1.08</v>
      </c>
      <c r="O215" s="2">
        <f t="shared" si="25"/>
        <v>1.0150000000000001</v>
      </c>
      <c r="P215" s="2">
        <f t="shared" si="26"/>
        <v>45.877890724269378</v>
      </c>
      <c r="Q215" s="2">
        <f t="shared" si="27"/>
        <v>0.52650000000000041</v>
      </c>
      <c r="R215" s="2">
        <f t="shared" si="28"/>
        <v>0.45906353240152525</v>
      </c>
      <c r="S215" s="2">
        <f t="shared" si="29"/>
        <v>6.7436467598475158E-2</v>
      </c>
    </row>
    <row r="216" spans="2:19" x14ac:dyDescent="0.25">
      <c r="B216" s="1">
        <f t="shared" si="30"/>
        <v>210</v>
      </c>
      <c r="C216" s="1">
        <v>373</v>
      </c>
      <c r="D216" s="13">
        <v>52.9</v>
      </c>
      <c r="E216" s="1" t="s">
        <v>11</v>
      </c>
      <c r="F216" s="2">
        <v>1.1599999999999999</v>
      </c>
      <c r="G216" s="1" t="s">
        <v>12</v>
      </c>
      <c r="H216" s="1" t="s">
        <v>13</v>
      </c>
      <c r="I216" s="1" t="s">
        <v>14</v>
      </c>
      <c r="J216" s="14">
        <v>0.56915509259259256</v>
      </c>
      <c r="K216" s="15">
        <v>45514</v>
      </c>
      <c r="M216" s="2">
        <v>1.0900000000000001</v>
      </c>
      <c r="O216" s="2">
        <f t="shared" si="25"/>
        <v>1.0250000000000001</v>
      </c>
      <c r="P216" s="2">
        <f t="shared" si="26"/>
        <v>45.934815756035583</v>
      </c>
      <c r="Q216" s="2">
        <f t="shared" si="27"/>
        <v>0.26499999999999435</v>
      </c>
      <c r="R216" s="2">
        <f t="shared" si="28"/>
        <v>0.22974523506988079</v>
      </c>
      <c r="S216" s="2">
        <f t="shared" si="29"/>
        <v>3.5254764930113563E-2</v>
      </c>
    </row>
    <row r="217" spans="2:19" x14ac:dyDescent="0.25">
      <c r="B217" s="1">
        <f t="shared" si="30"/>
        <v>211</v>
      </c>
      <c r="C217" s="1">
        <v>374</v>
      </c>
      <c r="D217" s="13">
        <v>53.1</v>
      </c>
      <c r="E217" s="1" t="s">
        <v>11</v>
      </c>
      <c r="F217" s="2">
        <v>1.165</v>
      </c>
      <c r="G217" s="1" t="s">
        <v>12</v>
      </c>
      <c r="H217" s="1" t="s">
        <v>13</v>
      </c>
      <c r="I217" s="1" t="s">
        <v>14</v>
      </c>
      <c r="J217" s="14">
        <v>0.56915509259259256</v>
      </c>
      <c r="K217" s="15">
        <v>45514</v>
      </c>
      <c r="M217" s="2">
        <v>1.095</v>
      </c>
      <c r="O217" s="2">
        <f t="shared" si="25"/>
        <v>1.03</v>
      </c>
      <c r="P217" s="2">
        <f t="shared" si="26"/>
        <v>45.963278271918682</v>
      </c>
      <c r="Q217" s="2">
        <f t="shared" si="27"/>
        <v>0.53300000000000047</v>
      </c>
      <c r="R217" s="2">
        <f t="shared" si="28"/>
        <v>0.45991740787801821</v>
      </c>
      <c r="S217" s="2">
        <f t="shared" si="29"/>
        <v>7.3082592121982259E-2</v>
      </c>
    </row>
    <row r="218" spans="2:19" x14ac:dyDescent="0.25">
      <c r="B218" s="1">
        <f t="shared" si="30"/>
        <v>212</v>
      </c>
      <c r="C218" s="1">
        <v>375</v>
      </c>
      <c r="D218" s="13">
        <v>53.5</v>
      </c>
      <c r="E218" s="1" t="s">
        <v>11</v>
      </c>
      <c r="F218" s="2">
        <v>1.175</v>
      </c>
      <c r="G218" s="1" t="s">
        <v>12</v>
      </c>
      <c r="H218" s="1" t="s">
        <v>13</v>
      </c>
      <c r="I218" s="1" t="s">
        <v>14</v>
      </c>
      <c r="J218" s="14">
        <v>0.56915509259259256</v>
      </c>
      <c r="K218" s="15">
        <v>45514</v>
      </c>
      <c r="M218" s="2">
        <v>1.105</v>
      </c>
      <c r="O218" s="2">
        <f t="shared" si="25"/>
        <v>1.04</v>
      </c>
      <c r="P218" s="2">
        <f t="shared" si="26"/>
        <v>46.02020330368488</v>
      </c>
      <c r="Q218" s="2">
        <f t="shared" si="27"/>
        <v>0.53600000000000048</v>
      </c>
      <c r="R218" s="2">
        <f t="shared" si="28"/>
        <v>0.46048665819568019</v>
      </c>
      <c r="S218" s="2">
        <f t="shared" si="29"/>
        <v>7.5513341804320289E-2</v>
      </c>
    </row>
    <row r="219" spans="2:19" x14ac:dyDescent="0.25">
      <c r="B219" s="1">
        <f t="shared" si="30"/>
        <v>213</v>
      </c>
      <c r="C219" s="1">
        <v>376</v>
      </c>
      <c r="D219" s="13">
        <v>53.7</v>
      </c>
      <c r="E219" s="1" t="s">
        <v>11</v>
      </c>
      <c r="F219" s="2">
        <v>1.1850000000000001</v>
      </c>
      <c r="G219" s="1" t="s">
        <v>12</v>
      </c>
      <c r="H219" s="1" t="s">
        <v>13</v>
      </c>
      <c r="I219" s="1" t="s">
        <v>14</v>
      </c>
      <c r="J219" s="14">
        <v>0.56916666666666671</v>
      </c>
      <c r="K219" s="15">
        <v>45514</v>
      </c>
      <c r="M219" s="2">
        <v>1.115</v>
      </c>
      <c r="O219" s="2">
        <f t="shared" si="25"/>
        <v>1.05</v>
      </c>
      <c r="P219" s="2">
        <f t="shared" si="26"/>
        <v>46.077128335451079</v>
      </c>
      <c r="Q219" s="2">
        <f t="shared" si="27"/>
        <v>0.53800000000000048</v>
      </c>
      <c r="R219" s="2">
        <f t="shared" si="28"/>
        <v>0.46105590851334227</v>
      </c>
      <c r="S219" s="2">
        <f t="shared" si="29"/>
        <v>7.6944091486658206E-2</v>
      </c>
    </row>
    <row r="220" spans="2:19" x14ac:dyDescent="0.25">
      <c r="B220" s="1">
        <f t="shared" si="30"/>
        <v>214</v>
      </c>
      <c r="C220" s="1">
        <v>377</v>
      </c>
      <c r="D220" s="13">
        <v>53.9</v>
      </c>
      <c r="E220" s="1" t="s">
        <v>11</v>
      </c>
      <c r="F220" s="2">
        <v>1.1950000000000001</v>
      </c>
      <c r="G220" s="1" t="s">
        <v>12</v>
      </c>
      <c r="H220" s="1" t="s">
        <v>13</v>
      </c>
      <c r="I220" s="1" t="s">
        <v>14</v>
      </c>
      <c r="J220" s="14">
        <v>0.56916666666666671</v>
      </c>
      <c r="K220" s="15">
        <v>45514</v>
      </c>
      <c r="M220" s="2">
        <v>1.125</v>
      </c>
      <c r="O220" s="2">
        <f t="shared" si="25"/>
        <v>1.06</v>
      </c>
      <c r="P220" s="2">
        <f t="shared" si="26"/>
        <v>46.134053367217284</v>
      </c>
      <c r="Q220" s="2">
        <f t="shared" si="27"/>
        <v>0.80849999999999467</v>
      </c>
      <c r="R220" s="2">
        <f t="shared" si="28"/>
        <v>0.69265120711562445</v>
      </c>
      <c r="S220" s="2">
        <f t="shared" si="29"/>
        <v>0.11584879288437022</v>
      </c>
    </row>
    <row r="221" spans="2:19" x14ac:dyDescent="0.25">
      <c r="B221" s="1">
        <f t="shared" si="30"/>
        <v>215</v>
      </c>
      <c r="C221" s="1">
        <v>378</v>
      </c>
      <c r="D221" s="13">
        <v>53.9</v>
      </c>
      <c r="E221" s="1" t="s">
        <v>11</v>
      </c>
      <c r="F221" s="2">
        <v>1.21</v>
      </c>
      <c r="G221" s="1" t="s">
        <v>12</v>
      </c>
      <c r="H221" s="1" t="s">
        <v>13</v>
      </c>
      <c r="I221" s="1" t="s">
        <v>14</v>
      </c>
      <c r="J221" s="14">
        <v>0.56916666666666671</v>
      </c>
      <c r="K221" s="15">
        <v>45514</v>
      </c>
      <c r="M221" s="2">
        <v>1.1399999999999999</v>
      </c>
      <c r="O221" s="2">
        <f t="shared" si="25"/>
        <v>1.075</v>
      </c>
      <c r="P221" s="2">
        <f t="shared" si="26"/>
        <v>46.219440914866581</v>
      </c>
      <c r="Q221" s="2">
        <f t="shared" si="27"/>
        <v>0.80850000000000666</v>
      </c>
      <c r="R221" s="2">
        <f t="shared" si="28"/>
        <v>0.69393202033037427</v>
      </c>
      <c r="S221" s="2">
        <f t="shared" si="29"/>
        <v>0.11456797966963239</v>
      </c>
    </row>
    <row r="222" spans="2:19" x14ac:dyDescent="0.25">
      <c r="B222" s="1">
        <f t="shared" si="30"/>
        <v>216</v>
      </c>
      <c r="C222" s="1">
        <v>379</v>
      </c>
      <c r="D222" s="13">
        <v>53.9</v>
      </c>
      <c r="E222" s="1" t="s">
        <v>11</v>
      </c>
      <c r="F222" s="2">
        <v>1.2250000000000001</v>
      </c>
      <c r="G222" s="1" t="s">
        <v>12</v>
      </c>
      <c r="H222" s="1" t="s">
        <v>13</v>
      </c>
      <c r="I222" s="1" t="s">
        <v>14</v>
      </c>
      <c r="J222" s="14">
        <v>0.56916666666666671</v>
      </c>
      <c r="K222" s="15">
        <v>45514</v>
      </c>
      <c r="M222" s="2">
        <v>1.155</v>
      </c>
      <c r="O222" s="2">
        <f t="shared" si="25"/>
        <v>1.0900000000000001</v>
      </c>
      <c r="P222" s="2">
        <f t="shared" si="26"/>
        <v>46.304828462515886</v>
      </c>
      <c r="Q222" s="2">
        <f t="shared" si="27"/>
        <v>0.80699999999999472</v>
      </c>
      <c r="R222" s="2">
        <f t="shared" si="28"/>
        <v>0.69521283354510355</v>
      </c>
      <c r="S222" s="2">
        <f t="shared" si="29"/>
        <v>0.11178716645489117</v>
      </c>
    </row>
    <row r="223" spans="2:19" x14ac:dyDescent="0.25">
      <c r="B223" s="1">
        <f t="shared" si="30"/>
        <v>217</v>
      </c>
      <c r="C223" s="1">
        <v>380</v>
      </c>
      <c r="D223" s="13">
        <v>53.7</v>
      </c>
      <c r="E223" s="1" t="s">
        <v>11</v>
      </c>
      <c r="F223" s="2">
        <v>1.24</v>
      </c>
      <c r="G223" s="1" t="s">
        <v>12</v>
      </c>
      <c r="H223" s="1" t="s">
        <v>13</v>
      </c>
      <c r="I223" s="1" t="s">
        <v>14</v>
      </c>
      <c r="J223" s="14">
        <v>0.56916666666666671</v>
      </c>
      <c r="K223" s="15">
        <v>45514</v>
      </c>
      <c r="M223" s="2">
        <v>1.17</v>
      </c>
      <c r="O223" s="2">
        <f t="shared" si="25"/>
        <v>1.105</v>
      </c>
      <c r="P223" s="2">
        <f t="shared" si="26"/>
        <v>46.390216010165183</v>
      </c>
      <c r="Q223" s="2">
        <f t="shared" si="27"/>
        <v>0.53650000000000053</v>
      </c>
      <c r="R223" s="2">
        <f t="shared" si="28"/>
        <v>0.46418678526048324</v>
      </c>
      <c r="S223" s="2">
        <f t="shared" si="29"/>
        <v>7.2313214739517295E-2</v>
      </c>
    </row>
    <row r="224" spans="2:19" x14ac:dyDescent="0.25">
      <c r="B224" s="1">
        <f t="shared" si="30"/>
        <v>218</v>
      </c>
      <c r="C224" s="1">
        <v>381</v>
      </c>
      <c r="D224" s="13">
        <v>53.6</v>
      </c>
      <c r="E224" s="1" t="s">
        <v>11</v>
      </c>
      <c r="F224" s="2">
        <v>1.25</v>
      </c>
      <c r="G224" s="1" t="s">
        <v>12</v>
      </c>
      <c r="H224" s="1" t="s">
        <v>13</v>
      </c>
      <c r="I224" s="1" t="s">
        <v>14</v>
      </c>
      <c r="J224" s="14">
        <v>0.56916666666666671</v>
      </c>
      <c r="K224" s="15">
        <v>45514</v>
      </c>
      <c r="M224" s="2">
        <v>1.18</v>
      </c>
      <c r="O224" s="2">
        <f t="shared" si="25"/>
        <v>1.115</v>
      </c>
      <c r="P224" s="2">
        <f t="shared" si="26"/>
        <v>46.447141041931388</v>
      </c>
      <c r="Q224" s="2">
        <f t="shared" si="27"/>
        <v>0.26850000000000623</v>
      </c>
      <c r="R224" s="2">
        <f t="shared" si="28"/>
        <v>0.23230686149937005</v>
      </c>
      <c r="S224" s="2">
        <f t="shared" si="29"/>
        <v>3.6193138500636185E-2</v>
      </c>
    </row>
    <row r="225" spans="2:19" x14ac:dyDescent="0.25">
      <c r="B225" s="1">
        <f t="shared" si="30"/>
        <v>219</v>
      </c>
      <c r="C225" s="1">
        <v>382</v>
      </c>
      <c r="D225" s="13">
        <v>53.8</v>
      </c>
      <c r="E225" s="1" t="s">
        <v>11</v>
      </c>
      <c r="F225" s="2">
        <v>1.2549999999999999</v>
      </c>
      <c r="G225" s="1" t="s">
        <v>12</v>
      </c>
      <c r="H225" s="1" t="s">
        <v>13</v>
      </c>
      <c r="I225" s="1" t="s">
        <v>14</v>
      </c>
      <c r="J225" s="14">
        <v>0.56916666666666671</v>
      </c>
      <c r="K225" s="15">
        <v>45514</v>
      </c>
      <c r="M225" s="2">
        <v>1.1850000000000001</v>
      </c>
      <c r="O225" s="2">
        <f t="shared" si="25"/>
        <v>1.1200000000000001</v>
      </c>
      <c r="P225" s="2">
        <f t="shared" si="26"/>
        <v>46.475603557814487</v>
      </c>
      <c r="Q225" s="2">
        <f t="shared" si="27"/>
        <v>0.26899999999999424</v>
      </c>
      <c r="R225" s="2">
        <f t="shared" si="28"/>
        <v>0.23244917407877524</v>
      </c>
      <c r="S225" s="2">
        <f t="shared" si="29"/>
        <v>3.6550825921218999E-2</v>
      </c>
    </row>
    <row r="226" spans="2:19" x14ac:dyDescent="0.25">
      <c r="B226" s="1">
        <f t="shared" si="30"/>
        <v>220</v>
      </c>
      <c r="C226" s="1">
        <v>383</v>
      </c>
      <c r="D226" s="13">
        <v>53.8</v>
      </c>
      <c r="E226" s="1" t="s">
        <v>11</v>
      </c>
      <c r="F226" s="2">
        <v>1.26</v>
      </c>
      <c r="G226" s="1" t="s">
        <v>12</v>
      </c>
      <c r="H226" s="1" t="s">
        <v>13</v>
      </c>
      <c r="I226" s="1" t="s">
        <v>14</v>
      </c>
      <c r="J226" s="14">
        <v>0.56916666666666671</v>
      </c>
      <c r="K226" s="15">
        <v>45514</v>
      </c>
      <c r="M226" s="2">
        <v>1.19</v>
      </c>
      <c r="O226" s="2">
        <f t="shared" si="25"/>
        <v>1.125</v>
      </c>
      <c r="P226" s="2">
        <f t="shared" si="26"/>
        <v>46.504066073697587</v>
      </c>
      <c r="Q226" s="2">
        <f t="shared" si="27"/>
        <v>0.26850000000000623</v>
      </c>
      <c r="R226" s="2">
        <f t="shared" si="28"/>
        <v>0.23259148665820104</v>
      </c>
      <c r="S226" s="2">
        <f t="shared" si="29"/>
        <v>3.5908513341805198E-2</v>
      </c>
    </row>
    <row r="227" spans="2:19" x14ac:dyDescent="0.25">
      <c r="B227" s="1">
        <f t="shared" si="30"/>
        <v>221</v>
      </c>
      <c r="C227" s="1">
        <v>384</v>
      </c>
      <c r="D227" s="13">
        <v>53.6</v>
      </c>
      <c r="E227" s="1" t="s">
        <v>11</v>
      </c>
      <c r="F227" s="2">
        <v>1.2649999999999999</v>
      </c>
      <c r="G227" s="1" t="s">
        <v>12</v>
      </c>
      <c r="H227" s="1" t="s">
        <v>13</v>
      </c>
      <c r="I227" s="1" t="s">
        <v>14</v>
      </c>
      <c r="J227" s="14">
        <v>0.56916666666666671</v>
      </c>
      <c r="K227" s="15">
        <v>45514</v>
      </c>
      <c r="M227" s="2">
        <v>1.1950000000000001</v>
      </c>
      <c r="O227" s="2">
        <f t="shared" si="25"/>
        <v>1.1300000000000001</v>
      </c>
      <c r="P227" s="2">
        <f t="shared" si="26"/>
        <v>46.532528589580686</v>
      </c>
      <c r="Q227" s="2">
        <f t="shared" si="27"/>
        <v>0.2679999999999943</v>
      </c>
      <c r="R227" s="2">
        <f t="shared" si="28"/>
        <v>0.23273379923760623</v>
      </c>
      <c r="S227" s="2">
        <f t="shared" si="29"/>
        <v>3.5266200762388067E-2</v>
      </c>
    </row>
    <row r="228" spans="2:19" x14ac:dyDescent="0.25">
      <c r="B228" s="1">
        <f t="shared" si="30"/>
        <v>222</v>
      </c>
      <c r="C228" s="1">
        <v>385</v>
      </c>
      <c r="D228" s="13">
        <v>53.6</v>
      </c>
      <c r="E228" s="1" t="s">
        <v>11</v>
      </c>
      <c r="F228" s="2">
        <v>1.27</v>
      </c>
      <c r="G228" s="1" t="s">
        <v>12</v>
      </c>
      <c r="H228" s="1" t="s">
        <v>13</v>
      </c>
      <c r="I228" s="1" t="s">
        <v>14</v>
      </c>
      <c r="J228" s="14">
        <v>0.56916666666666671</v>
      </c>
      <c r="K228" s="15">
        <v>45514</v>
      </c>
      <c r="M228" s="2">
        <v>1.2</v>
      </c>
      <c r="O228" s="2">
        <f t="shared" si="25"/>
        <v>1.135</v>
      </c>
      <c r="P228" s="2">
        <f t="shared" si="26"/>
        <v>46.560991105463785</v>
      </c>
      <c r="Q228" s="2">
        <f t="shared" si="27"/>
        <v>0.26775000000000615</v>
      </c>
      <c r="R228" s="2">
        <f t="shared" si="28"/>
        <v>0.23287611181703208</v>
      </c>
      <c r="S228" s="2">
        <f t="shared" si="29"/>
        <v>3.4873888182974072E-2</v>
      </c>
    </row>
    <row r="229" spans="2:19" x14ac:dyDescent="0.25">
      <c r="B229" s="1">
        <f t="shared" si="30"/>
        <v>223</v>
      </c>
      <c r="C229" s="1">
        <v>386</v>
      </c>
      <c r="D229" s="13">
        <v>53.5</v>
      </c>
      <c r="E229" s="1" t="s">
        <v>11</v>
      </c>
      <c r="F229" s="2">
        <v>1.2749999999999999</v>
      </c>
      <c r="G229" s="1" t="s">
        <v>12</v>
      </c>
      <c r="H229" s="1" t="s">
        <v>13</v>
      </c>
      <c r="I229" s="1" t="s">
        <v>14</v>
      </c>
      <c r="J229" s="14">
        <v>0.56917824074074075</v>
      </c>
      <c r="K229" s="15">
        <v>45514</v>
      </c>
      <c r="M229" s="2">
        <v>1.2050000000000001</v>
      </c>
      <c r="O229" s="2">
        <f t="shared" si="25"/>
        <v>1.1400000000000001</v>
      </c>
      <c r="P229" s="2">
        <f t="shared" si="26"/>
        <v>46.589453621346891</v>
      </c>
      <c r="Q229" s="2">
        <f t="shared" si="27"/>
        <v>0.2669999999999943</v>
      </c>
      <c r="R229" s="2">
        <f t="shared" si="28"/>
        <v>0.23301842439643722</v>
      </c>
      <c r="S229" s="2">
        <f t="shared" si="29"/>
        <v>3.3981575603557079E-2</v>
      </c>
    </row>
    <row r="230" spans="2:19" x14ac:dyDescent="0.25">
      <c r="B230" s="1">
        <f t="shared" si="30"/>
        <v>224</v>
      </c>
      <c r="C230" s="1">
        <v>387</v>
      </c>
      <c r="D230" s="13">
        <v>53.3</v>
      </c>
      <c r="E230" s="1" t="s">
        <v>11</v>
      </c>
      <c r="F230" s="2">
        <v>1.28</v>
      </c>
      <c r="G230" s="1" t="s">
        <v>12</v>
      </c>
      <c r="H230" s="1" t="s">
        <v>13</v>
      </c>
      <c r="I230" s="1" t="s">
        <v>14</v>
      </c>
      <c r="J230" s="14">
        <v>0.56917824074074075</v>
      </c>
      <c r="K230" s="15">
        <v>45514</v>
      </c>
      <c r="M230" s="2">
        <v>1.21</v>
      </c>
      <c r="O230" s="2">
        <f t="shared" si="25"/>
        <v>1.145</v>
      </c>
      <c r="P230" s="2">
        <f t="shared" si="26"/>
        <v>46.61791613722999</v>
      </c>
      <c r="Q230" s="2">
        <f t="shared" si="27"/>
        <v>0.53250000000000042</v>
      </c>
      <c r="R230" s="2">
        <f t="shared" si="28"/>
        <v>0.4664637865311313</v>
      </c>
      <c r="S230" s="2">
        <f t="shared" si="29"/>
        <v>6.603621346886912E-2</v>
      </c>
    </row>
    <row r="231" spans="2:19" x14ac:dyDescent="0.25">
      <c r="B231" s="1">
        <f t="shared" si="30"/>
        <v>225</v>
      </c>
      <c r="C231" s="1">
        <v>388</v>
      </c>
      <c r="D231" s="13">
        <v>53.2</v>
      </c>
      <c r="E231" s="1" t="s">
        <v>11</v>
      </c>
      <c r="F231" s="2">
        <v>1.29</v>
      </c>
      <c r="G231" s="1" t="s">
        <v>12</v>
      </c>
      <c r="H231" s="1" t="s">
        <v>13</v>
      </c>
      <c r="I231" s="1" t="s">
        <v>14</v>
      </c>
      <c r="J231" s="14">
        <v>0.56917824074074075</v>
      </c>
      <c r="K231" s="15">
        <v>45514</v>
      </c>
      <c r="M231" s="2">
        <v>1.22</v>
      </c>
      <c r="O231" s="2">
        <f t="shared" si="25"/>
        <v>1.155</v>
      </c>
      <c r="P231" s="2">
        <f t="shared" si="26"/>
        <v>46.674841168996188</v>
      </c>
      <c r="Q231" s="2">
        <f t="shared" si="27"/>
        <v>0.53200000000000047</v>
      </c>
      <c r="R231" s="2">
        <f t="shared" si="28"/>
        <v>0.46703303684879327</v>
      </c>
      <c r="S231" s="2">
        <f t="shared" si="29"/>
        <v>6.4966963151207202E-2</v>
      </c>
    </row>
    <row r="232" spans="2:19" x14ac:dyDescent="0.25">
      <c r="B232" s="1">
        <f t="shared" si="30"/>
        <v>226</v>
      </c>
      <c r="C232" s="1">
        <v>389</v>
      </c>
      <c r="D232" s="13">
        <v>53.2</v>
      </c>
      <c r="E232" s="1" t="s">
        <v>11</v>
      </c>
      <c r="F232" s="2">
        <v>1.3</v>
      </c>
      <c r="G232" s="1" t="s">
        <v>12</v>
      </c>
      <c r="H232" s="1" t="s">
        <v>13</v>
      </c>
      <c r="I232" s="1" t="s">
        <v>14</v>
      </c>
      <c r="J232" s="14">
        <v>0.56917824074074075</v>
      </c>
      <c r="K232" s="15">
        <v>45514</v>
      </c>
      <c r="M232" s="2">
        <v>1.23</v>
      </c>
      <c r="O232" s="2">
        <f t="shared" si="25"/>
        <v>1.165</v>
      </c>
      <c r="P232" s="2">
        <f t="shared" si="26"/>
        <v>46.731766200762394</v>
      </c>
      <c r="Q232" s="2">
        <f t="shared" si="27"/>
        <v>0.53250000000000042</v>
      </c>
      <c r="R232" s="2">
        <f t="shared" si="28"/>
        <v>0.46760228716645535</v>
      </c>
      <c r="S232" s="2">
        <f t="shared" si="29"/>
        <v>6.4897712833545063E-2</v>
      </c>
    </row>
    <row r="233" spans="2:19" x14ac:dyDescent="0.25">
      <c r="B233" s="1">
        <f t="shared" si="30"/>
        <v>227</v>
      </c>
      <c r="C233" s="1">
        <v>390</v>
      </c>
      <c r="D233" s="13">
        <v>53.3</v>
      </c>
      <c r="E233" s="1" t="s">
        <v>11</v>
      </c>
      <c r="F233" s="2">
        <v>1.31</v>
      </c>
      <c r="G233" s="1" t="s">
        <v>12</v>
      </c>
      <c r="H233" s="1" t="s">
        <v>13</v>
      </c>
      <c r="I233" s="1" t="s">
        <v>14</v>
      </c>
      <c r="J233" s="14">
        <v>0.56917824074074075</v>
      </c>
      <c r="K233" s="15">
        <v>45514</v>
      </c>
      <c r="M233" s="2">
        <v>1.24</v>
      </c>
      <c r="O233" s="2">
        <f t="shared" si="25"/>
        <v>1.175</v>
      </c>
      <c r="P233" s="2">
        <f t="shared" si="26"/>
        <v>46.788691232528592</v>
      </c>
      <c r="Q233" s="2">
        <f t="shared" si="27"/>
        <v>0.53300000000000047</v>
      </c>
      <c r="R233" s="2">
        <f t="shared" si="28"/>
        <v>0.46817153748411733</v>
      </c>
      <c r="S233" s="2">
        <f t="shared" si="29"/>
        <v>6.4828462515883145E-2</v>
      </c>
    </row>
    <row r="234" spans="2:19" x14ac:dyDescent="0.25">
      <c r="B234" s="1">
        <f t="shared" si="30"/>
        <v>228</v>
      </c>
      <c r="C234" s="1">
        <v>391</v>
      </c>
      <c r="D234" s="13">
        <v>53.3</v>
      </c>
      <c r="E234" s="1" t="s">
        <v>11</v>
      </c>
      <c r="F234" s="2">
        <v>1.32</v>
      </c>
      <c r="G234" s="1" t="s">
        <v>12</v>
      </c>
      <c r="H234" s="1" t="s">
        <v>13</v>
      </c>
      <c r="I234" s="1" t="s">
        <v>14</v>
      </c>
      <c r="J234" s="14">
        <v>0.56917824074074075</v>
      </c>
      <c r="K234" s="15">
        <v>45514</v>
      </c>
      <c r="M234" s="2">
        <v>1.25</v>
      </c>
      <c r="O234" s="2">
        <f t="shared" si="25"/>
        <v>1.1850000000000001</v>
      </c>
      <c r="P234" s="2">
        <f t="shared" si="26"/>
        <v>46.84561626429479</v>
      </c>
      <c r="Q234" s="2">
        <f t="shared" si="27"/>
        <v>0.53350000000000042</v>
      </c>
      <c r="R234" s="2">
        <f t="shared" si="28"/>
        <v>0.46874078780177936</v>
      </c>
      <c r="S234" s="2">
        <f t="shared" si="29"/>
        <v>6.4759212198221061E-2</v>
      </c>
    </row>
    <row r="235" spans="2:19" x14ac:dyDescent="0.25">
      <c r="B235" s="1">
        <f t="shared" si="30"/>
        <v>229</v>
      </c>
      <c r="C235" s="1">
        <v>392</v>
      </c>
      <c r="D235" s="13">
        <v>53.4</v>
      </c>
      <c r="E235" s="1" t="s">
        <v>11</v>
      </c>
      <c r="F235" s="2">
        <v>1.33</v>
      </c>
      <c r="G235" s="1" t="s">
        <v>12</v>
      </c>
      <c r="H235" s="1" t="s">
        <v>13</v>
      </c>
      <c r="I235" s="1" t="s">
        <v>14</v>
      </c>
      <c r="J235" s="14">
        <v>0.56917824074074075</v>
      </c>
      <c r="K235" s="15">
        <v>45514</v>
      </c>
      <c r="M235" s="2">
        <v>1.26</v>
      </c>
      <c r="O235" s="2">
        <f t="shared" si="25"/>
        <v>1.1950000000000001</v>
      </c>
      <c r="P235" s="2">
        <f t="shared" si="26"/>
        <v>46.902541296060996</v>
      </c>
      <c r="Q235" s="2">
        <f t="shared" si="27"/>
        <v>0.80024999999999469</v>
      </c>
      <c r="R235" s="2">
        <f t="shared" si="28"/>
        <v>0.70417852604828002</v>
      </c>
      <c r="S235" s="2">
        <f t="shared" si="29"/>
        <v>9.607147395171467E-2</v>
      </c>
    </row>
    <row r="236" spans="2:19" x14ac:dyDescent="0.25">
      <c r="B236" s="1">
        <f t="shared" si="30"/>
        <v>230</v>
      </c>
      <c r="C236" s="1">
        <v>393</v>
      </c>
      <c r="D236" s="13">
        <v>53.3</v>
      </c>
      <c r="E236" s="1" t="s">
        <v>11</v>
      </c>
      <c r="F236" s="2">
        <v>1.345</v>
      </c>
      <c r="G236" s="1" t="s">
        <v>12</v>
      </c>
      <c r="H236" s="1" t="s">
        <v>13</v>
      </c>
      <c r="I236" s="1" t="s">
        <v>14</v>
      </c>
      <c r="J236" s="14">
        <v>0.56917824074074075</v>
      </c>
      <c r="K236" s="15">
        <v>45514</v>
      </c>
      <c r="M236" s="2">
        <v>1.2749999999999999</v>
      </c>
      <c r="O236" s="2">
        <f t="shared" si="25"/>
        <v>1.21</v>
      </c>
      <c r="P236" s="2">
        <f t="shared" si="26"/>
        <v>46.987928843710293</v>
      </c>
      <c r="Q236" s="2">
        <f t="shared" si="27"/>
        <v>0.53250000000000042</v>
      </c>
      <c r="R236" s="2">
        <f t="shared" si="28"/>
        <v>0.47016391359593435</v>
      </c>
      <c r="S236" s="2">
        <f t="shared" si="29"/>
        <v>6.2336086404066071E-2</v>
      </c>
    </row>
    <row r="237" spans="2:19" x14ac:dyDescent="0.25">
      <c r="B237" s="1">
        <f t="shared" si="30"/>
        <v>231</v>
      </c>
      <c r="C237" s="1">
        <v>394</v>
      </c>
      <c r="D237" s="13">
        <v>53.2</v>
      </c>
      <c r="E237" s="1" t="s">
        <v>11</v>
      </c>
      <c r="F237" s="2">
        <v>1.355</v>
      </c>
      <c r="G237" s="1" t="s">
        <v>12</v>
      </c>
      <c r="H237" s="1" t="s">
        <v>13</v>
      </c>
      <c r="I237" s="1" t="s">
        <v>14</v>
      </c>
      <c r="J237" s="14">
        <v>0.56917824074074075</v>
      </c>
      <c r="K237" s="15">
        <v>45514</v>
      </c>
      <c r="M237" s="2">
        <v>1.2849999999999999</v>
      </c>
      <c r="O237" s="2">
        <f t="shared" si="25"/>
        <v>1.22</v>
      </c>
      <c r="P237" s="2">
        <f t="shared" si="26"/>
        <v>47.044853875476491</v>
      </c>
      <c r="Q237" s="2">
        <f t="shared" si="27"/>
        <v>0.26575000000000615</v>
      </c>
      <c r="R237" s="2">
        <f t="shared" si="28"/>
        <v>0.23529542566709566</v>
      </c>
      <c r="S237" s="2">
        <f t="shared" si="29"/>
        <v>3.0454574332910489E-2</v>
      </c>
    </row>
    <row r="238" spans="2:19" x14ac:dyDescent="0.25">
      <c r="B238" s="1">
        <f t="shared" si="30"/>
        <v>232</v>
      </c>
      <c r="C238" s="1">
        <v>395</v>
      </c>
      <c r="D238" s="13">
        <v>53.1</v>
      </c>
      <c r="E238" s="1" t="s">
        <v>11</v>
      </c>
      <c r="F238" s="2">
        <v>1.36</v>
      </c>
      <c r="G238" s="1" t="s">
        <v>12</v>
      </c>
      <c r="H238" s="1" t="s">
        <v>13</v>
      </c>
      <c r="I238" s="1" t="s">
        <v>14</v>
      </c>
      <c r="J238" s="14">
        <v>0.56917824074074075</v>
      </c>
      <c r="K238" s="15">
        <v>45514</v>
      </c>
      <c r="M238" s="2">
        <v>1.29</v>
      </c>
      <c r="O238" s="2">
        <f t="shared" si="25"/>
        <v>1.2250000000000001</v>
      </c>
      <c r="P238" s="2">
        <f t="shared" si="26"/>
        <v>47.073316391359597</v>
      </c>
      <c r="Q238" s="2">
        <f t="shared" si="27"/>
        <v>0.26499999999999435</v>
      </c>
      <c r="R238" s="2">
        <f t="shared" si="28"/>
        <v>0.23543773824650069</v>
      </c>
      <c r="S238" s="2">
        <f t="shared" si="29"/>
        <v>2.9562261753493663E-2</v>
      </c>
    </row>
    <row r="239" spans="2:19" x14ac:dyDescent="0.25">
      <c r="B239" s="1">
        <f t="shared" si="30"/>
        <v>233</v>
      </c>
      <c r="C239" s="1">
        <v>396</v>
      </c>
      <c r="D239" s="13">
        <v>52.9</v>
      </c>
      <c r="E239" s="1" t="s">
        <v>11</v>
      </c>
      <c r="F239" s="2">
        <v>1.365</v>
      </c>
      <c r="G239" s="1" t="s">
        <v>12</v>
      </c>
      <c r="H239" s="1" t="s">
        <v>13</v>
      </c>
      <c r="I239" s="1" t="s">
        <v>14</v>
      </c>
      <c r="J239" s="14">
        <v>0.56918981481481479</v>
      </c>
      <c r="K239" s="15">
        <v>45514</v>
      </c>
      <c r="M239" s="2">
        <v>1.2949999999999999</v>
      </c>
      <c r="O239" s="2">
        <f t="shared" si="25"/>
        <v>1.23</v>
      </c>
      <c r="P239" s="2">
        <f t="shared" si="26"/>
        <v>47.101778907242696</v>
      </c>
      <c r="Q239" s="2">
        <f t="shared" si="27"/>
        <v>0.26475000000000615</v>
      </c>
      <c r="R239" s="2">
        <f t="shared" si="28"/>
        <v>0.2355800508259267</v>
      </c>
      <c r="S239" s="2">
        <f t="shared" si="29"/>
        <v>2.9169949174079446E-2</v>
      </c>
    </row>
    <row r="240" spans="2:19" x14ac:dyDescent="0.25">
      <c r="B240" s="1">
        <f t="shared" si="30"/>
        <v>234</v>
      </c>
      <c r="C240" s="1">
        <v>397</v>
      </c>
      <c r="D240" s="13">
        <v>53</v>
      </c>
      <c r="E240" s="1" t="s">
        <v>11</v>
      </c>
      <c r="F240" s="2">
        <v>1.37</v>
      </c>
      <c r="G240" s="1" t="s">
        <v>12</v>
      </c>
      <c r="H240" s="1" t="s">
        <v>13</v>
      </c>
      <c r="I240" s="1" t="s">
        <v>14</v>
      </c>
      <c r="J240" s="14">
        <v>0.56918981481481479</v>
      </c>
      <c r="K240" s="15">
        <v>45514</v>
      </c>
      <c r="M240" s="2">
        <v>1.3</v>
      </c>
      <c r="O240" s="2">
        <f t="shared" si="25"/>
        <v>1.2350000000000001</v>
      </c>
      <c r="P240" s="2">
        <f t="shared" si="26"/>
        <v>47.130241423125796</v>
      </c>
      <c r="Q240" s="2">
        <f t="shared" si="27"/>
        <v>0.26424999999999438</v>
      </c>
      <c r="R240" s="2">
        <f t="shared" si="28"/>
        <v>0.23572236340533168</v>
      </c>
      <c r="S240" s="2">
        <f t="shared" si="29"/>
        <v>2.8527636594662703E-2</v>
      </c>
    </row>
    <row r="241" spans="2:19" x14ac:dyDescent="0.25">
      <c r="B241" s="1">
        <f t="shared" si="30"/>
        <v>235</v>
      </c>
      <c r="C241" s="1">
        <v>398</v>
      </c>
      <c r="D241" s="13">
        <v>52.7</v>
      </c>
      <c r="E241" s="1" t="s">
        <v>11</v>
      </c>
      <c r="F241" s="2">
        <v>1.375</v>
      </c>
      <c r="G241" s="1" t="s">
        <v>12</v>
      </c>
      <c r="H241" s="1" t="s">
        <v>13</v>
      </c>
      <c r="I241" s="1" t="s">
        <v>14</v>
      </c>
      <c r="J241" s="14">
        <v>0.56918981481481479</v>
      </c>
      <c r="K241" s="15">
        <v>45514</v>
      </c>
      <c r="M241" s="2">
        <v>1.3049999999999999</v>
      </c>
      <c r="O241" s="2">
        <f t="shared" si="25"/>
        <v>1.24</v>
      </c>
      <c r="P241" s="2">
        <f t="shared" si="26"/>
        <v>47.158703939008895</v>
      </c>
      <c r="Q241" s="2">
        <f t="shared" si="27"/>
        <v>0.26325000000000609</v>
      </c>
      <c r="R241" s="2">
        <f t="shared" si="28"/>
        <v>0.23586467598475769</v>
      </c>
      <c r="S241" s="2">
        <f t="shared" si="29"/>
        <v>2.7385324015248402E-2</v>
      </c>
    </row>
    <row r="242" spans="2:19" x14ac:dyDescent="0.25">
      <c r="B242" s="1">
        <f t="shared" si="30"/>
        <v>236</v>
      </c>
      <c r="C242" s="1">
        <v>399</v>
      </c>
      <c r="D242" s="13">
        <v>52.6</v>
      </c>
      <c r="E242" s="1" t="s">
        <v>11</v>
      </c>
      <c r="F242" s="2">
        <v>1.38</v>
      </c>
      <c r="G242" s="1" t="s">
        <v>12</v>
      </c>
      <c r="H242" s="1" t="s">
        <v>13</v>
      </c>
      <c r="I242" s="1" t="s">
        <v>14</v>
      </c>
      <c r="J242" s="14">
        <v>0.56918981481481479</v>
      </c>
      <c r="K242" s="15">
        <v>45514</v>
      </c>
      <c r="M242" s="2">
        <v>1.31</v>
      </c>
      <c r="O242" s="2">
        <f t="shared" si="25"/>
        <v>1.2450000000000001</v>
      </c>
      <c r="P242" s="2">
        <f t="shared" si="26"/>
        <v>47.187166454891994</v>
      </c>
      <c r="Q242" s="2">
        <f t="shared" si="27"/>
        <v>0.26349999999999441</v>
      </c>
      <c r="R242" s="2">
        <f t="shared" si="28"/>
        <v>0.23600698856416272</v>
      </c>
      <c r="S242" s="2">
        <f t="shared" si="29"/>
        <v>2.7493011435831688E-2</v>
      </c>
    </row>
    <row r="243" spans="2:19" x14ac:dyDescent="0.25">
      <c r="B243" s="1">
        <f t="shared" si="30"/>
        <v>237</v>
      </c>
      <c r="C243" s="1">
        <v>400</v>
      </c>
      <c r="D243" s="13">
        <v>52.8</v>
      </c>
      <c r="E243" s="1" t="s">
        <v>11</v>
      </c>
      <c r="F243" s="2">
        <v>1.385</v>
      </c>
      <c r="G243" s="1" t="s">
        <v>12</v>
      </c>
      <c r="H243" s="1" t="s">
        <v>13</v>
      </c>
      <c r="I243" s="1" t="s">
        <v>14</v>
      </c>
      <c r="J243" s="14">
        <v>0.56918981481481479</v>
      </c>
      <c r="K243" s="15">
        <v>45514</v>
      </c>
      <c r="M243" s="2">
        <v>1.3149999999999999</v>
      </c>
      <c r="O243" s="2">
        <f t="shared" si="25"/>
        <v>1.25</v>
      </c>
      <c r="P243" s="2">
        <f t="shared" si="26"/>
        <v>47.2156289707751</v>
      </c>
      <c r="Q243" s="2">
        <f t="shared" si="27"/>
        <v>0.26425000000000609</v>
      </c>
      <c r="R243" s="2">
        <f t="shared" si="28"/>
        <v>0.23614930114358867</v>
      </c>
      <c r="S243" s="2">
        <f t="shared" si="29"/>
        <v>2.8100698856417416E-2</v>
      </c>
    </row>
    <row r="244" spans="2:19" x14ac:dyDescent="0.25">
      <c r="B244" s="1">
        <f t="shared" si="30"/>
        <v>238</v>
      </c>
      <c r="C244" s="1">
        <v>401</v>
      </c>
      <c r="D244" s="13">
        <v>52.9</v>
      </c>
      <c r="E244" s="1" t="s">
        <v>11</v>
      </c>
      <c r="F244" s="2">
        <v>1.39</v>
      </c>
      <c r="G244" s="1" t="s">
        <v>12</v>
      </c>
      <c r="H244" s="1" t="s">
        <v>13</v>
      </c>
      <c r="I244" s="1" t="s">
        <v>14</v>
      </c>
      <c r="J244" s="14">
        <v>0.56918981481481479</v>
      </c>
      <c r="K244" s="15">
        <v>45514</v>
      </c>
      <c r="M244" s="2">
        <v>1.32</v>
      </c>
      <c r="O244" s="2">
        <f t="shared" si="25"/>
        <v>1.2550000000000001</v>
      </c>
      <c r="P244" s="2">
        <f t="shared" si="26"/>
        <v>47.244091486658199</v>
      </c>
      <c r="Q244" s="2">
        <f t="shared" si="27"/>
        <v>0.26424999999999432</v>
      </c>
      <c r="R244" s="2">
        <f t="shared" si="28"/>
        <v>0.23629161372299373</v>
      </c>
      <c r="S244" s="2">
        <f t="shared" si="29"/>
        <v>2.7958386277000591E-2</v>
      </c>
    </row>
    <row r="245" spans="2:19" x14ac:dyDescent="0.25">
      <c r="B245" s="1">
        <f t="shared" si="30"/>
        <v>239</v>
      </c>
      <c r="C245" s="1">
        <v>402</v>
      </c>
      <c r="D245" s="13">
        <v>52.8</v>
      </c>
      <c r="E245" s="1" t="s">
        <v>11</v>
      </c>
      <c r="F245" s="2">
        <v>1.395</v>
      </c>
      <c r="G245" s="1" t="s">
        <v>12</v>
      </c>
      <c r="H245" s="1" t="s">
        <v>13</v>
      </c>
      <c r="I245" s="1" t="s">
        <v>14</v>
      </c>
      <c r="J245" s="14">
        <v>0.56918981481481479</v>
      </c>
      <c r="K245" s="15">
        <v>45514</v>
      </c>
      <c r="M245" s="2">
        <v>1.325</v>
      </c>
      <c r="O245" s="2">
        <f t="shared" si="25"/>
        <v>1.26</v>
      </c>
      <c r="P245" s="2">
        <f t="shared" si="26"/>
        <v>47.272554002541298</v>
      </c>
      <c r="Q245" s="2">
        <f t="shared" si="27"/>
        <v>0.26325000000000609</v>
      </c>
      <c r="R245" s="2">
        <f t="shared" si="28"/>
        <v>0.23643392630241969</v>
      </c>
      <c r="S245" s="2">
        <f t="shared" si="29"/>
        <v>2.6816073697586401E-2</v>
      </c>
    </row>
    <row r="246" spans="2:19" x14ac:dyDescent="0.25">
      <c r="B246" s="1">
        <f t="shared" si="30"/>
        <v>240</v>
      </c>
      <c r="C246" s="1">
        <v>404</v>
      </c>
      <c r="D246" s="13">
        <v>52.5</v>
      </c>
      <c r="E246" s="1" t="s">
        <v>11</v>
      </c>
      <c r="F246" s="2">
        <v>1.4</v>
      </c>
      <c r="G246" s="1" t="s">
        <v>12</v>
      </c>
      <c r="H246" s="1" t="s">
        <v>13</v>
      </c>
      <c r="I246" s="1" t="s">
        <v>14</v>
      </c>
      <c r="J246" s="14">
        <v>0.56918981481481479</v>
      </c>
      <c r="K246" s="15">
        <v>45514</v>
      </c>
      <c r="M246" s="2">
        <v>1.33</v>
      </c>
      <c r="O246" s="2">
        <f t="shared" si="25"/>
        <v>1.2650000000000001</v>
      </c>
      <c r="P246" s="2">
        <f t="shared" si="26"/>
        <v>47.301016518424397</v>
      </c>
      <c r="Q246" s="2">
        <f t="shared" si="27"/>
        <v>0.26099999999999446</v>
      </c>
      <c r="R246" s="2">
        <f t="shared" si="28"/>
        <v>0.23657623888182472</v>
      </c>
      <c r="S246" s="2">
        <f t="shared" si="29"/>
        <v>2.442376111816974E-2</v>
      </c>
    </row>
    <row r="247" spans="2:19" x14ac:dyDescent="0.25">
      <c r="B247" s="1">
        <f t="shared" si="30"/>
        <v>241</v>
      </c>
      <c r="C247" s="1">
        <v>406</v>
      </c>
      <c r="D247" s="13">
        <v>51.9</v>
      </c>
      <c r="E247" s="1" t="s">
        <v>11</v>
      </c>
      <c r="F247" s="2">
        <v>1.405</v>
      </c>
      <c r="G247" s="1" t="s">
        <v>12</v>
      </c>
      <c r="H247" s="1" t="s">
        <v>13</v>
      </c>
      <c r="I247" s="1" t="s">
        <v>14</v>
      </c>
      <c r="J247" s="14">
        <v>0.56920138888888894</v>
      </c>
      <c r="K247" s="15">
        <v>45514</v>
      </c>
      <c r="M247" s="2">
        <v>1.335</v>
      </c>
      <c r="O247" s="2">
        <f t="shared" si="25"/>
        <v>1.27</v>
      </c>
      <c r="P247" s="2">
        <f t="shared" si="26"/>
        <v>47.329479034307496</v>
      </c>
      <c r="Q247" s="2">
        <f t="shared" si="27"/>
        <v>0.25825000000000597</v>
      </c>
      <c r="R247" s="2">
        <f t="shared" si="28"/>
        <v>0.2367185514612507</v>
      </c>
      <c r="S247" s="2">
        <f t="shared" si="29"/>
        <v>2.1531448538755271E-2</v>
      </c>
    </row>
    <row r="248" spans="2:19" x14ac:dyDescent="0.25">
      <c r="B248" s="1">
        <f t="shared" si="30"/>
        <v>242</v>
      </c>
      <c r="C248" s="1">
        <v>408</v>
      </c>
      <c r="D248" s="13">
        <v>51.4</v>
      </c>
      <c r="E248" s="1" t="s">
        <v>11</v>
      </c>
      <c r="F248" s="2">
        <v>1.41</v>
      </c>
      <c r="G248" s="1" t="s">
        <v>12</v>
      </c>
      <c r="H248" s="1" t="s">
        <v>13</v>
      </c>
      <c r="I248" s="1" t="s">
        <v>14</v>
      </c>
      <c r="J248" s="14">
        <v>0.56920138888888894</v>
      </c>
      <c r="K248" s="15">
        <v>45514</v>
      </c>
      <c r="M248" s="2">
        <v>1.34</v>
      </c>
      <c r="O248" s="2">
        <f t="shared" si="25"/>
        <v>1.2750000000000001</v>
      </c>
      <c r="P248" s="2">
        <f t="shared" si="26"/>
        <v>47.357941550190603</v>
      </c>
      <c r="Q248" s="2">
        <f t="shared" si="27"/>
        <v>0.25649999999999451</v>
      </c>
      <c r="R248" s="2">
        <f t="shared" si="28"/>
        <v>0.23686086404065571</v>
      </c>
      <c r="S248" s="2">
        <f t="shared" si="29"/>
        <v>1.9639135959338805E-2</v>
      </c>
    </row>
    <row r="249" spans="2:19" x14ac:dyDescent="0.25">
      <c r="B249" s="1">
        <f t="shared" si="30"/>
        <v>243</v>
      </c>
      <c r="C249" s="1">
        <v>410</v>
      </c>
      <c r="D249" s="13">
        <v>51.2</v>
      </c>
      <c r="E249" s="1" t="s">
        <v>11</v>
      </c>
      <c r="F249" s="2">
        <v>1.415</v>
      </c>
      <c r="G249" s="1" t="s">
        <v>12</v>
      </c>
      <c r="H249" s="1" t="s">
        <v>13</v>
      </c>
      <c r="I249" s="1" t="s">
        <v>14</v>
      </c>
      <c r="J249" s="14">
        <v>0.56920138888888894</v>
      </c>
      <c r="K249" s="15">
        <v>45514</v>
      </c>
      <c r="M249" s="2">
        <v>1.345</v>
      </c>
      <c r="O249" s="2">
        <f t="shared" si="25"/>
        <v>1.28</v>
      </c>
      <c r="P249" s="2">
        <f t="shared" si="26"/>
        <v>47.386404066073702</v>
      </c>
      <c r="Q249" s="2">
        <f t="shared" si="27"/>
        <v>0.25550000000000589</v>
      </c>
      <c r="R249" s="2">
        <f t="shared" si="28"/>
        <v>0.23700317662008175</v>
      </c>
      <c r="S249" s="2">
        <f t="shared" si="29"/>
        <v>1.8496823379924143E-2</v>
      </c>
    </row>
    <row r="250" spans="2:19" x14ac:dyDescent="0.25">
      <c r="B250" s="1">
        <f t="shared" si="30"/>
        <v>244</v>
      </c>
      <c r="C250" s="1">
        <v>411</v>
      </c>
      <c r="D250" s="13">
        <v>51</v>
      </c>
      <c r="E250" s="1" t="s">
        <v>11</v>
      </c>
      <c r="F250" s="2">
        <v>1.42</v>
      </c>
      <c r="G250" s="1" t="s">
        <v>12</v>
      </c>
      <c r="H250" s="1" t="s">
        <v>13</v>
      </c>
      <c r="I250" s="1" t="s">
        <v>14</v>
      </c>
      <c r="J250" s="14">
        <v>0.56920138888888894</v>
      </c>
      <c r="K250" s="15">
        <v>45514</v>
      </c>
      <c r="M250" s="2">
        <v>1.35</v>
      </c>
      <c r="O250" s="2">
        <f t="shared" si="25"/>
        <v>1.2850000000000001</v>
      </c>
      <c r="P250" s="2">
        <f t="shared" si="26"/>
        <v>47.414866581956801</v>
      </c>
      <c r="Q250" s="2">
        <f t="shared" si="27"/>
        <v>0.25474999999999459</v>
      </c>
      <c r="R250" s="2">
        <f t="shared" si="28"/>
        <v>0.23714548919948669</v>
      </c>
      <c r="S250" s="2">
        <f t="shared" si="29"/>
        <v>1.76045108005079E-2</v>
      </c>
    </row>
    <row r="251" spans="2:19" x14ac:dyDescent="0.25">
      <c r="B251" s="1">
        <f t="shared" si="30"/>
        <v>245</v>
      </c>
      <c r="C251" s="1">
        <v>413</v>
      </c>
      <c r="D251" s="13">
        <v>50.9</v>
      </c>
      <c r="E251" s="1" t="s">
        <v>11</v>
      </c>
      <c r="F251" s="2">
        <v>1.425</v>
      </c>
      <c r="G251" s="1" t="s">
        <v>12</v>
      </c>
      <c r="H251" s="1" t="s">
        <v>13</v>
      </c>
      <c r="I251" s="1" t="s">
        <v>14</v>
      </c>
      <c r="J251" s="14">
        <v>0.56920138888888894</v>
      </c>
      <c r="K251" s="15">
        <v>45514</v>
      </c>
      <c r="M251" s="2">
        <v>1.355</v>
      </c>
      <c r="O251" s="2">
        <f t="shared" si="25"/>
        <v>1.29</v>
      </c>
      <c r="P251" s="2">
        <f t="shared" si="26"/>
        <v>47.4433290978399</v>
      </c>
      <c r="Q251" s="2">
        <f t="shared" si="27"/>
        <v>0.25450000000000589</v>
      </c>
      <c r="R251" s="2">
        <f t="shared" si="28"/>
        <v>0.23728780177891273</v>
      </c>
      <c r="S251" s="2">
        <f t="shared" si="29"/>
        <v>1.7212198221093156E-2</v>
      </c>
    </row>
    <row r="252" spans="2:19" x14ac:dyDescent="0.25">
      <c r="B252" s="1">
        <f t="shared" si="30"/>
        <v>246</v>
      </c>
      <c r="C252" s="1">
        <v>415</v>
      </c>
      <c r="D252" s="13">
        <v>50.9</v>
      </c>
      <c r="E252" s="1" t="s">
        <v>11</v>
      </c>
      <c r="F252" s="2">
        <v>1.43</v>
      </c>
      <c r="G252" s="1" t="s">
        <v>12</v>
      </c>
      <c r="H252" s="1" t="s">
        <v>13</v>
      </c>
      <c r="I252" s="1" t="s">
        <v>14</v>
      </c>
      <c r="J252" s="14">
        <v>0.56920138888888894</v>
      </c>
      <c r="K252" s="15">
        <v>45514</v>
      </c>
      <c r="M252" s="2">
        <v>1.36</v>
      </c>
      <c r="O252" s="2">
        <f t="shared" si="25"/>
        <v>1.2950000000000002</v>
      </c>
      <c r="P252" s="2">
        <f t="shared" si="26"/>
        <v>47.471791613722999</v>
      </c>
      <c r="Q252" s="2">
        <f t="shared" si="27"/>
        <v>0.25424999999999454</v>
      </c>
      <c r="R252" s="2">
        <f t="shared" si="28"/>
        <v>0.23743011435831765</v>
      </c>
      <c r="S252" s="2">
        <f t="shared" si="29"/>
        <v>1.6819885641676885E-2</v>
      </c>
    </row>
    <row r="253" spans="2:19" x14ac:dyDescent="0.25">
      <c r="B253" s="1">
        <f t="shared" si="30"/>
        <v>247</v>
      </c>
      <c r="C253" s="1">
        <v>417</v>
      </c>
      <c r="D253" s="13">
        <v>50.8</v>
      </c>
      <c r="E253" s="1" t="s">
        <v>11</v>
      </c>
      <c r="F253" s="2">
        <v>1.4350000000000001</v>
      </c>
      <c r="G253" s="1" t="s">
        <v>12</v>
      </c>
      <c r="H253" s="1" t="s">
        <v>13</v>
      </c>
      <c r="I253" s="1" t="s">
        <v>14</v>
      </c>
      <c r="J253" s="14">
        <v>0.56921296296296298</v>
      </c>
      <c r="K253" s="15">
        <v>45514</v>
      </c>
      <c r="M253" s="2">
        <v>1.365</v>
      </c>
      <c r="O253" s="2">
        <f t="shared" si="25"/>
        <v>1.3</v>
      </c>
      <c r="P253" s="2">
        <f t="shared" si="26"/>
        <v>47.500254129606098</v>
      </c>
      <c r="Q253" s="2">
        <f t="shared" si="27"/>
        <v>0.25300000000000583</v>
      </c>
      <c r="R253" s="2">
        <f t="shared" si="28"/>
        <v>0.23757242693774375</v>
      </c>
      <c r="S253" s="2">
        <f t="shared" si="29"/>
        <v>1.5427573062262084E-2</v>
      </c>
    </row>
    <row r="254" spans="2:19" x14ac:dyDescent="0.25">
      <c r="B254" s="1">
        <f t="shared" si="30"/>
        <v>248</v>
      </c>
      <c r="C254" s="1">
        <v>419</v>
      </c>
      <c r="D254" s="13">
        <v>50.4</v>
      </c>
      <c r="E254" s="1" t="s">
        <v>11</v>
      </c>
      <c r="F254" s="2">
        <v>1.44</v>
      </c>
      <c r="G254" s="1" t="s">
        <v>12</v>
      </c>
      <c r="H254" s="1" t="s">
        <v>13</v>
      </c>
      <c r="I254" s="1" t="s">
        <v>14</v>
      </c>
      <c r="J254" s="14">
        <v>0.56921296296296298</v>
      </c>
      <c r="K254" s="15">
        <v>45514</v>
      </c>
      <c r="M254" s="2">
        <v>1.37</v>
      </c>
      <c r="O254" s="2">
        <f t="shared" si="25"/>
        <v>1.3050000000000002</v>
      </c>
      <c r="P254" s="2">
        <f t="shared" si="26"/>
        <v>47.528716645489204</v>
      </c>
      <c r="Q254" s="2">
        <f t="shared" si="27"/>
        <v>0.25124999999999464</v>
      </c>
      <c r="R254" s="2">
        <f t="shared" si="28"/>
        <v>0.23771473951714872</v>
      </c>
      <c r="S254" s="2">
        <f t="shared" si="29"/>
        <v>1.3535260482845923E-2</v>
      </c>
    </row>
    <row r="255" spans="2:19" x14ac:dyDescent="0.25">
      <c r="B255" s="1">
        <f t="shared" si="30"/>
        <v>249</v>
      </c>
      <c r="C255" s="1">
        <v>421</v>
      </c>
      <c r="D255" s="13">
        <v>50.1</v>
      </c>
      <c r="E255" s="1" t="s">
        <v>11</v>
      </c>
      <c r="F255" s="2">
        <v>1.4450000000000001</v>
      </c>
      <c r="G255" s="1" t="s">
        <v>12</v>
      </c>
      <c r="H255" s="1" t="s">
        <v>13</v>
      </c>
      <c r="I255" s="1" t="s">
        <v>14</v>
      </c>
      <c r="J255" s="14">
        <v>0.56921296296296298</v>
      </c>
      <c r="K255" s="15">
        <v>45514</v>
      </c>
      <c r="M255" s="2">
        <v>1.375</v>
      </c>
      <c r="O255" s="2">
        <f t="shared" si="25"/>
        <v>1.31</v>
      </c>
      <c r="P255" s="2">
        <f t="shared" si="26"/>
        <v>47.557179161372304</v>
      </c>
      <c r="Q255" s="2">
        <f t="shared" si="27"/>
        <v>0.25049999999999467</v>
      </c>
      <c r="R255" s="2">
        <f t="shared" si="28"/>
        <v>0.23785705209656419</v>
      </c>
      <c r="S255" s="2">
        <f t="shared" si="29"/>
        <v>1.2642947903430485E-2</v>
      </c>
    </row>
    <row r="256" spans="2:19" x14ac:dyDescent="0.25">
      <c r="B256" s="1">
        <f t="shared" si="30"/>
        <v>250</v>
      </c>
      <c r="C256" s="1">
        <v>423</v>
      </c>
      <c r="D256" s="13">
        <v>50.1</v>
      </c>
      <c r="E256" s="1" t="s">
        <v>11</v>
      </c>
      <c r="F256" s="2">
        <v>1.45</v>
      </c>
      <c r="G256" s="1" t="s">
        <v>12</v>
      </c>
      <c r="H256" s="1" t="s">
        <v>13</v>
      </c>
      <c r="I256" s="1" t="s">
        <v>14</v>
      </c>
      <c r="J256" s="14">
        <v>0.56921296296296298</v>
      </c>
      <c r="K256" s="15">
        <v>45514</v>
      </c>
      <c r="M256" s="2">
        <v>1.38</v>
      </c>
      <c r="O256" s="2">
        <f t="shared" si="25"/>
        <v>1.3149999999999999</v>
      </c>
      <c r="P256" s="2">
        <f t="shared" si="26"/>
        <v>47.585641677255403</v>
      </c>
      <c r="Q256" s="2">
        <f t="shared" si="27"/>
        <v>0.25050000000000577</v>
      </c>
      <c r="R256" s="2">
        <f t="shared" si="28"/>
        <v>0.23799936467599028</v>
      </c>
      <c r="S256" s="2">
        <f t="shared" si="29"/>
        <v>1.2500635324015491E-2</v>
      </c>
    </row>
    <row r="257" spans="2:19" x14ac:dyDescent="0.25">
      <c r="B257" s="1">
        <f t="shared" si="30"/>
        <v>251</v>
      </c>
      <c r="C257" s="1">
        <v>424</v>
      </c>
      <c r="D257" s="13">
        <v>50.1</v>
      </c>
      <c r="E257" s="1" t="s">
        <v>11</v>
      </c>
      <c r="F257" s="2">
        <v>1.4550000000000001</v>
      </c>
      <c r="G257" s="1" t="s">
        <v>12</v>
      </c>
      <c r="H257" s="1" t="s">
        <v>13</v>
      </c>
      <c r="I257" s="1" t="s">
        <v>14</v>
      </c>
      <c r="J257" s="14">
        <v>0.56921296296296298</v>
      </c>
      <c r="K257" s="15">
        <v>45514</v>
      </c>
      <c r="M257" s="2">
        <v>1.385</v>
      </c>
      <c r="O257" s="2">
        <f t="shared" si="25"/>
        <v>1.32</v>
      </c>
      <c r="P257" s="2">
        <f t="shared" si="26"/>
        <v>47.614104193138502</v>
      </c>
      <c r="Q257" s="2">
        <f t="shared" si="27"/>
        <v>0.25049999999999467</v>
      </c>
      <c r="R257" s="2">
        <f t="shared" si="28"/>
        <v>0.23814167725539517</v>
      </c>
      <c r="S257" s="2">
        <f t="shared" si="29"/>
        <v>1.2358322744599498E-2</v>
      </c>
    </row>
    <row r="258" spans="2:19" x14ac:dyDescent="0.25">
      <c r="B258" s="1">
        <f t="shared" si="30"/>
        <v>252</v>
      </c>
      <c r="C258" s="1">
        <v>426</v>
      </c>
      <c r="D258" s="13">
        <v>50.1</v>
      </c>
      <c r="E258" s="1" t="s">
        <v>11</v>
      </c>
      <c r="F258" s="2">
        <v>1.46</v>
      </c>
      <c r="G258" s="1" t="s">
        <v>12</v>
      </c>
      <c r="H258" s="1" t="s">
        <v>13</v>
      </c>
      <c r="I258" s="1" t="s">
        <v>14</v>
      </c>
      <c r="J258" s="14">
        <v>0.56922453703703701</v>
      </c>
      <c r="K258" s="15">
        <v>45514</v>
      </c>
      <c r="M258" s="2">
        <v>1.39</v>
      </c>
      <c r="O258" s="2">
        <f t="shared" si="25"/>
        <v>1.325</v>
      </c>
      <c r="P258" s="2">
        <f t="shared" si="26"/>
        <v>47.642566709021601</v>
      </c>
      <c r="Q258" s="2">
        <f t="shared" si="27"/>
        <v>0.25025000000000575</v>
      </c>
      <c r="R258" s="2">
        <f t="shared" si="28"/>
        <v>0.23828398983482127</v>
      </c>
      <c r="S258" s="2">
        <f t="shared" si="29"/>
        <v>1.1966010165184476E-2</v>
      </c>
    </row>
    <row r="259" spans="2:19" x14ac:dyDescent="0.25">
      <c r="B259" s="1">
        <f t="shared" si="30"/>
        <v>253</v>
      </c>
      <c r="C259" s="1">
        <v>428</v>
      </c>
      <c r="D259" s="13">
        <v>50</v>
      </c>
      <c r="E259" s="1" t="s">
        <v>11</v>
      </c>
      <c r="F259" s="2">
        <v>1.4650000000000001</v>
      </c>
      <c r="G259" s="1" t="s">
        <v>12</v>
      </c>
      <c r="H259" s="1" t="s">
        <v>13</v>
      </c>
      <c r="I259" s="1" t="s">
        <v>14</v>
      </c>
      <c r="J259" s="14">
        <v>0.56922453703703701</v>
      </c>
      <c r="K259" s="15">
        <v>45514</v>
      </c>
      <c r="M259" s="2">
        <v>1.395</v>
      </c>
      <c r="O259" s="2">
        <f t="shared" si="25"/>
        <v>1.33</v>
      </c>
      <c r="P259" s="2">
        <f t="shared" si="26"/>
        <v>47.6710292249047</v>
      </c>
      <c r="Q259" s="2">
        <f t="shared" si="27"/>
        <v>0.24949999999999467</v>
      </c>
      <c r="R259" s="2">
        <f t="shared" si="28"/>
        <v>0.23842630241422619</v>
      </c>
      <c r="S259" s="2">
        <f t="shared" si="29"/>
        <v>1.1073697585768483E-2</v>
      </c>
    </row>
    <row r="260" spans="2:19" x14ac:dyDescent="0.25">
      <c r="B260" s="1">
        <f t="shared" si="30"/>
        <v>254</v>
      </c>
      <c r="C260" s="1">
        <v>430</v>
      </c>
      <c r="D260" s="13">
        <v>49.8</v>
      </c>
      <c r="E260" s="1" t="s">
        <v>11</v>
      </c>
      <c r="F260" s="2">
        <v>1.47</v>
      </c>
      <c r="G260" s="1" t="s">
        <v>12</v>
      </c>
      <c r="H260" s="1" t="s">
        <v>13</v>
      </c>
      <c r="I260" s="1" t="s">
        <v>14</v>
      </c>
      <c r="J260" s="14">
        <v>0.56922453703703701</v>
      </c>
      <c r="K260" s="15">
        <v>45514</v>
      </c>
      <c r="M260" s="2">
        <v>1.4</v>
      </c>
      <c r="O260" s="2">
        <f t="shared" si="25"/>
        <v>1.335</v>
      </c>
      <c r="P260" s="2">
        <f t="shared" si="26"/>
        <v>47.699491740787806</v>
      </c>
      <c r="Q260" s="2">
        <f t="shared" si="27"/>
        <v>0.24850000000000574</v>
      </c>
      <c r="R260" s="2">
        <f t="shared" si="28"/>
        <v>0.23856861499365228</v>
      </c>
      <c r="S260" s="2">
        <f t="shared" si="29"/>
        <v>9.9313850063534603E-3</v>
      </c>
    </row>
    <row r="261" spans="2:19" x14ac:dyDescent="0.25">
      <c r="B261" s="1">
        <f t="shared" si="30"/>
        <v>255</v>
      </c>
      <c r="C261" s="1">
        <v>431</v>
      </c>
      <c r="D261" s="13">
        <v>49.6</v>
      </c>
      <c r="E261" s="1" t="s">
        <v>11</v>
      </c>
      <c r="F261" s="2">
        <v>1.4750000000000001</v>
      </c>
      <c r="G261" s="1" t="s">
        <v>12</v>
      </c>
      <c r="H261" s="1" t="s">
        <v>13</v>
      </c>
      <c r="I261" s="1" t="s">
        <v>14</v>
      </c>
      <c r="J261" s="14">
        <v>0.56922453703703701</v>
      </c>
      <c r="K261" s="15">
        <v>45514</v>
      </c>
      <c r="M261" s="2">
        <v>1.405</v>
      </c>
      <c r="O261" s="2">
        <f t="shared" si="25"/>
        <v>1.34</v>
      </c>
      <c r="P261" s="2">
        <f t="shared" si="26"/>
        <v>47.727954256670905</v>
      </c>
      <c r="Q261" s="2">
        <f t="shared" si="27"/>
        <v>0.24724999999999475</v>
      </c>
      <c r="R261" s="2">
        <f t="shared" si="28"/>
        <v>0.2387109275730572</v>
      </c>
      <c r="S261" s="2">
        <f t="shared" si="29"/>
        <v>8.5390724269375495E-3</v>
      </c>
    </row>
    <row r="262" spans="2:19" x14ac:dyDescent="0.25">
      <c r="B262" s="1">
        <f t="shared" si="30"/>
        <v>256</v>
      </c>
      <c r="C262" s="1">
        <v>432</v>
      </c>
      <c r="D262" s="13">
        <v>49.3</v>
      </c>
      <c r="E262" s="1" t="s">
        <v>11</v>
      </c>
      <c r="F262" s="2">
        <v>1.48</v>
      </c>
      <c r="G262" s="1" t="s">
        <v>12</v>
      </c>
      <c r="H262" s="1" t="s">
        <v>13</v>
      </c>
      <c r="I262" s="1" t="s">
        <v>14</v>
      </c>
      <c r="J262" s="14">
        <v>0.56922453703703701</v>
      </c>
      <c r="K262" s="15">
        <v>45514</v>
      </c>
      <c r="M262" s="2">
        <v>1.41</v>
      </c>
      <c r="O262" s="2">
        <f t="shared" si="25"/>
        <v>1.345</v>
      </c>
      <c r="P262" s="2">
        <f t="shared" si="26"/>
        <v>47.756416772554005</v>
      </c>
      <c r="Q262" s="2">
        <f t="shared" si="27"/>
        <v>0.24650000000000569</v>
      </c>
      <c r="R262" s="2">
        <f t="shared" si="28"/>
        <v>0.23885324015248327</v>
      </c>
      <c r="S262" s="2">
        <f t="shared" si="29"/>
        <v>7.6467598475224163E-3</v>
      </c>
    </row>
    <row r="263" spans="2:19" x14ac:dyDescent="0.25">
      <c r="B263" s="1">
        <f t="shared" si="30"/>
        <v>257</v>
      </c>
      <c r="C263" s="1">
        <v>433</v>
      </c>
      <c r="D263" s="13">
        <v>49.3</v>
      </c>
      <c r="E263" s="1" t="s">
        <v>11</v>
      </c>
      <c r="F263" s="2">
        <v>1.4850000000000001</v>
      </c>
      <c r="G263" s="1" t="s">
        <v>12</v>
      </c>
      <c r="H263" s="1" t="s">
        <v>13</v>
      </c>
      <c r="I263" s="1" t="s">
        <v>14</v>
      </c>
      <c r="J263" s="14">
        <v>0.56922453703703701</v>
      </c>
      <c r="K263" s="15">
        <v>45514</v>
      </c>
      <c r="M263" s="2">
        <v>1.415</v>
      </c>
      <c r="O263" s="2">
        <f t="shared" si="25"/>
        <v>1.35</v>
      </c>
      <c r="P263" s="2">
        <f t="shared" si="26"/>
        <v>47.784879288437104</v>
      </c>
      <c r="Q263" s="2">
        <f t="shared" si="27"/>
        <v>0.24624999999999475</v>
      </c>
      <c r="R263" s="2">
        <f t="shared" si="28"/>
        <v>0.23899555273188819</v>
      </c>
      <c r="S263" s="2">
        <f t="shared" si="29"/>
        <v>7.2544472681065619E-3</v>
      </c>
    </row>
    <row r="264" spans="2:19" x14ac:dyDescent="0.25">
      <c r="B264" s="1">
        <f t="shared" si="30"/>
        <v>258</v>
      </c>
      <c r="C264" s="1">
        <v>435</v>
      </c>
      <c r="D264" s="13">
        <v>49.2</v>
      </c>
      <c r="E264" s="1" t="s">
        <v>11</v>
      </c>
      <c r="F264" s="2">
        <v>1.49</v>
      </c>
      <c r="G264" s="1" t="s">
        <v>12</v>
      </c>
      <c r="H264" s="1" t="s">
        <v>13</v>
      </c>
      <c r="I264" s="1" t="s">
        <v>14</v>
      </c>
      <c r="J264" s="14">
        <v>0.56922453703703701</v>
      </c>
      <c r="K264" s="15">
        <v>45514</v>
      </c>
      <c r="M264" s="2">
        <v>1.42</v>
      </c>
      <c r="O264" s="2">
        <f t="shared" ref="O264:O327" si="31">M264-$X$23</f>
        <v>1.355</v>
      </c>
      <c r="P264" s="2">
        <f t="shared" ref="P264:P327" si="32">O264*$AC$21+$Y$23</f>
        <v>47.813341804320203</v>
      </c>
      <c r="Q264" s="2">
        <f t="shared" ref="Q264:Q327" si="33">((D264+D265)/2)*(M265-M264)</f>
        <v>0.24575000000000571</v>
      </c>
      <c r="R264" s="2">
        <f t="shared" ref="R264:R327" si="34">((P264+P265)/2)*(O265-O264)</f>
        <v>0.23913786531131431</v>
      </c>
      <c r="S264" s="2">
        <f t="shared" ref="S264:S327" si="35">Q264-R264</f>
        <v>6.6121346886914012E-3</v>
      </c>
    </row>
    <row r="265" spans="2:19" x14ac:dyDescent="0.25">
      <c r="B265" s="1">
        <f t="shared" ref="B265:B328" si="36">B264+1</f>
        <v>259</v>
      </c>
      <c r="C265" s="1">
        <v>437</v>
      </c>
      <c r="D265" s="13">
        <v>49.1</v>
      </c>
      <c r="E265" s="1" t="s">
        <v>11</v>
      </c>
      <c r="F265" s="2">
        <v>1.4950000000000001</v>
      </c>
      <c r="G265" s="1" t="s">
        <v>12</v>
      </c>
      <c r="H265" s="1" t="s">
        <v>13</v>
      </c>
      <c r="I265" s="1" t="s">
        <v>14</v>
      </c>
      <c r="J265" s="14">
        <v>0.56923611111111116</v>
      </c>
      <c r="K265" s="15">
        <v>45514</v>
      </c>
      <c r="M265" s="2">
        <v>1.425</v>
      </c>
      <c r="O265" s="2">
        <f t="shared" si="31"/>
        <v>1.36</v>
      </c>
      <c r="P265" s="2">
        <f t="shared" si="32"/>
        <v>47.841804320203309</v>
      </c>
      <c r="Q265" s="2">
        <f t="shared" si="33"/>
        <v>0.24574999999999478</v>
      </c>
      <c r="R265" s="2">
        <f t="shared" si="34"/>
        <v>0.23928017789071918</v>
      </c>
      <c r="S265" s="2">
        <f t="shared" si="35"/>
        <v>6.4698221092756025E-3</v>
      </c>
    </row>
    <row r="266" spans="2:19" x14ac:dyDescent="0.25">
      <c r="B266" s="1">
        <f t="shared" si="36"/>
        <v>260</v>
      </c>
      <c r="C266" s="1">
        <v>439</v>
      </c>
      <c r="D266" s="13">
        <v>49.2</v>
      </c>
      <c r="E266" s="1" t="s">
        <v>11</v>
      </c>
      <c r="F266" s="2">
        <v>1.5</v>
      </c>
      <c r="G266" s="1" t="s">
        <v>12</v>
      </c>
      <c r="H266" s="1" t="s">
        <v>13</v>
      </c>
      <c r="I266" s="1" t="s">
        <v>14</v>
      </c>
      <c r="J266" s="14">
        <v>0.56923611111111116</v>
      </c>
      <c r="K266" s="15">
        <v>45514</v>
      </c>
      <c r="M266" s="2">
        <v>1.43</v>
      </c>
      <c r="O266" s="2">
        <f t="shared" si="31"/>
        <v>1.365</v>
      </c>
      <c r="P266" s="2">
        <f t="shared" si="32"/>
        <v>47.870266836086408</v>
      </c>
      <c r="Q266" s="2">
        <f t="shared" si="33"/>
        <v>0.49150000000000049</v>
      </c>
      <c r="R266" s="2">
        <f t="shared" si="34"/>
        <v>0.47898729351969549</v>
      </c>
      <c r="S266" s="2">
        <f t="shared" si="35"/>
        <v>1.2512706480305003E-2</v>
      </c>
    </row>
    <row r="267" spans="2:19" x14ac:dyDescent="0.25">
      <c r="B267" s="1">
        <f t="shared" si="36"/>
        <v>261</v>
      </c>
      <c r="C267" s="1">
        <v>440</v>
      </c>
      <c r="D267" s="13">
        <v>49.1</v>
      </c>
      <c r="E267" s="1" t="s">
        <v>11</v>
      </c>
      <c r="F267" s="2">
        <v>1.51</v>
      </c>
      <c r="G267" s="1" t="s">
        <v>12</v>
      </c>
      <c r="H267" s="1" t="s">
        <v>13</v>
      </c>
      <c r="I267" s="1" t="s">
        <v>14</v>
      </c>
      <c r="J267" s="14">
        <v>0.56923611111111116</v>
      </c>
      <c r="K267" s="15">
        <v>45514</v>
      </c>
      <c r="M267" s="2">
        <v>1.44</v>
      </c>
      <c r="O267" s="2">
        <f t="shared" si="31"/>
        <v>1.375</v>
      </c>
      <c r="P267" s="2">
        <f t="shared" si="32"/>
        <v>47.927191867852606</v>
      </c>
      <c r="Q267" s="2">
        <f t="shared" si="33"/>
        <v>0.24450000000000569</v>
      </c>
      <c r="R267" s="2">
        <f t="shared" si="34"/>
        <v>0.23970711562897634</v>
      </c>
      <c r="S267" s="2">
        <f t="shared" si="35"/>
        <v>4.7928843710293434E-3</v>
      </c>
    </row>
    <row r="268" spans="2:19" x14ac:dyDescent="0.25">
      <c r="B268" s="1">
        <f t="shared" si="36"/>
        <v>262</v>
      </c>
      <c r="C268" s="1">
        <v>441</v>
      </c>
      <c r="D268" s="13">
        <v>48.7</v>
      </c>
      <c r="E268" s="1" t="s">
        <v>11</v>
      </c>
      <c r="F268" s="2">
        <v>1.5149999999999999</v>
      </c>
      <c r="G268" s="1" t="s">
        <v>12</v>
      </c>
      <c r="H268" s="1" t="s">
        <v>13</v>
      </c>
      <c r="I268" s="1" t="s">
        <v>14</v>
      </c>
      <c r="J268" s="14">
        <v>0.56923611111111116</v>
      </c>
      <c r="K268" s="15">
        <v>45514</v>
      </c>
      <c r="M268" s="2">
        <v>1.4450000000000001</v>
      </c>
      <c r="O268" s="2">
        <f t="shared" si="31"/>
        <v>1.3800000000000001</v>
      </c>
      <c r="P268" s="2">
        <f t="shared" si="32"/>
        <v>47.955654383735705</v>
      </c>
      <c r="Q268" s="2">
        <f t="shared" si="33"/>
        <v>0.24324999999999483</v>
      </c>
      <c r="R268" s="2">
        <f t="shared" si="34"/>
        <v>0.23984942820838115</v>
      </c>
      <c r="S268" s="2">
        <f t="shared" si="35"/>
        <v>3.4005717916136824E-3</v>
      </c>
    </row>
    <row r="269" spans="2:19" x14ac:dyDescent="0.25">
      <c r="B269" s="1">
        <f t="shared" si="36"/>
        <v>263</v>
      </c>
      <c r="C269" s="1">
        <v>442</v>
      </c>
      <c r="D269" s="13">
        <v>48.6</v>
      </c>
      <c r="E269" s="1" t="s">
        <v>11</v>
      </c>
      <c r="F269" s="2">
        <v>1.52</v>
      </c>
      <c r="G269" s="1" t="s">
        <v>12</v>
      </c>
      <c r="H269" s="1" t="s">
        <v>13</v>
      </c>
      <c r="I269" s="1" t="s">
        <v>14</v>
      </c>
      <c r="J269" s="14">
        <v>0.56923611111111116</v>
      </c>
      <c r="K269" s="15">
        <v>45514</v>
      </c>
      <c r="M269" s="2">
        <v>1.45</v>
      </c>
      <c r="O269" s="2">
        <f t="shared" si="31"/>
        <v>1.385</v>
      </c>
      <c r="P269" s="2">
        <f t="shared" si="32"/>
        <v>47.984116899618805</v>
      </c>
      <c r="Q269" s="2">
        <f t="shared" si="33"/>
        <v>0.2425000000000056</v>
      </c>
      <c r="R269" s="2">
        <f t="shared" si="34"/>
        <v>0.23999174078780733</v>
      </c>
      <c r="S269" s="2">
        <f t="shared" si="35"/>
        <v>2.5082592121982716E-3</v>
      </c>
    </row>
    <row r="270" spans="2:19" x14ac:dyDescent="0.25">
      <c r="B270" s="1">
        <f t="shared" si="36"/>
        <v>264</v>
      </c>
      <c r="C270" s="1">
        <v>443</v>
      </c>
      <c r="D270" s="13">
        <v>48.4</v>
      </c>
      <c r="E270" s="1" t="s">
        <v>11</v>
      </c>
      <c r="F270" s="2">
        <v>1.5249999999999999</v>
      </c>
      <c r="G270" s="1" t="s">
        <v>12</v>
      </c>
      <c r="H270" s="1" t="s">
        <v>13</v>
      </c>
      <c r="I270" s="1" t="s">
        <v>14</v>
      </c>
      <c r="J270" s="14">
        <v>0.56923611111111116</v>
      </c>
      <c r="K270" s="15">
        <v>45514</v>
      </c>
      <c r="M270" s="2">
        <v>1.4550000000000001</v>
      </c>
      <c r="O270" s="2">
        <f t="shared" si="31"/>
        <v>1.3900000000000001</v>
      </c>
      <c r="P270" s="2">
        <f t="shared" si="32"/>
        <v>48.012579415501911</v>
      </c>
      <c r="Q270" s="2">
        <f t="shared" si="33"/>
        <v>0.24224999999999486</v>
      </c>
      <c r="R270" s="2">
        <f t="shared" si="34"/>
        <v>0.24013405336721219</v>
      </c>
      <c r="S270" s="2">
        <f t="shared" si="35"/>
        <v>2.115946632782667E-3</v>
      </c>
    </row>
    <row r="271" spans="2:19" x14ac:dyDescent="0.25">
      <c r="B271" s="1">
        <f t="shared" si="36"/>
        <v>265</v>
      </c>
      <c r="C271" s="1">
        <v>444</v>
      </c>
      <c r="D271" s="13">
        <v>48.5</v>
      </c>
      <c r="E271" s="1" t="s">
        <v>11</v>
      </c>
      <c r="F271" s="2">
        <v>1.53</v>
      </c>
      <c r="G271" s="1" t="s">
        <v>12</v>
      </c>
      <c r="H271" s="1" t="s">
        <v>13</v>
      </c>
      <c r="I271" s="1" t="s">
        <v>14</v>
      </c>
      <c r="J271" s="14">
        <v>0.56923611111111116</v>
      </c>
      <c r="K271" s="15">
        <v>45514</v>
      </c>
      <c r="M271" s="2">
        <v>1.46</v>
      </c>
      <c r="O271" s="2">
        <f t="shared" si="31"/>
        <v>1.395</v>
      </c>
      <c r="P271" s="2">
        <f t="shared" si="32"/>
        <v>48.04104193138501</v>
      </c>
      <c r="Q271" s="2">
        <f t="shared" si="33"/>
        <v>0.2425000000000056</v>
      </c>
      <c r="R271" s="2">
        <f t="shared" si="34"/>
        <v>0.24027636594663832</v>
      </c>
      <c r="S271" s="2">
        <f t="shared" si="35"/>
        <v>2.2236340533672849E-3</v>
      </c>
    </row>
    <row r="272" spans="2:19" x14ac:dyDescent="0.25">
      <c r="B272" s="1">
        <f t="shared" si="36"/>
        <v>266</v>
      </c>
      <c r="C272" s="1">
        <v>445</v>
      </c>
      <c r="D272" s="13">
        <v>48.5</v>
      </c>
      <c r="E272" s="1" t="s">
        <v>11</v>
      </c>
      <c r="F272" s="2">
        <v>1.5349999999999999</v>
      </c>
      <c r="G272" s="1" t="s">
        <v>12</v>
      </c>
      <c r="H272" s="1" t="s">
        <v>13</v>
      </c>
      <c r="I272" s="1" t="s">
        <v>14</v>
      </c>
      <c r="J272" s="14">
        <v>0.56923611111111116</v>
      </c>
      <c r="K272" s="15">
        <v>45514</v>
      </c>
      <c r="M272" s="2">
        <v>1.4650000000000001</v>
      </c>
      <c r="O272" s="2">
        <f t="shared" si="31"/>
        <v>1.4000000000000001</v>
      </c>
      <c r="P272" s="2">
        <f t="shared" si="32"/>
        <v>48.069504447268109</v>
      </c>
      <c r="Q272" s="2">
        <f t="shared" si="33"/>
        <v>0.24149999999999483</v>
      </c>
      <c r="R272" s="2">
        <f t="shared" si="34"/>
        <v>0.24041867852604318</v>
      </c>
      <c r="S272" s="2">
        <f t="shared" si="35"/>
        <v>1.0813214739516519E-3</v>
      </c>
    </row>
    <row r="273" spans="2:19" x14ac:dyDescent="0.25">
      <c r="B273" s="1">
        <f t="shared" si="36"/>
        <v>267</v>
      </c>
      <c r="C273" s="1">
        <v>446</v>
      </c>
      <c r="D273" s="13">
        <v>48.1</v>
      </c>
      <c r="E273" s="1" t="s">
        <v>11</v>
      </c>
      <c r="F273" s="2">
        <v>1.54</v>
      </c>
      <c r="G273" s="1" t="s">
        <v>12</v>
      </c>
      <c r="H273" s="1" t="s">
        <v>13</v>
      </c>
      <c r="I273" s="1" t="s">
        <v>14</v>
      </c>
      <c r="J273" s="14">
        <v>0.5692476851851852</v>
      </c>
      <c r="K273" s="15">
        <v>45514</v>
      </c>
      <c r="M273" s="2">
        <v>1.47</v>
      </c>
      <c r="O273" s="2">
        <f t="shared" si="31"/>
        <v>1.405</v>
      </c>
      <c r="P273" s="2">
        <f t="shared" si="32"/>
        <v>48.097966963151208</v>
      </c>
      <c r="Q273" s="2">
        <f t="shared" si="33"/>
        <v>0.24000000000000554</v>
      </c>
      <c r="R273" s="2">
        <f t="shared" si="34"/>
        <v>0.24056099110546933</v>
      </c>
      <c r="S273" s="2">
        <f t="shared" si="35"/>
        <v>-5.6099110546378728E-4</v>
      </c>
    </row>
    <row r="274" spans="2:19" x14ac:dyDescent="0.25">
      <c r="B274" s="1">
        <f t="shared" si="36"/>
        <v>268</v>
      </c>
      <c r="C274" s="1">
        <v>447</v>
      </c>
      <c r="D274" s="13">
        <v>47.9</v>
      </c>
      <c r="E274" s="1" t="s">
        <v>11</v>
      </c>
      <c r="F274" s="2">
        <v>1.5449999999999999</v>
      </c>
      <c r="G274" s="1" t="s">
        <v>12</v>
      </c>
      <c r="H274" s="1" t="s">
        <v>13</v>
      </c>
      <c r="I274" s="1" t="s">
        <v>14</v>
      </c>
      <c r="J274" s="14">
        <v>0.5692476851851852</v>
      </c>
      <c r="K274" s="15">
        <v>45514</v>
      </c>
      <c r="M274" s="2">
        <v>1.4750000000000001</v>
      </c>
      <c r="O274" s="2">
        <f t="shared" si="31"/>
        <v>1.4100000000000001</v>
      </c>
      <c r="P274" s="2">
        <f t="shared" si="32"/>
        <v>48.126429479034307</v>
      </c>
      <c r="Q274" s="2">
        <f t="shared" si="33"/>
        <v>0.23899999999999488</v>
      </c>
      <c r="R274" s="2">
        <f t="shared" si="34"/>
        <v>0.24070330368487416</v>
      </c>
      <c r="S274" s="2">
        <f t="shared" si="35"/>
        <v>-1.7033036848792815E-3</v>
      </c>
    </row>
    <row r="275" spans="2:19" x14ac:dyDescent="0.25">
      <c r="B275" s="1">
        <f t="shared" si="36"/>
        <v>269</v>
      </c>
      <c r="C275" s="1">
        <v>448</v>
      </c>
      <c r="D275" s="13">
        <v>47.7</v>
      </c>
      <c r="E275" s="1" t="s">
        <v>11</v>
      </c>
      <c r="F275" s="2">
        <v>1.55</v>
      </c>
      <c r="G275" s="1" t="s">
        <v>12</v>
      </c>
      <c r="H275" s="1" t="s">
        <v>13</v>
      </c>
      <c r="I275" s="1" t="s">
        <v>14</v>
      </c>
      <c r="J275" s="14">
        <v>0.5692476851851852</v>
      </c>
      <c r="K275" s="15">
        <v>45514</v>
      </c>
      <c r="M275" s="2">
        <v>1.48</v>
      </c>
      <c r="O275" s="2">
        <f t="shared" si="31"/>
        <v>1.415</v>
      </c>
      <c r="P275" s="2">
        <f t="shared" si="32"/>
        <v>48.154891994917406</v>
      </c>
      <c r="Q275" s="2">
        <f t="shared" si="33"/>
        <v>0.23825000000000554</v>
      </c>
      <c r="R275" s="2">
        <f t="shared" si="34"/>
        <v>0.24084561626430037</v>
      </c>
      <c r="S275" s="2">
        <f t="shared" si="35"/>
        <v>-2.5956162642948311E-3</v>
      </c>
    </row>
    <row r="276" spans="2:19" x14ac:dyDescent="0.25">
      <c r="B276" s="1">
        <f t="shared" si="36"/>
        <v>270</v>
      </c>
      <c r="C276" s="1">
        <v>449</v>
      </c>
      <c r="D276" s="13">
        <v>47.6</v>
      </c>
      <c r="E276" s="1" t="s">
        <v>11</v>
      </c>
      <c r="F276" s="2">
        <v>1.5549999999999999</v>
      </c>
      <c r="G276" s="1" t="s">
        <v>12</v>
      </c>
      <c r="H276" s="1" t="s">
        <v>13</v>
      </c>
      <c r="I276" s="1" t="s">
        <v>14</v>
      </c>
      <c r="J276" s="14">
        <v>0.5692476851851852</v>
      </c>
      <c r="K276" s="15">
        <v>45514</v>
      </c>
      <c r="M276" s="2">
        <v>1.4850000000000001</v>
      </c>
      <c r="O276" s="2">
        <f t="shared" si="31"/>
        <v>1.4200000000000002</v>
      </c>
      <c r="P276" s="2">
        <f t="shared" si="32"/>
        <v>48.183354510800513</v>
      </c>
      <c r="Q276" s="2">
        <f t="shared" si="33"/>
        <v>0.23774999999999491</v>
      </c>
      <c r="R276" s="2">
        <f t="shared" si="34"/>
        <v>0.24098792884370515</v>
      </c>
      <c r="S276" s="2">
        <f t="shared" si="35"/>
        <v>-3.2379288437102416E-3</v>
      </c>
    </row>
    <row r="277" spans="2:19" x14ac:dyDescent="0.25">
      <c r="B277" s="1">
        <f t="shared" si="36"/>
        <v>271</v>
      </c>
      <c r="C277" s="1">
        <v>450</v>
      </c>
      <c r="D277" s="13">
        <v>47.5</v>
      </c>
      <c r="E277" s="1" t="s">
        <v>11</v>
      </c>
      <c r="F277" s="2">
        <v>1.56</v>
      </c>
      <c r="G277" s="1" t="s">
        <v>12</v>
      </c>
      <c r="H277" s="1" t="s">
        <v>13</v>
      </c>
      <c r="I277" s="1" t="s">
        <v>14</v>
      </c>
      <c r="J277" s="14">
        <v>0.5692476851851852</v>
      </c>
      <c r="K277" s="15">
        <v>45514</v>
      </c>
      <c r="M277" s="2">
        <v>1.49</v>
      </c>
      <c r="O277" s="2">
        <f t="shared" si="31"/>
        <v>1.425</v>
      </c>
      <c r="P277" s="2">
        <f t="shared" si="32"/>
        <v>48.211817026683612</v>
      </c>
      <c r="Q277" s="2">
        <f t="shared" si="33"/>
        <v>0.47350000000000042</v>
      </c>
      <c r="R277" s="2">
        <f t="shared" si="34"/>
        <v>0.48240279542566755</v>
      </c>
      <c r="S277" s="2">
        <f t="shared" si="35"/>
        <v>-8.9027954256671316E-3</v>
      </c>
    </row>
    <row r="278" spans="2:19" x14ac:dyDescent="0.25">
      <c r="B278" s="1">
        <f t="shared" si="36"/>
        <v>272</v>
      </c>
      <c r="C278" s="1">
        <v>451</v>
      </c>
      <c r="D278" s="13">
        <v>47.2</v>
      </c>
      <c r="E278" s="1" t="s">
        <v>11</v>
      </c>
      <c r="F278" s="2">
        <v>1.57</v>
      </c>
      <c r="G278" s="1" t="s">
        <v>12</v>
      </c>
      <c r="H278" s="1" t="s">
        <v>13</v>
      </c>
      <c r="I278" s="1" t="s">
        <v>14</v>
      </c>
      <c r="J278" s="14">
        <v>0.5692476851851852</v>
      </c>
      <c r="K278" s="15">
        <v>45514</v>
      </c>
      <c r="M278" s="2">
        <v>1.5</v>
      </c>
      <c r="O278" s="2">
        <f t="shared" si="31"/>
        <v>1.4350000000000001</v>
      </c>
      <c r="P278" s="2">
        <f t="shared" si="32"/>
        <v>48.26874205844981</v>
      </c>
      <c r="Q278" s="2">
        <f t="shared" si="33"/>
        <v>0.23499999999999499</v>
      </c>
      <c r="R278" s="2">
        <f t="shared" si="34"/>
        <v>0.24141486658195166</v>
      </c>
      <c r="S278" s="2">
        <f t="shared" si="35"/>
        <v>-6.4148665819566686E-3</v>
      </c>
    </row>
    <row r="279" spans="2:19" x14ac:dyDescent="0.25">
      <c r="B279" s="1">
        <f t="shared" si="36"/>
        <v>273</v>
      </c>
      <c r="C279" s="1">
        <v>452</v>
      </c>
      <c r="D279" s="13">
        <v>46.8</v>
      </c>
      <c r="E279" s="1" t="s">
        <v>11</v>
      </c>
      <c r="F279" s="2">
        <v>1.575</v>
      </c>
      <c r="G279" s="1" t="s">
        <v>12</v>
      </c>
      <c r="H279" s="1" t="s">
        <v>13</v>
      </c>
      <c r="I279" s="1" t="s">
        <v>14</v>
      </c>
      <c r="J279" s="14">
        <v>0.5692476851851852</v>
      </c>
      <c r="K279" s="15">
        <v>45514</v>
      </c>
      <c r="M279" s="2">
        <v>1.5049999999999999</v>
      </c>
      <c r="O279" s="2">
        <f t="shared" si="31"/>
        <v>1.44</v>
      </c>
      <c r="P279" s="2">
        <f t="shared" si="32"/>
        <v>48.297204574332909</v>
      </c>
      <c r="Q279" s="2">
        <f t="shared" si="33"/>
        <v>0.46800000000000036</v>
      </c>
      <c r="R279" s="2">
        <f t="shared" si="34"/>
        <v>0.48325667090216051</v>
      </c>
      <c r="S279" s="2">
        <f t="shared" si="35"/>
        <v>-1.5256670902160152E-2</v>
      </c>
    </row>
    <row r="280" spans="2:19" x14ac:dyDescent="0.25">
      <c r="B280" s="1">
        <f t="shared" si="36"/>
        <v>274</v>
      </c>
      <c r="C280" s="1">
        <v>454</v>
      </c>
      <c r="D280" s="13">
        <v>46.8</v>
      </c>
      <c r="E280" s="1" t="s">
        <v>11</v>
      </c>
      <c r="F280" s="2">
        <v>1.585</v>
      </c>
      <c r="G280" s="1" t="s">
        <v>12</v>
      </c>
      <c r="H280" s="1" t="s">
        <v>13</v>
      </c>
      <c r="I280" s="1" t="s">
        <v>14</v>
      </c>
      <c r="J280" s="14">
        <v>0.5692476851851852</v>
      </c>
      <c r="K280" s="15">
        <v>45514</v>
      </c>
      <c r="M280" s="2">
        <v>1.5149999999999999</v>
      </c>
      <c r="O280" s="2">
        <f t="shared" si="31"/>
        <v>1.45</v>
      </c>
      <c r="P280" s="2">
        <f t="shared" si="32"/>
        <v>48.354129606099107</v>
      </c>
      <c r="Q280" s="2">
        <f t="shared" si="33"/>
        <v>0.46650000000000041</v>
      </c>
      <c r="R280" s="2">
        <f t="shared" si="34"/>
        <v>0.48382592121982254</v>
      </c>
      <c r="S280" s="2">
        <f t="shared" si="35"/>
        <v>-1.7325921219822127E-2</v>
      </c>
    </row>
    <row r="281" spans="2:19" x14ac:dyDescent="0.25">
      <c r="B281" s="1">
        <f t="shared" si="36"/>
        <v>275</v>
      </c>
      <c r="C281" s="1">
        <v>455</v>
      </c>
      <c r="D281" s="13">
        <v>46.5</v>
      </c>
      <c r="E281" s="1" t="s">
        <v>11</v>
      </c>
      <c r="F281" s="2">
        <v>1.595</v>
      </c>
      <c r="G281" s="1" t="s">
        <v>12</v>
      </c>
      <c r="H281" s="1" t="s">
        <v>13</v>
      </c>
      <c r="I281" s="1" t="s">
        <v>14</v>
      </c>
      <c r="J281" s="14">
        <v>0.5692476851851852</v>
      </c>
      <c r="K281" s="15">
        <v>45514</v>
      </c>
      <c r="M281" s="2">
        <v>1.5249999999999999</v>
      </c>
      <c r="O281" s="2">
        <f t="shared" si="31"/>
        <v>1.46</v>
      </c>
      <c r="P281" s="2">
        <f t="shared" si="32"/>
        <v>48.411054637865313</v>
      </c>
      <c r="Q281" s="2">
        <f t="shared" si="33"/>
        <v>0.23225000000000537</v>
      </c>
      <c r="R281" s="2">
        <f t="shared" si="34"/>
        <v>0.24212642947903992</v>
      </c>
      <c r="S281" s="2">
        <f t="shared" si="35"/>
        <v>-9.8764294790345541E-3</v>
      </c>
    </row>
    <row r="282" spans="2:19" x14ac:dyDescent="0.25">
      <c r="B282" s="1">
        <f t="shared" si="36"/>
        <v>276</v>
      </c>
      <c r="C282" s="1">
        <v>456</v>
      </c>
      <c r="D282" s="13">
        <v>46.4</v>
      </c>
      <c r="E282" s="1" t="s">
        <v>11</v>
      </c>
      <c r="F282" s="2">
        <v>1.6</v>
      </c>
      <c r="G282" s="1" t="s">
        <v>12</v>
      </c>
      <c r="H282" s="1" t="s">
        <v>13</v>
      </c>
      <c r="I282" s="1" t="s">
        <v>14</v>
      </c>
      <c r="J282" s="14">
        <v>0.56925925925925924</v>
      </c>
      <c r="K282" s="15">
        <v>45514</v>
      </c>
      <c r="M282" s="2">
        <v>1.53</v>
      </c>
      <c r="O282" s="2">
        <f t="shared" si="31"/>
        <v>1.4650000000000001</v>
      </c>
      <c r="P282" s="2">
        <f t="shared" si="32"/>
        <v>48.439517153748412</v>
      </c>
      <c r="Q282" s="2">
        <f t="shared" si="33"/>
        <v>0.23174999999999504</v>
      </c>
      <c r="R282" s="2">
        <f t="shared" si="34"/>
        <v>0.24226874205844462</v>
      </c>
      <c r="S282" s="2">
        <f t="shared" si="35"/>
        <v>-1.0518742058449576E-2</v>
      </c>
    </row>
    <row r="283" spans="2:19" x14ac:dyDescent="0.25">
      <c r="B283" s="1">
        <f t="shared" si="36"/>
        <v>277</v>
      </c>
      <c r="C283" s="1">
        <v>457</v>
      </c>
      <c r="D283" s="13">
        <v>46.3</v>
      </c>
      <c r="E283" s="1" t="s">
        <v>11</v>
      </c>
      <c r="F283" s="2">
        <v>1.605</v>
      </c>
      <c r="G283" s="1" t="s">
        <v>12</v>
      </c>
      <c r="H283" s="1" t="s">
        <v>13</v>
      </c>
      <c r="I283" s="1" t="s">
        <v>14</v>
      </c>
      <c r="J283" s="14">
        <v>0.56925925925925924</v>
      </c>
      <c r="K283" s="15">
        <v>45514</v>
      </c>
      <c r="M283" s="2">
        <v>1.5349999999999999</v>
      </c>
      <c r="O283" s="2">
        <f t="shared" si="31"/>
        <v>1.47</v>
      </c>
      <c r="P283" s="2">
        <f t="shared" si="32"/>
        <v>48.467979669631511</v>
      </c>
      <c r="Q283" s="2">
        <f t="shared" si="33"/>
        <v>0.23125000000000534</v>
      </c>
      <c r="R283" s="2">
        <f t="shared" si="34"/>
        <v>0.24241105463787091</v>
      </c>
      <c r="S283" s="2">
        <f t="shared" si="35"/>
        <v>-1.116105463786557E-2</v>
      </c>
    </row>
    <row r="284" spans="2:19" x14ac:dyDescent="0.25">
      <c r="B284" s="1">
        <f t="shared" si="36"/>
        <v>278</v>
      </c>
      <c r="C284" s="1">
        <v>459</v>
      </c>
      <c r="D284" s="13">
        <v>46.2</v>
      </c>
      <c r="E284" s="1" t="s">
        <v>11</v>
      </c>
      <c r="F284" s="2">
        <v>1.61</v>
      </c>
      <c r="G284" s="1" t="s">
        <v>12</v>
      </c>
      <c r="H284" s="1" t="s">
        <v>13</v>
      </c>
      <c r="I284" s="1" t="s">
        <v>14</v>
      </c>
      <c r="J284" s="14">
        <v>0.56925925925925924</v>
      </c>
      <c r="K284" s="15">
        <v>45514</v>
      </c>
      <c r="M284" s="2">
        <v>1.54</v>
      </c>
      <c r="O284" s="2">
        <f t="shared" si="31"/>
        <v>1.4750000000000001</v>
      </c>
      <c r="P284" s="2">
        <f t="shared" si="32"/>
        <v>48.49644218551461</v>
      </c>
      <c r="Q284" s="2">
        <f t="shared" si="33"/>
        <v>0.23024999999999507</v>
      </c>
      <c r="R284" s="2">
        <f t="shared" si="34"/>
        <v>0.24255336721727563</v>
      </c>
      <c r="S284" s="2">
        <f t="shared" si="35"/>
        <v>-1.2303367217280564E-2</v>
      </c>
    </row>
    <row r="285" spans="2:19" x14ac:dyDescent="0.25">
      <c r="B285" s="1">
        <f t="shared" si="36"/>
        <v>279</v>
      </c>
      <c r="C285" s="1">
        <v>461</v>
      </c>
      <c r="D285" s="13">
        <v>45.9</v>
      </c>
      <c r="E285" s="1" t="s">
        <v>11</v>
      </c>
      <c r="F285" s="2">
        <v>1.615</v>
      </c>
      <c r="G285" s="1" t="s">
        <v>12</v>
      </c>
      <c r="H285" s="1" t="s">
        <v>13</v>
      </c>
      <c r="I285" s="1" t="s">
        <v>14</v>
      </c>
      <c r="J285" s="14">
        <v>0.56925925925925924</v>
      </c>
      <c r="K285" s="15">
        <v>45514</v>
      </c>
      <c r="M285" s="2">
        <v>1.5449999999999999</v>
      </c>
      <c r="O285" s="2">
        <f t="shared" si="31"/>
        <v>1.48</v>
      </c>
      <c r="P285" s="2">
        <f t="shared" si="32"/>
        <v>48.524904701397716</v>
      </c>
      <c r="Q285" s="2">
        <f t="shared" si="33"/>
        <v>0.22925000000000526</v>
      </c>
      <c r="R285" s="2">
        <f t="shared" si="34"/>
        <v>0.24269567979670192</v>
      </c>
      <c r="S285" s="2">
        <f t="shared" si="35"/>
        <v>-1.3445679796696669E-2</v>
      </c>
    </row>
    <row r="286" spans="2:19" x14ac:dyDescent="0.25">
      <c r="B286" s="1">
        <f t="shared" si="36"/>
        <v>280</v>
      </c>
      <c r="C286" s="1">
        <v>464</v>
      </c>
      <c r="D286" s="13">
        <v>45.8</v>
      </c>
      <c r="E286" s="1" t="s">
        <v>11</v>
      </c>
      <c r="F286" s="2">
        <v>1.62</v>
      </c>
      <c r="G286" s="1" t="s">
        <v>12</v>
      </c>
      <c r="H286" s="1" t="s">
        <v>13</v>
      </c>
      <c r="I286" s="1" t="s">
        <v>14</v>
      </c>
      <c r="J286" s="14">
        <v>0.56925925925925924</v>
      </c>
      <c r="K286" s="15">
        <v>45514</v>
      </c>
      <c r="M286" s="2">
        <v>1.55</v>
      </c>
      <c r="O286" s="2">
        <f t="shared" si="31"/>
        <v>1.4850000000000001</v>
      </c>
      <c r="P286" s="2">
        <f t="shared" si="32"/>
        <v>48.553367217280815</v>
      </c>
      <c r="Q286" s="2">
        <f t="shared" si="33"/>
        <v>0.2292499999999951</v>
      </c>
      <c r="R286" s="2">
        <f t="shared" si="34"/>
        <v>0.24283799237610668</v>
      </c>
      <c r="S286" s="2">
        <f t="shared" si="35"/>
        <v>-1.358799237611158E-2</v>
      </c>
    </row>
    <row r="287" spans="2:19" x14ac:dyDescent="0.25">
      <c r="B287" s="1">
        <f t="shared" si="36"/>
        <v>281</v>
      </c>
      <c r="C287" s="1">
        <v>466</v>
      </c>
      <c r="D287" s="13">
        <v>45.9</v>
      </c>
      <c r="E287" s="1" t="s">
        <v>11</v>
      </c>
      <c r="F287" s="2">
        <v>1.625</v>
      </c>
      <c r="G287" s="1" t="s">
        <v>12</v>
      </c>
      <c r="H287" s="1" t="s">
        <v>13</v>
      </c>
      <c r="I287" s="1" t="s">
        <v>14</v>
      </c>
      <c r="J287" s="14">
        <v>0.56927083333333328</v>
      </c>
      <c r="K287" s="15">
        <v>45514</v>
      </c>
      <c r="M287" s="2">
        <v>1.5549999999999999</v>
      </c>
      <c r="O287" s="2">
        <f t="shared" si="31"/>
        <v>1.49</v>
      </c>
      <c r="P287" s="2">
        <f t="shared" si="32"/>
        <v>48.581829733163914</v>
      </c>
      <c r="Q287" s="2">
        <f t="shared" si="33"/>
        <v>0.22850000000000528</v>
      </c>
      <c r="R287" s="2">
        <f t="shared" si="34"/>
        <v>0.24298030495553291</v>
      </c>
      <c r="S287" s="2">
        <f t="shared" si="35"/>
        <v>-1.4480304955527629E-2</v>
      </c>
    </row>
    <row r="288" spans="2:19" x14ac:dyDescent="0.25">
      <c r="B288" s="1">
        <f t="shared" si="36"/>
        <v>282</v>
      </c>
      <c r="C288" s="1">
        <v>468</v>
      </c>
      <c r="D288" s="13">
        <v>45.5</v>
      </c>
      <c r="E288" s="1" t="s">
        <v>11</v>
      </c>
      <c r="F288" s="2">
        <v>1.63</v>
      </c>
      <c r="G288" s="1" t="s">
        <v>12</v>
      </c>
      <c r="H288" s="1" t="s">
        <v>13</v>
      </c>
      <c r="I288" s="1" t="s">
        <v>14</v>
      </c>
      <c r="J288" s="14">
        <v>0.56927083333333328</v>
      </c>
      <c r="K288" s="15">
        <v>45514</v>
      </c>
      <c r="M288" s="2">
        <v>1.56</v>
      </c>
      <c r="O288" s="2">
        <f t="shared" si="31"/>
        <v>1.4950000000000001</v>
      </c>
      <c r="P288" s="2">
        <f t="shared" si="32"/>
        <v>48.610292249047014</v>
      </c>
      <c r="Q288" s="2">
        <f t="shared" si="33"/>
        <v>0.22724999999999518</v>
      </c>
      <c r="R288" s="2">
        <f t="shared" si="34"/>
        <v>0.24312261753493766</v>
      </c>
      <c r="S288" s="2">
        <f t="shared" si="35"/>
        <v>-1.5872617534942485E-2</v>
      </c>
    </row>
    <row r="289" spans="2:19" x14ac:dyDescent="0.25">
      <c r="B289" s="1">
        <f t="shared" si="36"/>
        <v>283</v>
      </c>
      <c r="C289" s="1">
        <v>471</v>
      </c>
      <c r="D289" s="13">
        <v>45.4</v>
      </c>
      <c r="E289" s="1" t="s">
        <v>11</v>
      </c>
      <c r="F289" s="2">
        <v>1.635</v>
      </c>
      <c r="G289" s="1" t="s">
        <v>12</v>
      </c>
      <c r="H289" s="1" t="s">
        <v>13</v>
      </c>
      <c r="I289" s="1" t="s">
        <v>14</v>
      </c>
      <c r="J289" s="14">
        <v>0.56927083333333328</v>
      </c>
      <c r="K289" s="15">
        <v>45514</v>
      </c>
      <c r="M289" s="2">
        <v>1.5649999999999999</v>
      </c>
      <c r="O289" s="2">
        <f t="shared" si="31"/>
        <v>1.5</v>
      </c>
      <c r="P289" s="2">
        <f t="shared" si="32"/>
        <v>48.638754764930113</v>
      </c>
      <c r="Q289" s="2">
        <f t="shared" si="33"/>
        <v>0.22650000000000522</v>
      </c>
      <c r="R289" s="2">
        <f t="shared" si="34"/>
        <v>0.24326493011436395</v>
      </c>
      <c r="S289" s="2">
        <f t="shared" si="35"/>
        <v>-1.6764930114358728E-2</v>
      </c>
    </row>
    <row r="290" spans="2:19" x14ac:dyDescent="0.25">
      <c r="B290" s="1">
        <f t="shared" si="36"/>
        <v>284</v>
      </c>
      <c r="C290" s="1">
        <v>474</v>
      </c>
      <c r="D290" s="13">
        <v>45.2</v>
      </c>
      <c r="E290" s="1" t="s">
        <v>11</v>
      </c>
      <c r="F290" s="2">
        <v>1.64</v>
      </c>
      <c r="G290" s="1" t="s">
        <v>12</v>
      </c>
      <c r="H290" s="1" t="s">
        <v>13</v>
      </c>
      <c r="I290" s="1" t="s">
        <v>14</v>
      </c>
      <c r="J290" s="14">
        <v>0.56927083333333328</v>
      </c>
      <c r="K290" s="15">
        <v>45514</v>
      </c>
      <c r="M290" s="2">
        <v>1.57</v>
      </c>
      <c r="O290" s="2">
        <f t="shared" si="31"/>
        <v>1.5050000000000001</v>
      </c>
      <c r="P290" s="2">
        <f t="shared" si="32"/>
        <v>48.667217280813219</v>
      </c>
      <c r="Q290" s="2">
        <f t="shared" si="33"/>
        <v>0.2257499999999952</v>
      </c>
      <c r="R290" s="2">
        <f t="shared" si="34"/>
        <v>0.24340724269376865</v>
      </c>
      <c r="S290" s="2">
        <f t="shared" si="35"/>
        <v>-1.7657242693773445E-2</v>
      </c>
    </row>
    <row r="291" spans="2:19" x14ac:dyDescent="0.25">
      <c r="B291" s="1">
        <f t="shared" si="36"/>
        <v>285</v>
      </c>
      <c r="C291" s="1">
        <v>476</v>
      </c>
      <c r="D291" s="13">
        <v>45.1</v>
      </c>
      <c r="E291" s="1" t="s">
        <v>11</v>
      </c>
      <c r="F291" s="2">
        <v>1.645</v>
      </c>
      <c r="G291" s="1" t="s">
        <v>12</v>
      </c>
      <c r="H291" s="1" t="s">
        <v>13</v>
      </c>
      <c r="I291" s="1" t="s">
        <v>14</v>
      </c>
      <c r="J291" s="14">
        <v>0.56928240740740743</v>
      </c>
      <c r="K291" s="15">
        <v>45514</v>
      </c>
      <c r="M291" s="2">
        <v>1.575</v>
      </c>
      <c r="O291" s="2">
        <f t="shared" si="31"/>
        <v>1.51</v>
      </c>
      <c r="P291" s="2">
        <f t="shared" si="32"/>
        <v>48.695679796696318</v>
      </c>
      <c r="Q291" s="2">
        <f t="shared" si="33"/>
        <v>0.22600000000000522</v>
      </c>
      <c r="R291" s="2">
        <f t="shared" si="34"/>
        <v>0.24354955527319497</v>
      </c>
      <c r="S291" s="2">
        <f t="shared" si="35"/>
        <v>-1.7549555273189743E-2</v>
      </c>
    </row>
    <row r="292" spans="2:19" x14ac:dyDescent="0.25">
      <c r="B292" s="1">
        <f t="shared" si="36"/>
        <v>286</v>
      </c>
      <c r="C292" s="1">
        <v>478</v>
      </c>
      <c r="D292" s="13">
        <v>45.3</v>
      </c>
      <c r="E292" s="1" t="s">
        <v>11</v>
      </c>
      <c r="F292" s="2">
        <v>1.65</v>
      </c>
      <c r="G292" s="1" t="s">
        <v>12</v>
      </c>
      <c r="H292" s="1" t="s">
        <v>13</v>
      </c>
      <c r="I292" s="1" t="s">
        <v>14</v>
      </c>
      <c r="J292" s="14">
        <v>0.56928240740740743</v>
      </c>
      <c r="K292" s="15">
        <v>45514</v>
      </c>
      <c r="M292" s="2">
        <v>1.58</v>
      </c>
      <c r="O292" s="2">
        <f t="shared" si="31"/>
        <v>1.5150000000000001</v>
      </c>
      <c r="P292" s="2">
        <f t="shared" si="32"/>
        <v>48.724142312579417</v>
      </c>
      <c r="Q292" s="2">
        <f t="shared" si="33"/>
        <v>0.2259999999999952</v>
      </c>
      <c r="R292" s="2">
        <f t="shared" si="34"/>
        <v>0.24369186785259961</v>
      </c>
      <c r="S292" s="2">
        <f t="shared" si="35"/>
        <v>-1.7691867852604404E-2</v>
      </c>
    </row>
    <row r="293" spans="2:19" x14ac:dyDescent="0.25">
      <c r="B293" s="1">
        <f t="shared" si="36"/>
        <v>287</v>
      </c>
      <c r="C293" s="1">
        <v>479</v>
      </c>
      <c r="D293" s="13">
        <v>45.1</v>
      </c>
      <c r="E293" s="1" t="s">
        <v>11</v>
      </c>
      <c r="F293" s="2">
        <v>1.655</v>
      </c>
      <c r="G293" s="1" t="s">
        <v>12</v>
      </c>
      <c r="H293" s="1" t="s">
        <v>13</v>
      </c>
      <c r="I293" s="1" t="s">
        <v>14</v>
      </c>
      <c r="J293" s="14">
        <v>0.56928240740740743</v>
      </c>
      <c r="K293" s="15">
        <v>45514</v>
      </c>
      <c r="M293" s="2">
        <v>1.585</v>
      </c>
      <c r="O293" s="2">
        <f t="shared" si="31"/>
        <v>1.52</v>
      </c>
      <c r="P293" s="2">
        <f t="shared" si="32"/>
        <v>48.752604828462516</v>
      </c>
      <c r="Q293" s="2">
        <f t="shared" si="33"/>
        <v>0.4510000000000004</v>
      </c>
      <c r="R293" s="2">
        <f t="shared" si="34"/>
        <v>0.48781067344345658</v>
      </c>
      <c r="S293" s="2">
        <f t="shared" si="35"/>
        <v>-3.6810673443456177E-2</v>
      </c>
    </row>
    <row r="294" spans="2:19" x14ac:dyDescent="0.25">
      <c r="B294" s="1">
        <f t="shared" si="36"/>
        <v>288</v>
      </c>
      <c r="C294" s="1">
        <v>481</v>
      </c>
      <c r="D294" s="13">
        <v>45.1</v>
      </c>
      <c r="E294" s="1" t="s">
        <v>11</v>
      </c>
      <c r="F294" s="2">
        <v>1.665</v>
      </c>
      <c r="G294" s="1" t="s">
        <v>12</v>
      </c>
      <c r="H294" s="1" t="s">
        <v>13</v>
      </c>
      <c r="I294" s="1" t="s">
        <v>14</v>
      </c>
      <c r="J294" s="14">
        <v>0.56928240740740743</v>
      </c>
      <c r="K294" s="15">
        <v>45514</v>
      </c>
      <c r="M294" s="2">
        <v>1.595</v>
      </c>
      <c r="O294" s="2">
        <f t="shared" si="31"/>
        <v>1.53</v>
      </c>
      <c r="P294" s="2">
        <f t="shared" si="32"/>
        <v>48.809529860228722</v>
      </c>
      <c r="Q294" s="2">
        <f t="shared" si="33"/>
        <v>0.2252500000000052</v>
      </c>
      <c r="R294" s="2">
        <f t="shared" si="34"/>
        <v>0.24411880559085697</v>
      </c>
      <c r="S294" s="2">
        <f t="shared" si="35"/>
        <v>-1.8868805590851773E-2</v>
      </c>
    </row>
    <row r="295" spans="2:19" x14ac:dyDescent="0.25">
      <c r="B295" s="1">
        <f t="shared" si="36"/>
        <v>289</v>
      </c>
      <c r="C295" s="1">
        <v>482</v>
      </c>
      <c r="D295" s="13">
        <v>45</v>
      </c>
      <c r="E295" s="1" t="s">
        <v>11</v>
      </c>
      <c r="F295" s="2">
        <v>1.67</v>
      </c>
      <c r="G295" s="1" t="s">
        <v>12</v>
      </c>
      <c r="H295" s="1" t="s">
        <v>13</v>
      </c>
      <c r="I295" s="1" t="s">
        <v>14</v>
      </c>
      <c r="J295" s="14">
        <v>0.56928240740740743</v>
      </c>
      <c r="K295" s="15">
        <v>45514</v>
      </c>
      <c r="M295" s="2">
        <v>1.6</v>
      </c>
      <c r="O295" s="2">
        <f t="shared" si="31"/>
        <v>1.5350000000000001</v>
      </c>
      <c r="P295" s="2">
        <f t="shared" si="32"/>
        <v>48.837992376111821</v>
      </c>
      <c r="Q295" s="2">
        <f t="shared" si="33"/>
        <v>0.44800000000000034</v>
      </c>
      <c r="R295" s="2">
        <f t="shared" si="34"/>
        <v>0.48866454891994965</v>
      </c>
      <c r="S295" s="2">
        <f t="shared" si="35"/>
        <v>-4.0664548919949306E-2</v>
      </c>
    </row>
    <row r="296" spans="2:19" x14ac:dyDescent="0.25">
      <c r="B296" s="1">
        <f t="shared" si="36"/>
        <v>290</v>
      </c>
      <c r="C296" s="1">
        <v>483</v>
      </c>
      <c r="D296" s="13">
        <v>44.6</v>
      </c>
      <c r="E296" s="1" t="s">
        <v>11</v>
      </c>
      <c r="F296" s="2">
        <v>1.68</v>
      </c>
      <c r="G296" s="1" t="s">
        <v>12</v>
      </c>
      <c r="H296" s="1" t="s">
        <v>13</v>
      </c>
      <c r="I296" s="1" t="s">
        <v>14</v>
      </c>
      <c r="J296" s="14">
        <v>0.56928240740740743</v>
      </c>
      <c r="K296" s="15">
        <v>45514</v>
      </c>
      <c r="M296" s="2">
        <v>1.61</v>
      </c>
      <c r="O296" s="2">
        <f t="shared" si="31"/>
        <v>1.5450000000000002</v>
      </c>
      <c r="P296" s="2">
        <f t="shared" si="32"/>
        <v>48.894917407878019</v>
      </c>
      <c r="Q296" s="2">
        <f t="shared" si="33"/>
        <v>0.22299999999999526</v>
      </c>
      <c r="R296" s="2">
        <f t="shared" si="34"/>
        <v>0.24454574332909265</v>
      </c>
      <c r="S296" s="2">
        <f t="shared" si="35"/>
        <v>-2.1545743329097394E-2</v>
      </c>
    </row>
    <row r="297" spans="2:19" x14ac:dyDescent="0.25">
      <c r="B297" s="1">
        <f t="shared" si="36"/>
        <v>291</v>
      </c>
      <c r="C297" s="1">
        <v>484</v>
      </c>
      <c r="D297" s="13">
        <v>44.6</v>
      </c>
      <c r="E297" s="1" t="s">
        <v>11</v>
      </c>
      <c r="F297" s="2">
        <v>1.6850000000000001</v>
      </c>
      <c r="G297" s="1" t="s">
        <v>12</v>
      </c>
      <c r="H297" s="1" t="s">
        <v>13</v>
      </c>
      <c r="I297" s="1" t="s">
        <v>14</v>
      </c>
      <c r="J297" s="14">
        <v>0.56928240740740743</v>
      </c>
      <c r="K297" s="15">
        <v>45514</v>
      </c>
      <c r="M297" s="2">
        <v>1.615</v>
      </c>
      <c r="O297" s="2">
        <f t="shared" si="31"/>
        <v>1.55</v>
      </c>
      <c r="P297" s="2">
        <f t="shared" si="32"/>
        <v>48.923379923761118</v>
      </c>
      <c r="Q297" s="2">
        <f t="shared" si="33"/>
        <v>0.22250000000000514</v>
      </c>
      <c r="R297" s="2">
        <f t="shared" si="34"/>
        <v>0.244688055908519</v>
      </c>
      <c r="S297" s="2">
        <f t="shared" si="35"/>
        <v>-2.218805590851386E-2</v>
      </c>
    </row>
    <row r="298" spans="2:19" x14ac:dyDescent="0.25">
      <c r="B298" s="1">
        <f t="shared" si="36"/>
        <v>292</v>
      </c>
      <c r="C298" s="1">
        <v>485</v>
      </c>
      <c r="D298" s="13">
        <v>44.4</v>
      </c>
      <c r="E298" s="1" t="s">
        <v>11</v>
      </c>
      <c r="F298" s="2">
        <v>1.69</v>
      </c>
      <c r="G298" s="1" t="s">
        <v>12</v>
      </c>
      <c r="H298" s="1" t="s">
        <v>13</v>
      </c>
      <c r="I298" s="1" t="s">
        <v>14</v>
      </c>
      <c r="J298" s="14">
        <v>0.56928240740740743</v>
      </c>
      <c r="K298" s="15">
        <v>45514</v>
      </c>
      <c r="M298" s="2">
        <v>1.62</v>
      </c>
      <c r="O298" s="2">
        <f t="shared" si="31"/>
        <v>1.5550000000000002</v>
      </c>
      <c r="P298" s="2">
        <f t="shared" si="32"/>
        <v>48.951842439644224</v>
      </c>
      <c r="Q298" s="2">
        <f t="shared" si="33"/>
        <v>0.22149999999999526</v>
      </c>
      <c r="R298" s="2">
        <f t="shared" si="34"/>
        <v>0.24483036848792364</v>
      </c>
      <c r="S298" s="2">
        <f t="shared" si="35"/>
        <v>-2.3330368487928382E-2</v>
      </c>
    </row>
    <row r="299" spans="2:19" x14ac:dyDescent="0.25">
      <c r="B299" s="1">
        <f t="shared" si="36"/>
        <v>293</v>
      </c>
      <c r="C299" s="1">
        <v>487</v>
      </c>
      <c r="D299" s="13">
        <v>44.2</v>
      </c>
      <c r="E299" s="1" t="s">
        <v>11</v>
      </c>
      <c r="F299" s="2">
        <v>1.6950000000000001</v>
      </c>
      <c r="G299" s="1" t="s">
        <v>12</v>
      </c>
      <c r="H299" s="1" t="s">
        <v>13</v>
      </c>
      <c r="I299" s="1" t="s">
        <v>14</v>
      </c>
      <c r="J299" s="14">
        <v>0.56929398148148147</v>
      </c>
      <c r="K299" s="15">
        <v>45514</v>
      </c>
      <c r="M299" s="2">
        <v>1.625</v>
      </c>
      <c r="O299" s="2">
        <f t="shared" si="31"/>
        <v>1.56</v>
      </c>
      <c r="P299" s="2">
        <f t="shared" si="32"/>
        <v>48.980304955527316</v>
      </c>
      <c r="Q299" s="2">
        <f t="shared" si="33"/>
        <v>0.44100000000000039</v>
      </c>
      <c r="R299" s="2">
        <f t="shared" si="34"/>
        <v>0.49008767471410464</v>
      </c>
      <c r="S299" s="2">
        <f t="shared" si="35"/>
        <v>-4.9087674714104246E-2</v>
      </c>
    </row>
    <row r="300" spans="2:19" x14ac:dyDescent="0.25">
      <c r="B300" s="1">
        <f t="shared" si="36"/>
        <v>294</v>
      </c>
      <c r="C300" s="1">
        <v>489</v>
      </c>
      <c r="D300" s="13">
        <v>44</v>
      </c>
      <c r="E300" s="1" t="s">
        <v>11</v>
      </c>
      <c r="F300" s="2">
        <v>1.7050000000000001</v>
      </c>
      <c r="G300" s="1" t="s">
        <v>12</v>
      </c>
      <c r="H300" s="1" t="s">
        <v>13</v>
      </c>
      <c r="I300" s="1" t="s">
        <v>14</v>
      </c>
      <c r="J300" s="14">
        <v>0.56929398148148147</v>
      </c>
      <c r="K300" s="15">
        <v>45514</v>
      </c>
      <c r="M300" s="2">
        <v>1.635</v>
      </c>
      <c r="O300" s="2">
        <f t="shared" si="31"/>
        <v>1.57</v>
      </c>
      <c r="P300" s="2">
        <f t="shared" si="32"/>
        <v>49.037229987293522</v>
      </c>
      <c r="Q300" s="2">
        <f t="shared" si="33"/>
        <v>0.22074999999999528</v>
      </c>
      <c r="R300" s="2">
        <f t="shared" si="34"/>
        <v>0.24525730622617015</v>
      </c>
      <c r="S300" s="2">
        <f t="shared" si="35"/>
        <v>-2.4507306226174863E-2</v>
      </c>
    </row>
    <row r="301" spans="2:19" x14ac:dyDescent="0.25">
      <c r="B301" s="1">
        <f t="shared" si="36"/>
        <v>295</v>
      </c>
      <c r="C301" s="1">
        <v>490</v>
      </c>
      <c r="D301" s="13">
        <v>44.3</v>
      </c>
      <c r="E301" s="1" t="s">
        <v>11</v>
      </c>
      <c r="F301" s="2">
        <v>1.71</v>
      </c>
      <c r="G301" s="1" t="s">
        <v>12</v>
      </c>
      <c r="H301" s="1" t="s">
        <v>13</v>
      </c>
      <c r="I301" s="1" t="s">
        <v>14</v>
      </c>
      <c r="J301" s="14">
        <v>0.56929398148148147</v>
      </c>
      <c r="K301" s="15">
        <v>45514</v>
      </c>
      <c r="M301" s="2">
        <v>1.64</v>
      </c>
      <c r="O301" s="2">
        <f t="shared" si="31"/>
        <v>1.575</v>
      </c>
      <c r="P301" s="2">
        <f t="shared" si="32"/>
        <v>49.065692503176621</v>
      </c>
      <c r="Q301" s="2">
        <f t="shared" si="33"/>
        <v>0.44150000000000039</v>
      </c>
      <c r="R301" s="2">
        <f t="shared" si="34"/>
        <v>0.49094155019059765</v>
      </c>
      <c r="S301" s="2">
        <f t="shared" si="35"/>
        <v>-4.9441550190597261E-2</v>
      </c>
    </row>
    <row r="302" spans="2:19" x14ac:dyDescent="0.25">
      <c r="B302" s="1">
        <f t="shared" si="36"/>
        <v>296</v>
      </c>
      <c r="C302" s="1">
        <v>491</v>
      </c>
      <c r="D302" s="13">
        <v>44</v>
      </c>
      <c r="E302" s="1" t="s">
        <v>11</v>
      </c>
      <c r="F302" s="2">
        <v>1.72</v>
      </c>
      <c r="G302" s="1" t="s">
        <v>12</v>
      </c>
      <c r="H302" s="1" t="s">
        <v>13</v>
      </c>
      <c r="I302" s="1" t="s">
        <v>14</v>
      </c>
      <c r="J302" s="14">
        <v>0.56929398148148147</v>
      </c>
      <c r="K302" s="15">
        <v>45514</v>
      </c>
      <c r="M302" s="2">
        <v>1.65</v>
      </c>
      <c r="O302" s="2">
        <f t="shared" si="31"/>
        <v>1.585</v>
      </c>
      <c r="P302" s="2">
        <f t="shared" si="32"/>
        <v>49.122617534942819</v>
      </c>
      <c r="Q302" s="2">
        <f t="shared" si="33"/>
        <v>0.21925000000000508</v>
      </c>
      <c r="R302" s="2">
        <f t="shared" si="34"/>
        <v>0.24568424396442753</v>
      </c>
      <c r="S302" s="2">
        <f t="shared" si="35"/>
        <v>-2.6434243964422455E-2</v>
      </c>
    </row>
    <row r="303" spans="2:19" x14ac:dyDescent="0.25">
      <c r="B303" s="1">
        <f t="shared" si="36"/>
        <v>297</v>
      </c>
      <c r="C303" s="1">
        <v>492</v>
      </c>
      <c r="D303" s="13">
        <v>43.7</v>
      </c>
      <c r="E303" s="1" t="s">
        <v>11</v>
      </c>
      <c r="F303" s="2">
        <v>1.7250000000000001</v>
      </c>
      <c r="G303" s="1" t="s">
        <v>12</v>
      </c>
      <c r="H303" s="1" t="s">
        <v>13</v>
      </c>
      <c r="I303" s="1" t="s">
        <v>14</v>
      </c>
      <c r="J303" s="14">
        <v>0.56929398148148147</v>
      </c>
      <c r="K303" s="15">
        <v>45514</v>
      </c>
      <c r="M303" s="2">
        <v>1.655</v>
      </c>
      <c r="O303" s="2">
        <f t="shared" si="31"/>
        <v>1.59</v>
      </c>
      <c r="P303" s="2">
        <f t="shared" si="32"/>
        <v>49.151080050825925</v>
      </c>
      <c r="Q303" s="2">
        <f t="shared" si="33"/>
        <v>0.21874999999999534</v>
      </c>
      <c r="R303" s="2">
        <f t="shared" si="34"/>
        <v>0.24582655654383212</v>
      </c>
      <c r="S303" s="2">
        <f t="shared" si="35"/>
        <v>-2.7076556543836783E-2</v>
      </c>
    </row>
    <row r="304" spans="2:19" x14ac:dyDescent="0.25">
      <c r="B304" s="1">
        <f t="shared" si="36"/>
        <v>298</v>
      </c>
      <c r="C304" s="1">
        <v>494</v>
      </c>
      <c r="D304" s="13">
        <v>43.8</v>
      </c>
      <c r="E304" s="1" t="s">
        <v>11</v>
      </c>
      <c r="F304" s="2">
        <v>1.73</v>
      </c>
      <c r="G304" s="1" t="s">
        <v>12</v>
      </c>
      <c r="H304" s="1" t="s">
        <v>13</v>
      </c>
      <c r="I304" s="1" t="s">
        <v>14</v>
      </c>
      <c r="J304" s="14">
        <v>0.56929398148148147</v>
      </c>
      <c r="K304" s="15">
        <v>45514</v>
      </c>
      <c r="M304" s="2">
        <v>1.66</v>
      </c>
      <c r="O304" s="2">
        <f t="shared" si="31"/>
        <v>1.595</v>
      </c>
      <c r="P304" s="2">
        <f t="shared" si="32"/>
        <v>49.179542566709024</v>
      </c>
      <c r="Q304" s="2">
        <f t="shared" si="33"/>
        <v>0.21900000000000505</v>
      </c>
      <c r="R304" s="2">
        <f t="shared" si="34"/>
        <v>0.24596886912325858</v>
      </c>
      <c r="S304" s="2">
        <f t="shared" si="35"/>
        <v>-2.6968869123253525E-2</v>
      </c>
    </row>
    <row r="305" spans="2:19" x14ac:dyDescent="0.25">
      <c r="B305" s="1">
        <f t="shared" si="36"/>
        <v>299</v>
      </c>
      <c r="C305" s="1">
        <v>496</v>
      </c>
      <c r="D305" s="13">
        <v>43.8</v>
      </c>
      <c r="E305" s="1" t="s">
        <v>11</v>
      </c>
      <c r="F305" s="2">
        <v>1.7350000000000001</v>
      </c>
      <c r="G305" s="1" t="s">
        <v>12</v>
      </c>
      <c r="H305" s="1" t="s">
        <v>13</v>
      </c>
      <c r="I305" s="1" t="s">
        <v>14</v>
      </c>
      <c r="J305" s="14">
        <v>0.56930555555555551</v>
      </c>
      <c r="K305" s="15">
        <v>45514</v>
      </c>
      <c r="M305" s="2">
        <v>1.665</v>
      </c>
      <c r="O305" s="2">
        <f t="shared" si="31"/>
        <v>1.6</v>
      </c>
      <c r="P305" s="2">
        <f t="shared" si="32"/>
        <v>49.208005082592123</v>
      </c>
      <c r="Q305" s="2">
        <f t="shared" si="33"/>
        <v>0.21899999999999531</v>
      </c>
      <c r="R305" s="2">
        <f t="shared" si="34"/>
        <v>0.24611118170266311</v>
      </c>
      <c r="S305" s="2">
        <f t="shared" si="35"/>
        <v>-2.7111181702667797E-2</v>
      </c>
    </row>
    <row r="306" spans="2:19" x14ac:dyDescent="0.25">
      <c r="B306" s="1">
        <f t="shared" si="36"/>
        <v>300</v>
      </c>
      <c r="C306" s="1">
        <v>497</v>
      </c>
      <c r="D306" s="13">
        <v>43.8</v>
      </c>
      <c r="E306" s="1" t="s">
        <v>11</v>
      </c>
      <c r="F306" s="2">
        <v>1.74</v>
      </c>
      <c r="G306" s="1" t="s">
        <v>12</v>
      </c>
      <c r="H306" s="1" t="s">
        <v>13</v>
      </c>
      <c r="I306" s="1" t="s">
        <v>14</v>
      </c>
      <c r="J306" s="14">
        <v>0.56930555555555551</v>
      </c>
      <c r="K306" s="15">
        <v>45514</v>
      </c>
      <c r="M306" s="2">
        <v>1.67</v>
      </c>
      <c r="O306" s="2">
        <f t="shared" si="31"/>
        <v>1.605</v>
      </c>
      <c r="P306" s="2">
        <f t="shared" si="32"/>
        <v>49.236467598475222</v>
      </c>
      <c r="Q306" s="2">
        <f t="shared" si="33"/>
        <v>0.21875000000000505</v>
      </c>
      <c r="R306" s="2">
        <f t="shared" si="34"/>
        <v>0.24625349428208956</v>
      </c>
      <c r="S306" s="2">
        <f t="shared" si="35"/>
        <v>-2.7503494282084512E-2</v>
      </c>
    </row>
    <row r="307" spans="2:19" x14ac:dyDescent="0.25">
      <c r="B307" s="1">
        <f t="shared" si="36"/>
        <v>301</v>
      </c>
      <c r="C307" s="1">
        <v>498</v>
      </c>
      <c r="D307" s="13">
        <v>43.7</v>
      </c>
      <c r="E307" s="1" t="s">
        <v>11</v>
      </c>
      <c r="F307" s="2">
        <v>1.7450000000000001</v>
      </c>
      <c r="G307" s="1" t="s">
        <v>12</v>
      </c>
      <c r="H307" s="1" t="s">
        <v>13</v>
      </c>
      <c r="I307" s="1" t="s">
        <v>14</v>
      </c>
      <c r="J307" s="14">
        <v>0.56930555555555551</v>
      </c>
      <c r="K307" s="15">
        <v>45514</v>
      </c>
      <c r="M307" s="2">
        <v>1.675</v>
      </c>
      <c r="O307" s="2">
        <f t="shared" si="31"/>
        <v>1.61</v>
      </c>
      <c r="P307" s="2">
        <f t="shared" si="32"/>
        <v>49.264930114358322</v>
      </c>
      <c r="Q307" s="2">
        <f t="shared" si="33"/>
        <v>0.21749999999999536</v>
      </c>
      <c r="R307" s="2">
        <f t="shared" si="34"/>
        <v>0.24639580686149412</v>
      </c>
      <c r="S307" s="2">
        <f t="shared" si="35"/>
        <v>-2.8895806861498757E-2</v>
      </c>
    </row>
    <row r="308" spans="2:19" x14ac:dyDescent="0.25">
      <c r="B308" s="1">
        <f t="shared" si="36"/>
        <v>302</v>
      </c>
      <c r="C308" s="1">
        <v>499</v>
      </c>
      <c r="D308" s="13">
        <v>43.3</v>
      </c>
      <c r="E308" s="1" t="s">
        <v>11</v>
      </c>
      <c r="F308" s="2">
        <v>1.75</v>
      </c>
      <c r="G308" s="1" t="s">
        <v>12</v>
      </c>
      <c r="H308" s="1" t="s">
        <v>13</v>
      </c>
      <c r="I308" s="1" t="s">
        <v>14</v>
      </c>
      <c r="J308" s="14">
        <v>0.56930555555555551</v>
      </c>
      <c r="K308" s="15">
        <v>45514</v>
      </c>
      <c r="M308" s="2">
        <v>1.68</v>
      </c>
      <c r="O308" s="2">
        <f t="shared" si="31"/>
        <v>1.615</v>
      </c>
      <c r="P308" s="2">
        <f t="shared" si="32"/>
        <v>49.293392630241428</v>
      </c>
      <c r="Q308" s="2">
        <f t="shared" si="33"/>
        <v>0.21625000000000499</v>
      </c>
      <c r="R308" s="2">
        <f t="shared" si="34"/>
        <v>0.24653811944092055</v>
      </c>
      <c r="S308" s="2">
        <f t="shared" si="35"/>
        <v>-3.0288119440915556E-2</v>
      </c>
    </row>
    <row r="309" spans="2:19" x14ac:dyDescent="0.25">
      <c r="B309" s="1">
        <f t="shared" si="36"/>
        <v>303</v>
      </c>
      <c r="C309" s="1">
        <v>500</v>
      </c>
      <c r="D309" s="13">
        <v>43.2</v>
      </c>
      <c r="E309" s="1" t="s">
        <v>11</v>
      </c>
      <c r="F309" s="2">
        <v>1.7549999999999999</v>
      </c>
      <c r="G309" s="1" t="s">
        <v>12</v>
      </c>
      <c r="H309" s="1" t="s">
        <v>13</v>
      </c>
      <c r="I309" s="1" t="s">
        <v>14</v>
      </c>
      <c r="J309" s="14">
        <v>0.56930555555555551</v>
      </c>
      <c r="K309" s="15">
        <v>45514</v>
      </c>
      <c r="M309" s="2">
        <v>1.6850000000000001</v>
      </c>
      <c r="O309" s="2">
        <f t="shared" si="31"/>
        <v>1.62</v>
      </c>
      <c r="P309" s="2">
        <f t="shared" si="32"/>
        <v>49.321855146124527</v>
      </c>
      <c r="Q309" s="2">
        <f t="shared" si="33"/>
        <v>0.21574999999999542</v>
      </c>
      <c r="R309" s="2">
        <f t="shared" si="34"/>
        <v>0.24668043202032514</v>
      </c>
      <c r="S309" s="2">
        <f t="shared" si="35"/>
        <v>-3.0930432020329718E-2</v>
      </c>
    </row>
    <row r="310" spans="2:19" x14ac:dyDescent="0.25">
      <c r="B310" s="1">
        <f t="shared" si="36"/>
        <v>304</v>
      </c>
      <c r="C310" s="1">
        <v>501</v>
      </c>
      <c r="D310" s="13">
        <v>43.1</v>
      </c>
      <c r="E310" s="1" t="s">
        <v>11</v>
      </c>
      <c r="F310" s="2">
        <v>1.76</v>
      </c>
      <c r="G310" s="1" t="s">
        <v>12</v>
      </c>
      <c r="H310" s="1" t="s">
        <v>13</v>
      </c>
      <c r="I310" s="1" t="s">
        <v>14</v>
      </c>
      <c r="J310" s="14">
        <v>0.56930555555555551</v>
      </c>
      <c r="K310" s="15">
        <v>45514</v>
      </c>
      <c r="M310" s="2">
        <v>1.69</v>
      </c>
      <c r="O310" s="2">
        <f t="shared" si="31"/>
        <v>1.625</v>
      </c>
      <c r="P310" s="2">
        <f t="shared" si="32"/>
        <v>49.350317662007626</v>
      </c>
      <c r="Q310" s="2">
        <f t="shared" si="33"/>
        <v>0.21600000000000499</v>
      </c>
      <c r="R310" s="2">
        <f t="shared" si="34"/>
        <v>0.24682274459975156</v>
      </c>
      <c r="S310" s="2">
        <f t="shared" si="35"/>
        <v>-3.0822744599746571E-2</v>
      </c>
    </row>
    <row r="311" spans="2:19" x14ac:dyDescent="0.25">
      <c r="B311" s="1">
        <f t="shared" si="36"/>
        <v>305</v>
      </c>
      <c r="C311" s="1">
        <v>502</v>
      </c>
      <c r="D311" s="13">
        <v>43.3</v>
      </c>
      <c r="E311" s="1" t="s">
        <v>11</v>
      </c>
      <c r="F311" s="2">
        <v>1.7649999999999999</v>
      </c>
      <c r="G311" s="1" t="s">
        <v>12</v>
      </c>
      <c r="H311" s="1" t="s">
        <v>13</v>
      </c>
      <c r="I311" s="1" t="s">
        <v>14</v>
      </c>
      <c r="J311" s="14">
        <v>0.56930555555555551</v>
      </c>
      <c r="K311" s="15">
        <v>45514</v>
      </c>
      <c r="M311" s="2">
        <v>1.6950000000000001</v>
      </c>
      <c r="O311" s="2">
        <f t="shared" si="31"/>
        <v>1.6300000000000001</v>
      </c>
      <c r="P311" s="2">
        <f t="shared" si="32"/>
        <v>49.378780177890725</v>
      </c>
      <c r="Q311" s="2">
        <f t="shared" si="33"/>
        <v>0.21574999999999539</v>
      </c>
      <c r="R311" s="2">
        <f t="shared" si="34"/>
        <v>0.24696505717915612</v>
      </c>
      <c r="S311" s="2">
        <f t="shared" si="35"/>
        <v>-3.1215057179160732E-2</v>
      </c>
    </row>
    <row r="312" spans="2:19" x14ac:dyDescent="0.25">
      <c r="B312" s="1">
        <f t="shared" si="36"/>
        <v>306</v>
      </c>
      <c r="C312" s="1">
        <v>504</v>
      </c>
      <c r="D312" s="13">
        <v>43</v>
      </c>
      <c r="E312" s="1" t="s">
        <v>11</v>
      </c>
      <c r="F312" s="2">
        <v>1.77</v>
      </c>
      <c r="G312" s="1" t="s">
        <v>12</v>
      </c>
      <c r="H312" s="1" t="s">
        <v>13</v>
      </c>
      <c r="I312" s="1" t="s">
        <v>14</v>
      </c>
      <c r="J312" s="14">
        <v>0.56930555555555551</v>
      </c>
      <c r="K312" s="15">
        <v>45514</v>
      </c>
      <c r="M312" s="2">
        <v>1.7</v>
      </c>
      <c r="O312" s="2">
        <f t="shared" si="31"/>
        <v>1.635</v>
      </c>
      <c r="P312" s="2">
        <f t="shared" si="32"/>
        <v>49.407242693773824</v>
      </c>
      <c r="Q312" s="2">
        <f t="shared" si="33"/>
        <v>0.21525000000000497</v>
      </c>
      <c r="R312" s="2">
        <f t="shared" si="34"/>
        <v>0.24710736975858261</v>
      </c>
      <c r="S312" s="2">
        <f t="shared" si="35"/>
        <v>-3.1857369758577642E-2</v>
      </c>
    </row>
    <row r="313" spans="2:19" x14ac:dyDescent="0.25">
      <c r="B313" s="1">
        <f t="shared" si="36"/>
        <v>307</v>
      </c>
      <c r="C313" s="1">
        <v>505</v>
      </c>
      <c r="D313" s="13">
        <v>43.1</v>
      </c>
      <c r="E313" s="1" t="s">
        <v>11</v>
      </c>
      <c r="F313" s="2">
        <v>1.7749999999999999</v>
      </c>
      <c r="G313" s="1" t="s">
        <v>12</v>
      </c>
      <c r="H313" s="1" t="s">
        <v>13</v>
      </c>
      <c r="I313" s="1" t="s">
        <v>14</v>
      </c>
      <c r="J313" s="14">
        <v>0.56930555555555551</v>
      </c>
      <c r="K313" s="15">
        <v>45514</v>
      </c>
      <c r="M313" s="2">
        <v>1.7050000000000001</v>
      </c>
      <c r="O313" s="2">
        <f t="shared" si="31"/>
        <v>1.6400000000000001</v>
      </c>
      <c r="P313" s="2">
        <f t="shared" si="32"/>
        <v>49.43570520965693</v>
      </c>
      <c r="Q313" s="2">
        <f t="shared" si="33"/>
        <v>0.21574999999999542</v>
      </c>
      <c r="R313" s="2">
        <f t="shared" si="34"/>
        <v>0.24724968233798711</v>
      </c>
      <c r="S313" s="2">
        <f t="shared" si="35"/>
        <v>-3.1499682337991691E-2</v>
      </c>
    </row>
    <row r="314" spans="2:19" x14ac:dyDescent="0.25">
      <c r="B314" s="1">
        <f t="shared" si="36"/>
        <v>308</v>
      </c>
      <c r="C314" s="1">
        <v>507</v>
      </c>
      <c r="D314" s="13">
        <v>43.2</v>
      </c>
      <c r="E314" s="1" t="s">
        <v>11</v>
      </c>
      <c r="F314" s="2">
        <v>1.78</v>
      </c>
      <c r="G314" s="1" t="s">
        <v>12</v>
      </c>
      <c r="H314" s="1" t="s">
        <v>13</v>
      </c>
      <c r="I314" s="1" t="s">
        <v>14</v>
      </c>
      <c r="J314" s="14">
        <v>0.56931712962962966</v>
      </c>
      <c r="K314" s="15">
        <v>45514</v>
      </c>
      <c r="M314" s="2">
        <v>1.71</v>
      </c>
      <c r="O314" s="2">
        <f t="shared" si="31"/>
        <v>1.645</v>
      </c>
      <c r="P314" s="2">
        <f t="shared" si="32"/>
        <v>49.464167725540023</v>
      </c>
      <c r="Q314" s="2">
        <f t="shared" si="33"/>
        <v>0.21550000000000499</v>
      </c>
      <c r="R314" s="2">
        <f t="shared" si="34"/>
        <v>0.24739199491741359</v>
      </c>
      <c r="S314" s="2">
        <f t="shared" si="35"/>
        <v>-3.18919949174086E-2</v>
      </c>
    </row>
    <row r="315" spans="2:19" x14ac:dyDescent="0.25">
      <c r="B315" s="1">
        <f t="shared" si="36"/>
        <v>309</v>
      </c>
      <c r="C315" s="1">
        <v>508</v>
      </c>
      <c r="D315" s="13">
        <v>43</v>
      </c>
      <c r="E315" s="1" t="s">
        <v>11</v>
      </c>
      <c r="F315" s="2">
        <v>1.7849999999999999</v>
      </c>
      <c r="G315" s="1" t="s">
        <v>12</v>
      </c>
      <c r="H315" s="1" t="s">
        <v>13</v>
      </c>
      <c r="I315" s="1" t="s">
        <v>14</v>
      </c>
      <c r="J315" s="14">
        <v>0.56931712962962966</v>
      </c>
      <c r="K315" s="15">
        <v>45514</v>
      </c>
      <c r="M315" s="2">
        <v>1.7150000000000001</v>
      </c>
      <c r="O315" s="2">
        <f t="shared" si="31"/>
        <v>1.6500000000000001</v>
      </c>
      <c r="P315" s="2">
        <f t="shared" si="32"/>
        <v>49.492630241423129</v>
      </c>
      <c r="Q315" s="2">
        <f t="shared" si="33"/>
        <v>0.21449999999999542</v>
      </c>
      <c r="R315" s="2">
        <f t="shared" si="34"/>
        <v>0.2475343074968181</v>
      </c>
      <c r="S315" s="2">
        <f t="shared" si="35"/>
        <v>-3.3034307496822679E-2</v>
      </c>
    </row>
    <row r="316" spans="2:19" x14ac:dyDescent="0.25">
      <c r="B316" s="1">
        <f t="shared" si="36"/>
        <v>310</v>
      </c>
      <c r="C316" s="1">
        <v>509</v>
      </c>
      <c r="D316" s="13">
        <v>42.8</v>
      </c>
      <c r="E316" s="1" t="s">
        <v>11</v>
      </c>
      <c r="F316" s="2">
        <v>1.79</v>
      </c>
      <c r="G316" s="1" t="s">
        <v>12</v>
      </c>
      <c r="H316" s="1" t="s">
        <v>13</v>
      </c>
      <c r="I316" s="1" t="s">
        <v>14</v>
      </c>
      <c r="J316" s="14">
        <v>0.56931712962962966</v>
      </c>
      <c r="K316" s="15">
        <v>45514</v>
      </c>
      <c r="M316" s="2">
        <v>1.72</v>
      </c>
      <c r="O316" s="2">
        <f t="shared" si="31"/>
        <v>1.655</v>
      </c>
      <c r="P316" s="2">
        <f t="shared" si="32"/>
        <v>49.521092757306228</v>
      </c>
      <c r="Q316" s="2">
        <f t="shared" si="33"/>
        <v>0.21375000000000494</v>
      </c>
      <c r="R316" s="2">
        <f t="shared" si="34"/>
        <v>0.24767662007624464</v>
      </c>
      <c r="S316" s="2">
        <f t="shared" si="35"/>
        <v>-3.39266200762397E-2</v>
      </c>
    </row>
    <row r="317" spans="2:19" x14ac:dyDescent="0.25">
      <c r="B317" s="1">
        <f t="shared" si="36"/>
        <v>311</v>
      </c>
      <c r="C317" s="1">
        <v>510</v>
      </c>
      <c r="D317" s="13">
        <v>42.7</v>
      </c>
      <c r="E317" s="1" t="s">
        <v>11</v>
      </c>
      <c r="F317" s="2">
        <v>1.7949999999999999</v>
      </c>
      <c r="G317" s="1" t="s">
        <v>12</v>
      </c>
      <c r="H317" s="1" t="s">
        <v>13</v>
      </c>
      <c r="I317" s="1" t="s">
        <v>14</v>
      </c>
      <c r="J317" s="14">
        <v>0.56931712962962966</v>
      </c>
      <c r="K317" s="15">
        <v>45514</v>
      </c>
      <c r="M317" s="2">
        <v>1.7250000000000001</v>
      </c>
      <c r="O317" s="2">
        <f t="shared" si="31"/>
        <v>1.6600000000000001</v>
      </c>
      <c r="P317" s="2">
        <f t="shared" si="32"/>
        <v>49.549555273189327</v>
      </c>
      <c r="Q317" s="2">
        <f t="shared" si="33"/>
        <v>0.21349999999999547</v>
      </c>
      <c r="R317" s="2">
        <f t="shared" si="34"/>
        <v>0.24781893265564908</v>
      </c>
      <c r="S317" s="2">
        <f t="shared" si="35"/>
        <v>-3.4318932655653611E-2</v>
      </c>
    </row>
    <row r="318" spans="2:19" x14ac:dyDescent="0.25">
      <c r="B318" s="1">
        <f t="shared" si="36"/>
        <v>312</v>
      </c>
      <c r="C318" s="1">
        <v>511</v>
      </c>
      <c r="D318" s="13">
        <v>42.7</v>
      </c>
      <c r="E318" s="1" t="s">
        <v>11</v>
      </c>
      <c r="F318" s="2">
        <v>1.8</v>
      </c>
      <c r="G318" s="1" t="s">
        <v>12</v>
      </c>
      <c r="H318" s="1" t="s">
        <v>13</v>
      </c>
      <c r="I318" s="1" t="s">
        <v>14</v>
      </c>
      <c r="J318" s="14">
        <v>0.56931712962962966</v>
      </c>
      <c r="K318" s="15">
        <v>45514</v>
      </c>
      <c r="M318" s="2">
        <v>1.73</v>
      </c>
      <c r="O318" s="2">
        <f t="shared" si="31"/>
        <v>1.665</v>
      </c>
      <c r="P318" s="2">
        <f t="shared" si="32"/>
        <v>49.578017789072426</v>
      </c>
      <c r="Q318" s="2">
        <f t="shared" si="33"/>
        <v>0.21350000000000494</v>
      </c>
      <c r="R318" s="2">
        <f t="shared" si="34"/>
        <v>0.24796124523507562</v>
      </c>
      <c r="S318" s="2">
        <f t="shared" si="35"/>
        <v>-3.4461245235070687E-2</v>
      </c>
    </row>
    <row r="319" spans="2:19" x14ac:dyDescent="0.25">
      <c r="B319" s="1">
        <f t="shared" si="36"/>
        <v>313</v>
      </c>
      <c r="C319" s="1">
        <v>513</v>
      </c>
      <c r="D319" s="13">
        <v>42.7</v>
      </c>
      <c r="E319" s="1" t="s">
        <v>11</v>
      </c>
      <c r="F319" s="2">
        <v>1.8049999999999999</v>
      </c>
      <c r="G319" s="1" t="s">
        <v>12</v>
      </c>
      <c r="H319" s="1" t="s">
        <v>13</v>
      </c>
      <c r="I319" s="1" t="s">
        <v>14</v>
      </c>
      <c r="J319" s="14">
        <v>0.56931712962962966</v>
      </c>
      <c r="K319" s="15">
        <v>45514</v>
      </c>
      <c r="M319" s="2">
        <v>1.7350000000000001</v>
      </c>
      <c r="O319" s="2">
        <f t="shared" si="31"/>
        <v>1.6700000000000002</v>
      </c>
      <c r="P319" s="2">
        <f t="shared" si="32"/>
        <v>49.606480304955525</v>
      </c>
      <c r="Q319" s="2">
        <f t="shared" si="33"/>
        <v>0.21299999999999547</v>
      </c>
      <c r="R319" s="2">
        <f t="shared" si="34"/>
        <v>0.2481035578144801</v>
      </c>
      <c r="S319" s="2">
        <f t="shared" si="35"/>
        <v>-3.5103557814484626E-2</v>
      </c>
    </row>
    <row r="320" spans="2:19" x14ac:dyDescent="0.25">
      <c r="B320" s="1">
        <f t="shared" si="36"/>
        <v>314</v>
      </c>
      <c r="C320" s="1">
        <v>515</v>
      </c>
      <c r="D320" s="13">
        <v>42.5</v>
      </c>
      <c r="E320" s="1" t="s">
        <v>11</v>
      </c>
      <c r="F320" s="2">
        <v>1.81</v>
      </c>
      <c r="G320" s="1" t="s">
        <v>12</v>
      </c>
      <c r="H320" s="1" t="s">
        <v>13</v>
      </c>
      <c r="I320" s="1" t="s">
        <v>14</v>
      </c>
      <c r="J320" s="14">
        <v>0.56931712962962966</v>
      </c>
      <c r="K320" s="15">
        <v>45514</v>
      </c>
      <c r="M320" s="2">
        <v>1.74</v>
      </c>
      <c r="O320" s="2">
        <f t="shared" si="31"/>
        <v>1.675</v>
      </c>
      <c r="P320" s="2">
        <f t="shared" si="32"/>
        <v>49.634942820838631</v>
      </c>
      <c r="Q320" s="2">
        <f t="shared" si="33"/>
        <v>0.21275000000000491</v>
      </c>
      <c r="R320" s="2">
        <f t="shared" si="34"/>
        <v>0.24824587039390661</v>
      </c>
      <c r="S320" s="2">
        <f t="shared" si="35"/>
        <v>-3.5495870393901702E-2</v>
      </c>
    </row>
    <row r="321" spans="2:19" x14ac:dyDescent="0.25">
      <c r="B321" s="1">
        <f t="shared" si="36"/>
        <v>315</v>
      </c>
      <c r="C321" s="1">
        <v>516</v>
      </c>
      <c r="D321" s="13">
        <v>42.6</v>
      </c>
      <c r="E321" s="1" t="s">
        <v>11</v>
      </c>
      <c r="F321" s="2">
        <v>1.8149999999999999</v>
      </c>
      <c r="G321" s="1" t="s">
        <v>12</v>
      </c>
      <c r="H321" s="1" t="s">
        <v>13</v>
      </c>
      <c r="I321" s="1" t="s">
        <v>14</v>
      </c>
      <c r="J321" s="14">
        <v>0.5693287037037037</v>
      </c>
      <c r="K321" s="15">
        <v>45514</v>
      </c>
      <c r="M321" s="2">
        <v>1.7450000000000001</v>
      </c>
      <c r="O321" s="2">
        <f t="shared" si="31"/>
        <v>1.6800000000000002</v>
      </c>
      <c r="P321" s="2">
        <f t="shared" si="32"/>
        <v>49.663405336721731</v>
      </c>
      <c r="Q321" s="2">
        <f t="shared" si="33"/>
        <v>0.21399999999999542</v>
      </c>
      <c r="R321" s="2">
        <f t="shared" si="34"/>
        <v>0.24838818297331111</v>
      </c>
      <c r="S321" s="2">
        <f t="shared" si="35"/>
        <v>-3.4388182973315695E-2</v>
      </c>
    </row>
    <row r="322" spans="2:19" x14ac:dyDescent="0.25">
      <c r="B322" s="1">
        <f t="shared" si="36"/>
        <v>316</v>
      </c>
      <c r="C322" s="1">
        <v>519</v>
      </c>
      <c r="D322" s="13">
        <v>43</v>
      </c>
      <c r="E322" s="1" t="s">
        <v>11</v>
      </c>
      <c r="F322" s="2">
        <v>1.82</v>
      </c>
      <c r="G322" s="1" t="s">
        <v>12</v>
      </c>
      <c r="H322" s="1" t="s">
        <v>13</v>
      </c>
      <c r="I322" s="1" t="s">
        <v>14</v>
      </c>
      <c r="J322" s="14">
        <v>0.5693287037037037</v>
      </c>
      <c r="K322" s="15">
        <v>45514</v>
      </c>
      <c r="M322" s="2">
        <v>1.75</v>
      </c>
      <c r="O322" s="2">
        <f t="shared" si="31"/>
        <v>1.6850000000000001</v>
      </c>
      <c r="P322" s="2">
        <f t="shared" si="32"/>
        <v>49.69186785260483</v>
      </c>
      <c r="Q322" s="2">
        <f t="shared" si="33"/>
        <v>0.21524999999999539</v>
      </c>
      <c r="R322" s="2">
        <f t="shared" si="34"/>
        <v>0.24853049555272658</v>
      </c>
      <c r="S322" s="2">
        <f t="shared" si="35"/>
        <v>-3.3280495552731187E-2</v>
      </c>
    </row>
    <row r="323" spans="2:19" x14ac:dyDescent="0.25">
      <c r="B323" s="1">
        <f t="shared" si="36"/>
        <v>317</v>
      </c>
      <c r="C323" s="1">
        <v>520</v>
      </c>
      <c r="D323" s="13">
        <v>43.1</v>
      </c>
      <c r="E323" s="1" t="s">
        <v>11</v>
      </c>
      <c r="F323" s="2">
        <v>1.825</v>
      </c>
      <c r="G323" s="1" t="s">
        <v>12</v>
      </c>
      <c r="H323" s="1" t="s">
        <v>13</v>
      </c>
      <c r="I323" s="1" t="s">
        <v>14</v>
      </c>
      <c r="J323" s="14">
        <v>0.5693287037037037</v>
      </c>
      <c r="K323" s="15">
        <v>45514</v>
      </c>
      <c r="M323" s="2">
        <v>1.7549999999999999</v>
      </c>
      <c r="O323" s="2">
        <f t="shared" si="31"/>
        <v>1.69</v>
      </c>
      <c r="P323" s="2">
        <f t="shared" si="32"/>
        <v>49.720330368487929</v>
      </c>
      <c r="Q323" s="2">
        <f t="shared" si="33"/>
        <v>0.21500000000000496</v>
      </c>
      <c r="R323" s="2">
        <f t="shared" si="34"/>
        <v>0.24867280813215314</v>
      </c>
      <c r="S323" s="2">
        <f t="shared" si="35"/>
        <v>-3.367280813214818E-2</v>
      </c>
    </row>
    <row r="324" spans="2:19" x14ac:dyDescent="0.25">
      <c r="B324" s="1">
        <f t="shared" si="36"/>
        <v>318</v>
      </c>
      <c r="C324" s="1">
        <v>522</v>
      </c>
      <c r="D324" s="13">
        <v>42.9</v>
      </c>
      <c r="E324" s="1" t="s">
        <v>11</v>
      </c>
      <c r="F324" s="2">
        <v>1.83</v>
      </c>
      <c r="G324" s="1" t="s">
        <v>12</v>
      </c>
      <c r="H324" s="1" t="s">
        <v>13</v>
      </c>
      <c r="I324" s="1" t="s">
        <v>14</v>
      </c>
      <c r="J324" s="14">
        <v>0.5693287037037037</v>
      </c>
      <c r="K324" s="15">
        <v>45514</v>
      </c>
      <c r="M324" s="2">
        <v>1.76</v>
      </c>
      <c r="O324" s="2">
        <f t="shared" si="31"/>
        <v>1.6950000000000001</v>
      </c>
      <c r="P324" s="2">
        <f t="shared" si="32"/>
        <v>49.748792884371028</v>
      </c>
      <c r="Q324" s="2">
        <f t="shared" si="33"/>
        <v>0.21399999999999542</v>
      </c>
      <c r="R324" s="2">
        <f t="shared" si="34"/>
        <v>0.24881512071155759</v>
      </c>
      <c r="S324" s="2">
        <f t="shared" si="35"/>
        <v>-3.4815120711562175E-2</v>
      </c>
    </row>
    <row r="325" spans="2:19" x14ac:dyDescent="0.25">
      <c r="B325" s="1">
        <f t="shared" si="36"/>
        <v>319</v>
      </c>
      <c r="C325" s="1">
        <v>523</v>
      </c>
      <c r="D325" s="13">
        <v>42.7</v>
      </c>
      <c r="E325" s="1" t="s">
        <v>11</v>
      </c>
      <c r="F325" s="2">
        <v>1.835</v>
      </c>
      <c r="G325" s="1" t="s">
        <v>12</v>
      </c>
      <c r="H325" s="1" t="s">
        <v>13</v>
      </c>
      <c r="I325" s="1" t="s">
        <v>14</v>
      </c>
      <c r="J325" s="14">
        <v>0.5693287037037037</v>
      </c>
      <c r="K325" s="15">
        <v>45514</v>
      </c>
      <c r="M325" s="2">
        <v>1.7649999999999999</v>
      </c>
      <c r="O325" s="2">
        <f t="shared" si="31"/>
        <v>1.7</v>
      </c>
      <c r="P325" s="2">
        <f t="shared" si="32"/>
        <v>49.777255400254134</v>
      </c>
      <c r="Q325" s="2">
        <f t="shared" si="33"/>
        <v>0.21350000000000494</v>
      </c>
      <c r="R325" s="2">
        <f t="shared" si="34"/>
        <v>0.24895743329098416</v>
      </c>
      <c r="S325" s="2">
        <f t="shared" si="35"/>
        <v>-3.5457433290979223E-2</v>
      </c>
    </row>
    <row r="326" spans="2:19" x14ac:dyDescent="0.25">
      <c r="B326" s="1">
        <f t="shared" si="36"/>
        <v>320</v>
      </c>
      <c r="C326" s="1">
        <v>525</v>
      </c>
      <c r="D326" s="13">
        <v>42.7</v>
      </c>
      <c r="E326" s="1" t="s">
        <v>11</v>
      </c>
      <c r="F326" s="2">
        <v>1.84</v>
      </c>
      <c r="G326" s="1" t="s">
        <v>12</v>
      </c>
      <c r="H326" s="1" t="s">
        <v>13</v>
      </c>
      <c r="I326" s="1" t="s">
        <v>14</v>
      </c>
      <c r="J326" s="14">
        <v>0.5693287037037037</v>
      </c>
      <c r="K326" s="15">
        <v>45514</v>
      </c>
      <c r="M326" s="2">
        <v>1.77</v>
      </c>
      <c r="O326" s="2">
        <f t="shared" si="31"/>
        <v>1.7050000000000001</v>
      </c>
      <c r="P326" s="2">
        <f t="shared" si="32"/>
        <v>49.805717916137233</v>
      </c>
      <c r="Q326" s="2">
        <f t="shared" si="33"/>
        <v>0.21349999999999547</v>
      </c>
      <c r="R326" s="2">
        <f t="shared" si="34"/>
        <v>0.24909974587038863</v>
      </c>
      <c r="S326" s="2">
        <f t="shared" si="35"/>
        <v>-3.5599745870393162E-2</v>
      </c>
    </row>
    <row r="327" spans="2:19" x14ac:dyDescent="0.25">
      <c r="B327" s="1">
        <f t="shared" si="36"/>
        <v>321</v>
      </c>
      <c r="C327" s="1">
        <v>526</v>
      </c>
      <c r="D327" s="13">
        <v>42.7</v>
      </c>
      <c r="E327" s="1" t="s">
        <v>11</v>
      </c>
      <c r="F327" s="2">
        <v>1.845</v>
      </c>
      <c r="G327" s="1" t="s">
        <v>12</v>
      </c>
      <c r="H327" s="1" t="s">
        <v>13</v>
      </c>
      <c r="I327" s="1" t="s">
        <v>14</v>
      </c>
      <c r="J327" s="14">
        <v>0.56934027777777774</v>
      </c>
      <c r="K327" s="15">
        <v>45514</v>
      </c>
      <c r="M327" s="2">
        <v>1.7749999999999999</v>
      </c>
      <c r="O327" s="2">
        <f t="shared" si="31"/>
        <v>1.71</v>
      </c>
      <c r="P327" s="2">
        <f t="shared" si="32"/>
        <v>49.834180432020332</v>
      </c>
      <c r="Q327" s="2">
        <f t="shared" si="33"/>
        <v>0.21325000000000496</v>
      </c>
      <c r="R327" s="2">
        <f t="shared" si="34"/>
        <v>0.24924205844981515</v>
      </c>
      <c r="S327" s="2">
        <f t="shared" si="35"/>
        <v>-3.5992058449810183E-2</v>
      </c>
    </row>
    <row r="328" spans="2:19" x14ac:dyDescent="0.25">
      <c r="B328" s="1">
        <f t="shared" si="36"/>
        <v>322</v>
      </c>
      <c r="C328" s="1">
        <v>527</v>
      </c>
      <c r="D328" s="13">
        <v>42.6</v>
      </c>
      <c r="E328" s="1" t="s">
        <v>11</v>
      </c>
      <c r="F328" s="2">
        <v>1.85</v>
      </c>
      <c r="G328" s="1" t="s">
        <v>12</v>
      </c>
      <c r="H328" s="1" t="s">
        <v>13</v>
      </c>
      <c r="I328" s="1" t="s">
        <v>14</v>
      </c>
      <c r="J328" s="14">
        <v>0.56934027777777774</v>
      </c>
      <c r="K328" s="15">
        <v>45514</v>
      </c>
      <c r="M328" s="2">
        <v>1.78</v>
      </c>
      <c r="O328" s="2">
        <f t="shared" ref="O328:O391" si="37">M328-$X$23</f>
        <v>1.7150000000000001</v>
      </c>
      <c r="P328" s="2">
        <f t="shared" ref="P328:P391" si="38">O328*$AC$21+$Y$23</f>
        <v>49.862642947903431</v>
      </c>
      <c r="Q328" s="2">
        <f t="shared" ref="Q328:Q391" si="39">((D328+D329)/2)*(M329-M328)</f>
        <v>0.21324999999999547</v>
      </c>
      <c r="R328" s="2">
        <f t="shared" ref="R328:R391" si="40">((P328+P329)/2)*(O329-O328)</f>
        <v>0.24938437102921962</v>
      </c>
      <c r="S328" s="2">
        <f t="shared" ref="S328:S391" si="41">Q328-R328</f>
        <v>-3.6134371029224149E-2</v>
      </c>
    </row>
    <row r="329" spans="2:19" x14ac:dyDescent="0.25">
      <c r="B329" s="1">
        <f t="shared" ref="B329:B392" si="42">B328+1</f>
        <v>323</v>
      </c>
      <c r="C329" s="1">
        <v>528</v>
      </c>
      <c r="D329" s="13">
        <v>42.7</v>
      </c>
      <c r="E329" s="1" t="s">
        <v>11</v>
      </c>
      <c r="F329" s="2">
        <v>1.855</v>
      </c>
      <c r="G329" s="1" t="s">
        <v>12</v>
      </c>
      <c r="H329" s="1" t="s">
        <v>13</v>
      </c>
      <c r="I329" s="1" t="s">
        <v>14</v>
      </c>
      <c r="J329" s="14">
        <v>0.56934027777777774</v>
      </c>
      <c r="K329" s="15">
        <v>45514</v>
      </c>
      <c r="M329" s="2">
        <v>1.7849999999999999</v>
      </c>
      <c r="O329" s="2">
        <f t="shared" si="37"/>
        <v>1.72</v>
      </c>
      <c r="P329" s="2">
        <f t="shared" si="38"/>
        <v>49.891105463786531</v>
      </c>
      <c r="Q329" s="2">
        <f t="shared" si="39"/>
        <v>0.21375000000000494</v>
      </c>
      <c r="R329" s="2">
        <f t="shared" si="40"/>
        <v>0.24952668360864619</v>
      </c>
      <c r="S329" s="2">
        <f t="shared" si="41"/>
        <v>-3.5776683608641252E-2</v>
      </c>
    </row>
    <row r="330" spans="2:19" x14ac:dyDescent="0.25">
      <c r="B330" s="1">
        <f t="shared" si="42"/>
        <v>324</v>
      </c>
      <c r="C330" s="1">
        <v>530</v>
      </c>
      <c r="D330" s="13">
        <v>42.8</v>
      </c>
      <c r="E330" s="1" t="s">
        <v>11</v>
      </c>
      <c r="F330" s="2">
        <v>1.86</v>
      </c>
      <c r="G330" s="1" t="s">
        <v>12</v>
      </c>
      <c r="H330" s="1" t="s">
        <v>13</v>
      </c>
      <c r="I330" s="1" t="s">
        <v>14</v>
      </c>
      <c r="J330" s="14">
        <v>0.56934027777777774</v>
      </c>
      <c r="K330" s="15">
        <v>45514</v>
      </c>
      <c r="M330" s="2">
        <v>1.79</v>
      </c>
      <c r="O330" s="2">
        <f t="shared" si="37"/>
        <v>1.7250000000000001</v>
      </c>
      <c r="P330" s="2">
        <f t="shared" si="38"/>
        <v>49.919567979669637</v>
      </c>
      <c r="Q330" s="2">
        <f t="shared" si="39"/>
        <v>0.21424999999999542</v>
      </c>
      <c r="R330" s="2">
        <f t="shared" si="40"/>
        <v>0.24966899618805058</v>
      </c>
      <c r="S330" s="2">
        <f t="shared" si="41"/>
        <v>-3.5418996188055163E-2</v>
      </c>
    </row>
    <row r="331" spans="2:19" x14ac:dyDescent="0.25">
      <c r="B331" s="1">
        <f t="shared" si="42"/>
        <v>325</v>
      </c>
      <c r="C331" s="1">
        <v>531</v>
      </c>
      <c r="D331" s="13">
        <v>42.9</v>
      </c>
      <c r="E331" s="1" t="s">
        <v>11</v>
      </c>
      <c r="F331" s="2">
        <v>1.865</v>
      </c>
      <c r="G331" s="1" t="s">
        <v>12</v>
      </c>
      <c r="H331" s="1" t="s">
        <v>13</v>
      </c>
      <c r="I331" s="1" t="s">
        <v>14</v>
      </c>
      <c r="J331" s="14">
        <v>0.56934027777777774</v>
      </c>
      <c r="K331" s="15">
        <v>45514</v>
      </c>
      <c r="M331" s="2">
        <v>1.7949999999999999</v>
      </c>
      <c r="O331" s="2">
        <f t="shared" si="37"/>
        <v>1.73</v>
      </c>
      <c r="P331" s="2">
        <f t="shared" si="38"/>
        <v>49.948030495552729</v>
      </c>
      <c r="Q331" s="2">
        <f t="shared" si="39"/>
        <v>0.21400000000000494</v>
      </c>
      <c r="R331" s="2">
        <f t="shared" si="40"/>
        <v>0.24981130876747717</v>
      </c>
      <c r="S331" s="2">
        <f t="shared" si="41"/>
        <v>-3.5811308767472239E-2</v>
      </c>
    </row>
    <row r="332" spans="2:19" x14ac:dyDescent="0.25">
      <c r="B332" s="1">
        <f t="shared" si="42"/>
        <v>326</v>
      </c>
      <c r="C332" s="1">
        <v>533</v>
      </c>
      <c r="D332" s="13">
        <v>42.7</v>
      </c>
      <c r="E332" s="1" t="s">
        <v>11</v>
      </c>
      <c r="F332" s="2">
        <v>1.87</v>
      </c>
      <c r="G332" s="1" t="s">
        <v>12</v>
      </c>
      <c r="H332" s="1" t="s">
        <v>13</v>
      </c>
      <c r="I332" s="1" t="s">
        <v>14</v>
      </c>
      <c r="J332" s="14">
        <v>0.56934027777777774</v>
      </c>
      <c r="K332" s="15">
        <v>45514</v>
      </c>
      <c r="M332" s="2">
        <v>1.8</v>
      </c>
      <c r="O332" s="2">
        <f t="shared" si="37"/>
        <v>1.7350000000000001</v>
      </c>
      <c r="P332" s="2">
        <f t="shared" si="38"/>
        <v>49.976493011435835</v>
      </c>
      <c r="Q332" s="2">
        <f t="shared" si="39"/>
        <v>0.21349999999999547</v>
      </c>
      <c r="R332" s="2">
        <f t="shared" si="40"/>
        <v>0.24995362134688157</v>
      </c>
      <c r="S332" s="2">
        <f t="shared" si="41"/>
        <v>-3.6453621346886095E-2</v>
      </c>
    </row>
    <row r="333" spans="2:19" x14ac:dyDescent="0.25">
      <c r="B333" s="1">
        <f t="shared" si="42"/>
        <v>327</v>
      </c>
      <c r="C333" s="1">
        <v>535</v>
      </c>
      <c r="D333" s="13">
        <v>42.7</v>
      </c>
      <c r="E333" s="1" t="s">
        <v>11</v>
      </c>
      <c r="F333" s="2">
        <v>1.875</v>
      </c>
      <c r="G333" s="1" t="s">
        <v>12</v>
      </c>
      <c r="H333" s="1" t="s">
        <v>13</v>
      </c>
      <c r="I333" s="1" t="s">
        <v>14</v>
      </c>
      <c r="J333" s="14">
        <v>0.56934027777777774</v>
      </c>
      <c r="K333" s="15">
        <v>45514</v>
      </c>
      <c r="M333" s="2">
        <v>1.8049999999999999</v>
      </c>
      <c r="O333" s="2">
        <f t="shared" si="37"/>
        <v>1.74</v>
      </c>
      <c r="P333" s="2">
        <f t="shared" si="38"/>
        <v>50.004955527318934</v>
      </c>
      <c r="Q333" s="2">
        <f t="shared" si="39"/>
        <v>0.21300000000000494</v>
      </c>
      <c r="R333" s="2">
        <f t="shared" si="40"/>
        <v>0.25009593392630819</v>
      </c>
      <c r="S333" s="2">
        <f t="shared" si="41"/>
        <v>-3.7095933926303254E-2</v>
      </c>
    </row>
    <row r="334" spans="2:19" x14ac:dyDescent="0.25">
      <c r="B334" s="1">
        <f t="shared" si="42"/>
        <v>328</v>
      </c>
      <c r="C334" s="1">
        <v>537</v>
      </c>
      <c r="D334" s="13">
        <v>42.5</v>
      </c>
      <c r="E334" s="1" t="s">
        <v>11</v>
      </c>
      <c r="F334" s="2">
        <v>1.88</v>
      </c>
      <c r="G334" s="1" t="s">
        <v>12</v>
      </c>
      <c r="H334" s="1" t="s">
        <v>13</v>
      </c>
      <c r="I334" s="1" t="s">
        <v>14</v>
      </c>
      <c r="J334" s="14">
        <v>0.56935185185185189</v>
      </c>
      <c r="K334" s="15">
        <v>45514</v>
      </c>
      <c r="M334" s="2">
        <v>1.81</v>
      </c>
      <c r="O334" s="2">
        <f t="shared" si="37"/>
        <v>1.7450000000000001</v>
      </c>
      <c r="P334" s="2">
        <f t="shared" si="38"/>
        <v>50.033418043202033</v>
      </c>
      <c r="Q334" s="2">
        <f t="shared" si="39"/>
        <v>0.2122499999999955</v>
      </c>
      <c r="R334" s="2">
        <f t="shared" si="40"/>
        <v>0.25023824650571258</v>
      </c>
      <c r="S334" s="2">
        <f t="shared" si="41"/>
        <v>-3.7988246505717083E-2</v>
      </c>
    </row>
    <row r="335" spans="2:19" x14ac:dyDescent="0.25">
      <c r="B335" s="1">
        <f t="shared" si="42"/>
        <v>329</v>
      </c>
      <c r="C335" s="1">
        <v>539</v>
      </c>
      <c r="D335" s="13">
        <v>42.4</v>
      </c>
      <c r="E335" s="1" t="s">
        <v>11</v>
      </c>
      <c r="F335" s="2">
        <v>1.885</v>
      </c>
      <c r="G335" s="1" t="s">
        <v>12</v>
      </c>
      <c r="H335" s="1" t="s">
        <v>13</v>
      </c>
      <c r="I335" s="1" t="s">
        <v>14</v>
      </c>
      <c r="J335" s="14">
        <v>0.56935185185185189</v>
      </c>
      <c r="K335" s="15">
        <v>45514</v>
      </c>
      <c r="M335" s="2">
        <v>1.8149999999999999</v>
      </c>
      <c r="O335" s="2">
        <f t="shared" si="37"/>
        <v>1.75</v>
      </c>
      <c r="P335" s="2">
        <f t="shared" si="38"/>
        <v>50.061880559085132</v>
      </c>
      <c r="Q335" s="2">
        <f t="shared" si="39"/>
        <v>0.21225000000000491</v>
      </c>
      <c r="R335" s="2">
        <f t="shared" si="40"/>
        <v>0.25038055908513923</v>
      </c>
      <c r="S335" s="2">
        <f t="shared" si="41"/>
        <v>-3.8130559085134325E-2</v>
      </c>
    </row>
    <row r="336" spans="2:19" x14ac:dyDescent="0.25">
      <c r="B336" s="1">
        <f t="shared" si="42"/>
        <v>330</v>
      </c>
      <c r="C336" s="1">
        <v>541</v>
      </c>
      <c r="D336" s="13">
        <v>42.5</v>
      </c>
      <c r="E336" s="1" t="s">
        <v>11</v>
      </c>
      <c r="F336" s="2">
        <v>1.89</v>
      </c>
      <c r="G336" s="1" t="s">
        <v>12</v>
      </c>
      <c r="H336" s="1" t="s">
        <v>13</v>
      </c>
      <c r="I336" s="1" t="s">
        <v>14</v>
      </c>
      <c r="J336" s="14">
        <v>0.56935185185185189</v>
      </c>
      <c r="K336" s="15">
        <v>45514</v>
      </c>
      <c r="M336" s="2">
        <v>1.82</v>
      </c>
      <c r="O336" s="2">
        <f t="shared" si="37"/>
        <v>1.7550000000000001</v>
      </c>
      <c r="P336" s="2">
        <f t="shared" si="38"/>
        <v>50.090343074968231</v>
      </c>
      <c r="Q336" s="2">
        <f t="shared" si="39"/>
        <v>0.21349999999999547</v>
      </c>
      <c r="R336" s="2">
        <f t="shared" si="40"/>
        <v>0.25052287166454357</v>
      </c>
      <c r="S336" s="2">
        <f t="shared" si="41"/>
        <v>-3.7022871664548096E-2</v>
      </c>
    </row>
    <row r="337" spans="2:19" x14ac:dyDescent="0.25">
      <c r="B337" s="1">
        <f t="shared" si="42"/>
        <v>331</v>
      </c>
      <c r="C337" s="1">
        <v>544</v>
      </c>
      <c r="D337" s="13">
        <v>42.9</v>
      </c>
      <c r="E337" s="1" t="s">
        <v>11</v>
      </c>
      <c r="F337" s="2">
        <v>1.895</v>
      </c>
      <c r="G337" s="1" t="s">
        <v>12</v>
      </c>
      <c r="H337" s="1" t="s">
        <v>13</v>
      </c>
      <c r="I337" s="1" t="s">
        <v>14</v>
      </c>
      <c r="J337" s="14">
        <v>0.56935185185185189</v>
      </c>
      <c r="K337" s="15">
        <v>45514</v>
      </c>
      <c r="M337" s="2">
        <v>1.825</v>
      </c>
      <c r="O337" s="2">
        <f t="shared" si="37"/>
        <v>1.76</v>
      </c>
      <c r="P337" s="2">
        <f t="shared" si="38"/>
        <v>50.118805590851338</v>
      </c>
      <c r="Q337" s="2">
        <f t="shared" si="39"/>
        <v>0.21400000000000494</v>
      </c>
      <c r="R337" s="2">
        <f t="shared" si="40"/>
        <v>0.25066518424397022</v>
      </c>
      <c r="S337" s="2">
        <f t="shared" si="41"/>
        <v>-3.6665184243965282E-2</v>
      </c>
    </row>
    <row r="338" spans="2:19" x14ac:dyDescent="0.25">
      <c r="B338" s="1">
        <f t="shared" si="42"/>
        <v>332</v>
      </c>
      <c r="C338" s="1">
        <v>545</v>
      </c>
      <c r="D338" s="13">
        <v>42.7</v>
      </c>
      <c r="E338" s="1" t="s">
        <v>11</v>
      </c>
      <c r="F338" s="2">
        <v>1.9</v>
      </c>
      <c r="G338" s="1" t="s">
        <v>12</v>
      </c>
      <c r="H338" s="1" t="s">
        <v>13</v>
      </c>
      <c r="I338" s="1" t="s">
        <v>14</v>
      </c>
      <c r="J338" s="14">
        <v>0.56935185185185189</v>
      </c>
      <c r="K338" s="15">
        <v>45514</v>
      </c>
      <c r="M338" s="2">
        <v>1.83</v>
      </c>
      <c r="O338" s="2">
        <f t="shared" si="37"/>
        <v>1.7650000000000001</v>
      </c>
      <c r="P338" s="2">
        <f t="shared" si="38"/>
        <v>50.147268106734437</v>
      </c>
      <c r="Q338" s="2">
        <f t="shared" si="39"/>
        <v>0.21299999999999547</v>
      </c>
      <c r="R338" s="2">
        <f t="shared" si="40"/>
        <v>0.25080749682337461</v>
      </c>
      <c r="S338" s="2">
        <f t="shared" si="41"/>
        <v>-3.7807496823379139E-2</v>
      </c>
    </row>
    <row r="339" spans="2:19" x14ac:dyDescent="0.25">
      <c r="B339" s="1">
        <f t="shared" si="42"/>
        <v>333</v>
      </c>
      <c r="C339" s="1">
        <v>546</v>
      </c>
      <c r="D339" s="13">
        <v>42.5</v>
      </c>
      <c r="E339" s="1" t="s">
        <v>11</v>
      </c>
      <c r="F339" s="2">
        <v>1.905</v>
      </c>
      <c r="G339" s="1" t="s">
        <v>12</v>
      </c>
      <c r="H339" s="1" t="s">
        <v>13</v>
      </c>
      <c r="I339" s="1" t="s">
        <v>14</v>
      </c>
      <c r="J339" s="14">
        <v>0.56936342592592593</v>
      </c>
      <c r="K339" s="15">
        <v>45514</v>
      </c>
      <c r="M339" s="2">
        <v>1.835</v>
      </c>
      <c r="O339" s="2">
        <f t="shared" si="37"/>
        <v>1.77</v>
      </c>
      <c r="P339" s="2">
        <f t="shared" si="38"/>
        <v>50.175730622617536</v>
      </c>
      <c r="Q339" s="2">
        <f t="shared" si="39"/>
        <v>0.21200000000000488</v>
      </c>
      <c r="R339" s="2">
        <f t="shared" si="40"/>
        <v>0.2509498094028012</v>
      </c>
      <c r="S339" s="2">
        <f t="shared" si="41"/>
        <v>-3.8949809402796326E-2</v>
      </c>
    </row>
    <row r="340" spans="2:19" x14ac:dyDescent="0.25">
      <c r="B340" s="1">
        <f t="shared" si="42"/>
        <v>334</v>
      </c>
      <c r="C340" s="1">
        <v>548</v>
      </c>
      <c r="D340" s="13">
        <v>42.3</v>
      </c>
      <c r="E340" s="1" t="s">
        <v>11</v>
      </c>
      <c r="F340" s="2">
        <v>1.91</v>
      </c>
      <c r="G340" s="1" t="s">
        <v>12</v>
      </c>
      <c r="H340" s="1" t="s">
        <v>13</v>
      </c>
      <c r="I340" s="1" t="s">
        <v>14</v>
      </c>
      <c r="J340" s="14">
        <v>0.56936342592592593</v>
      </c>
      <c r="K340" s="15">
        <v>45514</v>
      </c>
      <c r="M340" s="2">
        <v>1.84</v>
      </c>
      <c r="O340" s="2">
        <f t="shared" si="37"/>
        <v>1.7750000000000001</v>
      </c>
      <c r="P340" s="2">
        <f t="shared" si="38"/>
        <v>50.204193138500635</v>
      </c>
      <c r="Q340" s="2">
        <f t="shared" si="39"/>
        <v>0.21149999999999547</v>
      </c>
      <c r="R340" s="2">
        <f t="shared" si="40"/>
        <v>0.2510921219822056</v>
      </c>
      <c r="S340" s="2">
        <f t="shared" si="41"/>
        <v>-3.9592121982210127E-2</v>
      </c>
    </row>
    <row r="341" spans="2:19" x14ac:dyDescent="0.25">
      <c r="B341" s="1">
        <f t="shared" si="42"/>
        <v>335</v>
      </c>
      <c r="C341" s="1">
        <v>549</v>
      </c>
      <c r="D341" s="13">
        <v>42.3</v>
      </c>
      <c r="E341" s="1" t="s">
        <v>11</v>
      </c>
      <c r="F341" s="2">
        <v>1.915</v>
      </c>
      <c r="G341" s="1" t="s">
        <v>12</v>
      </c>
      <c r="H341" s="1" t="s">
        <v>13</v>
      </c>
      <c r="I341" s="1" t="s">
        <v>14</v>
      </c>
      <c r="J341" s="14">
        <v>0.56936342592592593</v>
      </c>
      <c r="K341" s="15">
        <v>45514</v>
      </c>
      <c r="M341" s="2">
        <v>1.845</v>
      </c>
      <c r="O341" s="2">
        <f t="shared" si="37"/>
        <v>1.78</v>
      </c>
      <c r="P341" s="2">
        <f t="shared" si="38"/>
        <v>50.232655654383734</v>
      </c>
      <c r="Q341" s="2">
        <f t="shared" si="39"/>
        <v>0.21175000000000485</v>
      </c>
      <c r="R341" s="2">
        <f t="shared" si="40"/>
        <v>0.25123443456163225</v>
      </c>
      <c r="S341" s="2">
        <f t="shared" si="41"/>
        <v>-3.9484434561627396E-2</v>
      </c>
    </row>
    <row r="342" spans="2:19" x14ac:dyDescent="0.25">
      <c r="B342" s="1">
        <f t="shared" si="42"/>
        <v>336</v>
      </c>
      <c r="C342" s="1">
        <v>550</v>
      </c>
      <c r="D342" s="13">
        <v>42.4</v>
      </c>
      <c r="E342" s="1" t="s">
        <v>11</v>
      </c>
      <c r="F342" s="2">
        <v>1.92</v>
      </c>
      <c r="G342" s="1" t="s">
        <v>12</v>
      </c>
      <c r="H342" s="1" t="s">
        <v>13</v>
      </c>
      <c r="I342" s="1" t="s">
        <v>14</v>
      </c>
      <c r="J342" s="14">
        <v>0.56936342592592593</v>
      </c>
      <c r="K342" s="15">
        <v>45514</v>
      </c>
      <c r="M342" s="2">
        <v>1.85</v>
      </c>
      <c r="O342" s="2">
        <f t="shared" si="37"/>
        <v>1.7850000000000001</v>
      </c>
      <c r="P342" s="2">
        <f t="shared" si="38"/>
        <v>50.26111817026684</v>
      </c>
      <c r="Q342" s="2">
        <f t="shared" si="39"/>
        <v>0.21324999999999544</v>
      </c>
      <c r="R342" s="2">
        <f t="shared" si="40"/>
        <v>0.25137674714103658</v>
      </c>
      <c r="S342" s="2">
        <f t="shared" si="41"/>
        <v>-3.812674714104114E-2</v>
      </c>
    </row>
    <row r="343" spans="2:19" x14ac:dyDescent="0.25">
      <c r="B343" s="1">
        <f t="shared" si="42"/>
        <v>337</v>
      </c>
      <c r="C343" s="1">
        <v>551</v>
      </c>
      <c r="D343" s="13">
        <v>42.9</v>
      </c>
      <c r="E343" s="1" t="s">
        <v>11</v>
      </c>
      <c r="F343" s="2">
        <v>1.925</v>
      </c>
      <c r="G343" s="1" t="s">
        <v>12</v>
      </c>
      <c r="H343" s="1" t="s">
        <v>13</v>
      </c>
      <c r="I343" s="1" t="s">
        <v>14</v>
      </c>
      <c r="J343" s="14">
        <v>0.56936342592592593</v>
      </c>
      <c r="K343" s="15">
        <v>45514</v>
      </c>
      <c r="M343" s="2">
        <v>1.855</v>
      </c>
      <c r="O343" s="2">
        <f t="shared" si="37"/>
        <v>1.79</v>
      </c>
      <c r="P343" s="2">
        <f t="shared" si="38"/>
        <v>50.289580686149939</v>
      </c>
      <c r="Q343" s="2">
        <f t="shared" si="39"/>
        <v>0.21425000000000491</v>
      </c>
      <c r="R343" s="2">
        <f t="shared" si="40"/>
        <v>0.25151905972046329</v>
      </c>
      <c r="S343" s="2">
        <f t="shared" si="41"/>
        <v>-3.7269059720458381E-2</v>
      </c>
    </row>
    <row r="344" spans="2:19" x14ac:dyDescent="0.25">
      <c r="B344" s="1">
        <f t="shared" si="42"/>
        <v>338</v>
      </c>
      <c r="C344" s="1">
        <v>552</v>
      </c>
      <c r="D344" s="13">
        <v>42.8</v>
      </c>
      <c r="E344" s="1" t="s">
        <v>11</v>
      </c>
      <c r="F344" s="2">
        <v>1.93</v>
      </c>
      <c r="G344" s="1" t="s">
        <v>12</v>
      </c>
      <c r="H344" s="1" t="s">
        <v>13</v>
      </c>
      <c r="I344" s="1" t="s">
        <v>14</v>
      </c>
      <c r="J344" s="14">
        <v>0.56936342592592593</v>
      </c>
      <c r="K344" s="15">
        <v>45514</v>
      </c>
      <c r="M344" s="2">
        <v>1.86</v>
      </c>
      <c r="O344" s="2">
        <f t="shared" si="37"/>
        <v>1.7950000000000002</v>
      </c>
      <c r="P344" s="2">
        <f t="shared" si="38"/>
        <v>50.318043202033039</v>
      </c>
      <c r="Q344" s="2">
        <f t="shared" si="39"/>
        <v>0.21374999999999544</v>
      </c>
      <c r="R344" s="2">
        <f t="shared" si="40"/>
        <v>0.25166137229986757</v>
      </c>
      <c r="S344" s="2">
        <f t="shared" si="41"/>
        <v>-3.7911372299872126E-2</v>
      </c>
    </row>
    <row r="345" spans="2:19" x14ac:dyDescent="0.25">
      <c r="B345" s="1">
        <f t="shared" si="42"/>
        <v>339</v>
      </c>
      <c r="C345" s="1">
        <v>553</v>
      </c>
      <c r="D345" s="13">
        <v>42.7</v>
      </c>
      <c r="E345" s="1" t="s">
        <v>11</v>
      </c>
      <c r="F345" s="2">
        <v>1.9350000000000001</v>
      </c>
      <c r="G345" s="1" t="s">
        <v>12</v>
      </c>
      <c r="H345" s="1" t="s">
        <v>13</v>
      </c>
      <c r="I345" s="1" t="s">
        <v>14</v>
      </c>
      <c r="J345" s="14">
        <v>0.56936342592592593</v>
      </c>
      <c r="K345" s="15">
        <v>45514</v>
      </c>
      <c r="M345" s="2">
        <v>1.865</v>
      </c>
      <c r="O345" s="2">
        <f t="shared" si="37"/>
        <v>1.8</v>
      </c>
      <c r="P345" s="2">
        <f t="shared" si="38"/>
        <v>50.346505717916138</v>
      </c>
      <c r="Q345" s="2">
        <f t="shared" si="39"/>
        <v>0.21275000000000491</v>
      </c>
      <c r="R345" s="2">
        <f t="shared" si="40"/>
        <v>0.25180368487929428</v>
      </c>
      <c r="S345" s="2">
        <f t="shared" si="41"/>
        <v>-3.9053684879289369E-2</v>
      </c>
    </row>
    <row r="346" spans="2:19" x14ac:dyDescent="0.25">
      <c r="B346" s="1">
        <f t="shared" si="42"/>
        <v>340</v>
      </c>
      <c r="C346" s="1">
        <v>554</v>
      </c>
      <c r="D346" s="13">
        <v>42.4</v>
      </c>
      <c r="E346" s="1" t="s">
        <v>11</v>
      </c>
      <c r="F346" s="2">
        <v>1.94</v>
      </c>
      <c r="G346" s="1" t="s">
        <v>12</v>
      </c>
      <c r="H346" s="1" t="s">
        <v>13</v>
      </c>
      <c r="I346" s="1" t="s">
        <v>14</v>
      </c>
      <c r="J346" s="14">
        <v>0.56936342592592593</v>
      </c>
      <c r="K346" s="15">
        <v>45514</v>
      </c>
      <c r="M346" s="2">
        <v>1.87</v>
      </c>
      <c r="O346" s="2">
        <f t="shared" si="37"/>
        <v>1.8050000000000002</v>
      </c>
      <c r="P346" s="2">
        <f t="shared" si="38"/>
        <v>50.374968233799237</v>
      </c>
      <c r="Q346" s="2">
        <f t="shared" si="39"/>
        <v>0.424499999999991</v>
      </c>
      <c r="R346" s="2">
        <f t="shared" si="40"/>
        <v>0.50403430749681266</v>
      </c>
      <c r="S346" s="2">
        <f t="shared" si="41"/>
        <v>-7.9534307496821666E-2</v>
      </c>
    </row>
    <row r="347" spans="2:19" x14ac:dyDescent="0.25">
      <c r="B347" s="1">
        <f t="shared" si="42"/>
        <v>341</v>
      </c>
      <c r="C347" s="1">
        <v>555</v>
      </c>
      <c r="D347" s="13">
        <v>42.5</v>
      </c>
      <c r="E347" s="1" t="s">
        <v>11</v>
      </c>
      <c r="F347" s="2">
        <v>1.95</v>
      </c>
      <c r="G347" s="1" t="s">
        <v>12</v>
      </c>
      <c r="H347" s="1" t="s">
        <v>13</v>
      </c>
      <c r="I347" s="1" t="s">
        <v>14</v>
      </c>
      <c r="J347" s="14">
        <v>0.56936342592592593</v>
      </c>
      <c r="K347" s="15">
        <v>45514</v>
      </c>
      <c r="M347" s="2">
        <v>1.88</v>
      </c>
      <c r="O347" s="2">
        <f t="shared" si="37"/>
        <v>1.8149999999999999</v>
      </c>
      <c r="P347" s="2">
        <f t="shared" si="38"/>
        <v>50.431893265565435</v>
      </c>
      <c r="Q347" s="2">
        <f t="shared" si="39"/>
        <v>0.42600000000000038</v>
      </c>
      <c r="R347" s="2">
        <f t="shared" si="40"/>
        <v>0.50460355781448585</v>
      </c>
      <c r="S347" s="2">
        <f t="shared" si="41"/>
        <v>-7.860355781448547E-2</v>
      </c>
    </row>
    <row r="348" spans="2:19" x14ac:dyDescent="0.25">
      <c r="B348" s="1">
        <f t="shared" si="42"/>
        <v>342</v>
      </c>
      <c r="C348" s="1">
        <v>556</v>
      </c>
      <c r="D348" s="13">
        <v>42.7</v>
      </c>
      <c r="E348" s="1" t="s">
        <v>11</v>
      </c>
      <c r="F348" s="2">
        <v>1.96</v>
      </c>
      <c r="G348" s="1" t="s">
        <v>12</v>
      </c>
      <c r="H348" s="1" t="s">
        <v>13</v>
      </c>
      <c r="I348" s="1" t="s">
        <v>14</v>
      </c>
      <c r="J348" s="14">
        <v>0.56937499999999996</v>
      </c>
      <c r="K348" s="15">
        <v>45514</v>
      </c>
      <c r="M348" s="2">
        <v>1.89</v>
      </c>
      <c r="O348" s="2">
        <f t="shared" si="37"/>
        <v>1.825</v>
      </c>
      <c r="P348" s="2">
        <f t="shared" si="38"/>
        <v>50.48881829733164</v>
      </c>
      <c r="Q348" s="2">
        <f t="shared" si="39"/>
        <v>0.42650000000000043</v>
      </c>
      <c r="R348" s="2">
        <f t="shared" si="40"/>
        <v>0.50517280813214782</v>
      </c>
      <c r="S348" s="2">
        <f t="shared" si="41"/>
        <v>-7.8672808132147387E-2</v>
      </c>
    </row>
    <row r="349" spans="2:19" x14ac:dyDescent="0.25">
      <c r="B349" s="1">
        <f t="shared" si="42"/>
        <v>343</v>
      </c>
      <c r="C349" s="1">
        <v>557</v>
      </c>
      <c r="D349" s="13">
        <v>42.6</v>
      </c>
      <c r="E349" s="1" t="s">
        <v>11</v>
      </c>
      <c r="F349" s="2">
        <v>1.97</v>
      </c>
      <c r="G349" s="1" t="s">
        <v>12</v>
      </c>
      <c r="H349" s="1" t="s">
        <v>13</v>
      </c>
      <c r="I349" s="1" t="s">
        <v>14</v>
      </c>
      <c r="J349" s="14">
        <v>0.56937499999999996</v>
      </c>
      <c r="K349" s="15">
        <v>45514</v>
      </c>
      <c r="M349" s="2">
        <v>1.9</v>
      </c>
      <c r="O349" s="2">
        <f t="shared" si="37"/>
        <v>1.835</v>
      </c>
      <c r="P349" s="2">
        <f t="shared" si="38"/>
        <v>50.545743329097839</v>
      </c>
      <c r="Q349" s="2">
        <f t="shared" si="39"/>
        <v>0.21300000000000494</v>
      </c>
      <c r="R349" s="2">
        <f t="shared" si="40"/>
        <v>0.25279987293520279</v>
      </c>
      <c r="S349" s="2">
        <f t="shared" si="41"/>
        <v>-3.979987293519785E-2</v>
      </c>
    </row>
    <row r="350" spans="2:19" x14ac:dyDescent="0.25">
      <c r="B350" s="1">
        <f t="shared" si="42"/>
        <v>344</v>
      </c>
      <c r="C350" s="1">
        <v>558</v>
      </c>
      <c r="D350" s="13">
        <v>42.6</v>
      </c>
      <c r="E350" s="1" t="s">
        <v>11</v>
      </c>
      <c r="F350" s="2">
        <v>1.9750000000000001</v>
      </c>
      <c r="G350" s="1" t="s">
        <v>12</v>
      </c>
      <c r="H350" s="1" t="s">
        <v>13</v>
      </c>
      <c r="I350" s="1" t="s">
        <v>14</v>
      </c>
      <c r="J350" s="14">
        <v>0.56937499999999996</v>
      </c>
      <c r="K350" s="15">
        <v>45514</v>
      </c>
      <c r="M350" s="2">
        <v>1.905</v>
      </c>
      <c r="O350" s="2">
        <f t="shared" si="37"/>
        <v>1.84</v>
      </c>
      <c r="P350" s="2">
        <f t="shared" si="38"/>
        <v>50.574205844980938</v>
      </c>
      <c r="Q350" s="2">
        <f t="shared" si="39"/>
        <v>0.42550000000000032</v>
      </c>
      <c r="R350" s="2">
        <f t="shared" si="40"/>
        <v>0.50602668360864089</v>
      </c>
      <c r="S350" s="2">
        <f t="shared" si="41"/>
        <v>-8.052668360864057E-2</v>
      </c>
    </row>
    <row r="351" spans="2:19" x14ac:dyDescent="0.25">
      <c r="B351" s="1">
        <f t="shared" si="42"/>
        <v>345</v>
      </c>
      <c r="C351" s="1">
        <v>559</v>
      </c>
      <c r="D351" s="13">
        <v>42.5</v>
      </c>
      <c r="E351" s="1" t="s">
        <v>11</v>
      </c>
      <c r="F351" s="2">
        <v>1.9850000000000001</v>
      </c>
      <c r="G351" s="1" t="s">
        <v>12</v>
      </c>
      <c r="H351" s="1" t="s">
        <v>13</v>
      </c>
      <c r="I351" s="1" t="s">
        <v>14</v>
      </c>
      <c r="J351" s="14">
        <v>0.56937499999999996</v>
      </c>
      <c r="K351" s="15">
        <v>45514</v>
      </c>
      <c r="M351" s="2">
        <v>1.915</v>
      </c>
      <c r="O351" s="2">
        <f t="shared" si="37"/>
        <v>1.85</v>
      </c>
      <c r="P351" s="2">
        <f t="shared" si="38"/>
        <v>50.631130876747143</v>
      </c>
      <c r="Q351" s="2">
        <f t="shared" si="39"/>
        <v>0.21274999999999544</v>
      </c>
      <c r="R351" s="2">
        <f t="shared" si="40"/>
        <v>0.25322681067343811</v>
      </c>
      <c r="S351" s="2">
        <f t="shared" si="41"/>
        <v>-4.0476810673442665E-2</v>
      </c>
    </row>
    <row r="352" spans="2:19" x14ac:dyDescent="0.25">
      <c r="B352" s="1">
        <f t="shared" si="42"/>
        <v>346</v>
      </c>
      <c r="C352" s="1">
        <v>560</v>
      </c>
      <c r="D352" s="13">
        <v>42.6</v>
      </c>
      <c r="E352" s="1" t="s">
        <v>11</v>
      </c>
      <c r="F352" s="2">
        <v>1.99</v>
      </c>
      <c r="G352" s="1" t="s">
        <v>12</v>
      </c>
      <c r="H352" s="1" t="s">
        <v>13</v>
      </c>
      <c r="I352" s="1" t="s">
        <v>14</v>
      </c>
      <c r="J352" s="14">
        <v>0.56937499999999996</v>
      </c>
      <c r="K352" s="15">
        <v>45514</v>
      </c>
      <c r="M352" s="2">
        <v>1.92</v>
      </c>
      <c r="O352" s="2">
        <f t="shared" si="37"/>
        <v>1.855</v>
      </c>
      <c r="P352" s="2">
        <f t="shared" si="38"/>
        <v>50.659593392630242</v>
      </c>
      <c r="Q352" s="2">
        <f t="shared" si="39"/>
        <v>0.21325000000000496</v>
      </c>
      <c r="R352" s="2">
        <f t="shared" si="40"/>
        <v>0.25336912325286481</v>
      </c>
      <c r="S352" s="2">
        <f t="shared" si="41"/>
        <v>-4.0119123252859851E-2</v>
      </c>
    </row>
    <row r="353" spans="2:19" x14ac:dyDescent="0.25">
      <c r="B353" s="1">
        <f t="shared" si="42"/>
        <v>347</v>
      </c>
      <c r="C353" s="1">
        <v>561</v>
      </c>
      <c r="D353" s="13">
        <v>42.7</v>
      </c>
      <c r="E353" s="1" t="s">
        <v>11</v>
      </c>
      <c r="F353" s="2">
        <v>1.9950000000000001</v>
      </c>
      <c r="G353" s="1" t="s">
        <v>12</v>
      </c>
      <c r="H353" s="1" t="s">
        <v>13</v>
      </c>
      <c r="I353" s="1" t="s">
        <v>14</v>
      </c>
      <c r="J353" s="14">
        <v>0.56937499999999996</v>
      </c>
      <c r="K353" s="15">
        <v>45514</v>
      </c>
      <c r="M353" s="2">
        <v>1.925</v>
      </c>
      <c r="O353" s="2">
        <f t="shared" si="37"/>
        <v>1.86</v>
      </c>
      <c r="P353" s="2">
        <f t="shared" si="38"/>
        <v>50.688055908513341</v>
      </c>
      <c r="Q353" s="2">
        <f t="shared" si="39"/>
        <v>0.21349999999999547</v>
      </c>
      <c r="R353" s="2">
        <f t="shared" si="40"/>
        <v>0.25351143583226909</v>
      </c>
      <c r="S353" s="2">
        <f t="shared" si="41"/>
        <v>-4.0011435832273623E-2</v>
      </c>
    </row>
    <row r="354" spans="2:19" x14ac:dyDescent="0.25">
      <c r="B354" s="1">
        <f t="shared" si="42"/>
        <v>348</v>
      </c>
      <c r="C354" s="1">
        <v>562</v>
      </c>
      <c r="D354" s="13">
        <v>42.7</v>
      </c>
      <c r="E354" s="1" t="s">
        <v>11</v>
      </c>
      <c r="F354" s="2">
        <v>2</v>
      </c>
      <c r="G354" s="1" t="s">
        <v>12</v>
      </c>
      <c r="H354" s="1" t="s">
        <v>13</v>
      </c>
      <c r="I354" s="1" t="s">
        <v>14</v>
      </c>
      <c r="J354" s="14">
        <v>0.56937499999999996</v>
      </c>
      <c r="K354" s="15">
        <v>45514</v>
      </c>
      <c r="M354" s="2">
        <v>1.93</v>
      </c>
      <c r="O354" s="2">
        <f t="shared" si="37"/>
        <v>1.865</v>
      </c>
      <c r="P354" s="2">
        <f t="shared" si="38"/>
        <v>50.71651842439644</v>
      </c>
      <c r="Q354" s="2">
        <f t="shared" si="39"/>
        <v>0.42750000000000038</v>
      </c>
      <c r="R354" s="2">
        <f t="shared" si="40"/>
        <v>0.50744980940279594</v>
      </c>
      <c r="S354" s="2">
        <f t="shared" si="41"/>
        <v>-7.9949809402795557E-2</v>
      </c>
    </row>
    <row r="355" spans="2:19" x14ac:dyDescent="0.25">
      <c r="B355" s="1">
        <f t="shared" si="42"/>
        <v>349</v>
      </c>
      <c r="C355" s="1">
        <v>563</v>
      </c>
      <c r="D355" s="13">
        <v>42.8</v>
      </c>
      <c r="E355" s="1" t="s">
        <v>11</v>
      </c>
      <c r="F355" s="2">
        <v>2.0099999999999998</v>
      </c>
      <c r="G355" s="1" t="s">
        <v>12</v>
      </c>
      <c r="H355" s="1" t="s">
        <v>13</v>
      </c>
      <c r="I355" s="1" t="s">
        <v>14</v>
      </c>
      <c r="J355" s="14">
        <v>0.56937499999999996</v>
      </c>
      <c r="K355" s="15">
        <v>45514</v>
      </c>
      <c r="M355" s="2">
        <v>1.94</v>
      </c>
      <c r="O355" s="2">
        <f t="shared" si="37"/>
        <v>1.875</v>
      </c>
      <c r="P355" s="2">
        <f t="shared" si="38"/>
        <v>50.773443456162646</v>
      </c>
      <c r="Q355" s="2">
        <f t="shared" si="39"/>
        <v>0.21400000000000494</v>
      </c>
      <c r="R355" s="2">
        <f t="shared" si="40"/>
        <v>0.25393837357052684</v>
      </c>
      <c r="S355" s="2">
        <f t="shared" si="41"/>
        <v>-3.9938373570521907E-2</v>
      </c>
    </row>
    <row r="356" spans="2:19" x14ac:dyDescent="0.25">
      <c r="B356" s="1">
        <f t="shared" si="42"/>
        <v>350</v>
      </c>
      <c r="C356" s="1">
        <v>564</v>
      </c>
      <c r="D356" s="13">
        <v>42.8</v>
      </c>
      <c r="E356" s="1" t="s">
        <v>11</v>
      </c>
      <c r="F356" s="2">
        <v>2.0150000000000001</v>
      </c>
      <c r="G356" s="1" t="s">
        <v>12</v>
      </c>
      <c r="H356" s="1" t="s">
        <v>13</v>
      </c>
      <c r="I356" s="1" t="s">
        <v>14</v>
      </c>
      <c r="J356" s="14">
        <v>0.56937499999999996</v>
      </c>
      <c r="K356" s="15">
        <v>45514</v>
      </c>
      <c r="M356" s="2">
        <v>1.9450000000000001</v>
      </c>
      <c r="O356" s="2">
        <f t="shared" si="37"/>
        <v>1.8800000000000001</v>
      </c>
      <c r="P356" s="2">
        <f t="shared" si="38"/>
        <v>50.801905972045745</v>
      </c>
      <c r="Q356" s="2">
        <f t="shared" si="39"/>
        <v>0.42700000000000043</v>
      </c>
      <c r="R356" s="2">
        <f t="shared" si="40"/>
        <v>0.5083036848792889</v>
      </c>
      <c r="S356" s="2">
        <f t="shared" si="41"/>
        <v>-8.1303684879288463E-2</v>
      </c>
    </row>
    <row r="357" spans="2:19" x14ac:dyDescent="0.25">
      <c r="B357" s="1">
        <f t="shared" si="42"/>
        <v>351</v>
      </c>
      <c r="C357" s="1">
        <v>565</v>
      </c>
      <c r="D357" s="13">
        <v>42.6</v>
      </c>
      <c r="E357" s="1" t="s">
        <v>11</v>
      </c>
      <c r="F357" s="2">
        <v>2.0249999999999999</v>
      </c>
      <c r="G357" s="1" t="s">
        <v>12</v>
      </c>
      <c r="H357" s="1" t="s">
        <v>13</v>
      </c>
      <c r="I357" s="1" t="s">
        <v>14</v>
      </c>
      <c r="J357" s="14">
        <v>0.56937499999999996</v>
      </c>
      <c r="K357" s="15">
        <v>45514</v>
      </c>
      <c r="M357" s="2">
        <v>1.9550000000000001</v>
      </c>
      <c r="O357" s="2">
        <f t="shared" si="37"/>
        <v>1.8900000000000001</v>
      </c>
      <c r="P357" s="2">
        <f t="shared" si="38"/>
        <v>50.858831003811943</v>
      </c>
      <c r="Q357" s="2">
        <f t="shared" si="39"/>
        <v>0.42600000000000038</v>
      </c>
      <c r="R357" s="2">
        <f t="shared" si="40"/>
        <v>0.50887293519695098</v>
      </c>
      <c r="S357" s="2">
        <f t="shared" si="41"/>
        <v>-8.2872935196950603E-2</v>
      </c>
    </row>
    <row r="358" spans="2:19" x14ac:dyDescent="0.25">
      <c r="B358" s="1">
        <f t="shared" si="42"/>
        <v>352</v>
      </c>
      <c r="C358" s="1">
        <v>566</v>
      </c>
      <c r="D358" s="13">
        <v>42.6</v>
      </c>
      <c r="E358" s="1" t="s">
        <v>11</v>
      </c>
      <c r="F358" s="2">
        <v>2.0350000000000001</v>
      </c>
      <c r="G358" s="1" t="s">
        <v>12</v>
      </c>
      <c r="H358" s="1" t="s">
        <v>13</v>
      </c>
      <c r="I358" s="1" t="s">
        <v>14</v>
      </c>
      <c r="J358" s="14">
        <v>0.56938657407407411</v>
      </c>
      <c r="K358" s="15">
        <v>45514</v>
      </c>
      <c r="M358" s="2">
        <v>1.9650000000000001</v>
      </c>
      <c r="O358" s="2">
        <f t="shared" si="37"/>
        <v>1.9000000000000001</v>
      </c>
      <c r="P358" s="2">
        <f t="shared" si="38"/>
        <v>50.915756035578148</v>
      </c>
      <c r="Q358" s="2">
        <f t="shared" si="39"/>
        <v>0.21474999999999544</v>
      </c>
      <c r="R358" s="2">
        <f t="shared" si="40"/>
        <v>0.2546499364675931</v>
      </c>
      <c r="S358" s="2">
        <f t="shared" si="41"/>
        <v>-3.9899936467597652E-2</v>
      </c>
    </row>
    <row r="359" spans="2:19" x14ac:dyDescent="0.25">
      <c r="B359" s="1">
        <f t="shared" si="42"/>
        <v>353</v>
      </c>
      <c r="C359" s="1">
        <v>567</v>
      </c>
      <c r="D359" s="13">
        <v>43.3</v>
      </c>
      <c r="E359" s="1" t="s">
        <v>11</v>
      </c>
      <c r="F359" s="2">
        <v>2.04</v>
      </c>
      <c r="G359" s="1" t="s">
        <v>12</v>
      </c>
      <c r="H359" s="1" t="s">
        <v>13</v>
      </c>
      <c r="I359" s="1" t="s">
        <v>14</v>
      </c>
      <c r="J359" s="14">
        <v>0.56938657407407411</v>
      </c>
      <c r="K359" s="15">
        <v>45514</v>
      </c>
      <c r="M359" s="2">
        <v>1.97</v>
      </c>
      <c r="O359" s="2">
        <f t="shared" si="37"/>
        <v>1.905</v>
      </c>
      <c r="P359" s="2">
        <f t="shared" si="38"/>
        <v>50.944218551461248</v>
      </c>
      <c r="Q359" s="2">
        <f t="shared" si="39"/>
        <v>0.43350000000000033</v>
      </c>
      <c r="R359" s="2">
        <f t="shared" si="40"/>
        <v>0.50972681067344394</v>
      </c>
      <c r="S359" s="2">
        <f t="shared" si="41"/>
        <v>-7.6226810673443612E-2</v>
      </c>
    </row>
    <row r="360" spans="2:19" x14ac:dyDescent="0.25">
      <c r="B360" s="1">
        <f t="shared" si="42"/>
        <v>354</v>
      </c>
      <c r="C360" s="1">
        <v>568</v>
      </c>
      <c r="D360" s="13">
        <v>43.4</v>
      </c>
      <c r="E360" s="1" t="s">
        <v>11</v>
      </c>
      <c r="F360" s="2">
        <v>2.0499999999999998</v>
      </c>
      <c r="G360" s="1" t="s">
        <v>12</v>
      </c>
      <c r="H360" s="1" t="s">
        <v>13</v>
      </c>
      <c r="I360" s="1" t="s">
        <v>14</v>
      </c>
      <c r="J360" s="14">
        <v>0.56938657407407411</v>
      </c>
      <c r="K360" s="15">
        <v>45514</v>
      </c>
      <c r="M360" s="2">
        <v>1.98</v>
      </c>
      <c r="O360" s="2">
        <f t="shared" si="37"/>
        <v>1.915</v>
      </c>
      <c r="P360" s="2">
        <f t="shared" si="38"/>
        <v>51.001143583227446</v>
      </c>
      <c r="Q360" s="2">
        <f t="shared" si="39"/>
        <v>0.21675000000000497</v>
      </c>
      <c r="R360" s="2">
        <f t="shared" si="40"/>
        <v>0.2550768742058509</v>
      </c>
      <c r="S360" s="2">
        <f t="shared" si="41"/>
        <v>-3.8326874205845934E-2</v>
      </c>
    </row>
    <row r="361" spans="2:19" x14ac:dyDescent="0.25">
      <c r="B361" s="1">
        <f t="shared" si="42"/>
        <v>355</v>
      </c>
      <c r="C361" s="1">
        <v>569</v>
      </c>
      <c r="D361" s="13">
        <v>43.3</v>
      </c>
      <c r="E361" s="1" t="s">
        <v>11</v>
      </c>
      <c r="F361" s="2">
        <v>2.0550000000000002</v>
      </c>
      <c r="G361" s="1" t="s">
        <v>12</v>
      </c>
      <c r="H361" s="1" t="s">
        <v>13</v>
      </c>
      <c r="I361" s="1" t="s">
        <v>14</v>
      </c>
      <c r="J361" s="14">
        <v>0.56938657407407411</v>
      </c>
      <c r="K361" s="15">
        <v>45514</v>
      </c>
      <c r="M361" s="2">
        <v>1.9850000000000001</v>
      </c>
      <c r="O361" s="2">
        <f t="shared" si="37"/>
        <v>1.9200000000000002</v>
      </c>
      <c r="P361" s="2">
        <f t="shared" si="38"/>
        <v>51.029606099110552</v>
      </c>
      <c r="Q361" s="2">
        <f t="shared" si="39"/>
        <v>0.43250000000000038</v>
      </c>
      <c r="R361" s="2">
        <f t="shared" si="40"/>
        <v>0.51058068614993701</v>
      </c>
      <c r="S361" s="2">
        <f t="shared" si="41"/>
        <v>-7.8080686149936629E-2</v>
      </c>
    </row>
    <row r="362" spans="2:19" x14ac:dyDescent="0.25">
      <c r="B362" s="1">
        <f t="shared" si="42"/>
        <v>356</v>
      </c>
      <c r="C362" s="1">
        <v>570</v>
      </c>
      <c r="D362" s="13">
        <v>43.2</v>
      </c>
      <c r="E362" s="1" t="s">
        <v>11</v>
      </c>
      <c r="F362" s="2">
        <v>2.0649999999999999</v>
      </c>
      <c r="G362" s="1" t="s">
        <v>12</v>
      </c>
      <c r="H362" s="1" t="s">
        <v>13</v>
      </c>
      <c r="I362" s="1" t="s">
        <v>14</v>
      </c>
      <c r="J362" s="14">
        <v>0.56938657407407411</v>
      </c>
      <c r="K362" s="15">
        <v>45514</v>
      </c>
      <c r="M362" s="2">
        <v>1.9950000000000001</v>
      </c>
      <c r="O362" s="2">
        <f t="shared" si="37"/>
        <v>1.9300000000000002</v>
      </c>
      <c r="P362" s="2">
        <f t="shared" si="38"/>
        <v>51.08653113087675</v>
      </c>
      <c r="Q362" s="2">
        <f t="shared" si="39"/>
        <v>0.21624999999999539</v>
      </c>
      <c r="R362" s="2">
        <f t="shared" si="40"/>
        <v>0.25550381194408606</v>
      </c>
      <c r="S362" s="2">
        <f t="shared" si="41"/>
        <v>-3.9253811944090666E-2</v>
      </c>
    </row>
    <row r="363" spans="2:19" x14ac:dyDescent="0.25">
      <c r="B363" s="1">
        <f t="shared" si="42"/>
        <v>357</v>
      </c>
      <c r="C363" s="1">
        <v>571</v>
      </c>
      <c r="D363" s="13">
        <v>43.3</v>
      </c>
      <c r="E363" s="1" t="s">
        <v>11</v>
      </c>
      <c r="F363" s="2">
        <v>2.0699999999999998</v>
      </c>
      <c r="G363" s="1" t="s">
        <v>12</v>
      </c>
      <c r="H363" s="1" t="s">
        <v>13</v>
      </c>
      <c r="I363" s="1" t="s">
        <v>14</v>
      </c>
      <c r="J363" s="14">
        <v>0.56938657407407411</v>
      </c>
      <c r="K363" s="15">
        <v>45514</v>
      </c>
      <c r="M363" s="2">
        <v>2</v>
      </c>
      <c r="O363" s="2">
        <f t="shared" si="37"/>
        <v>1.9350000000000001</v>
      </c>
      <c r="P363" s="2">
        <f t="shared" si="38"/>
        <v>51.114993646759849</v>
      </c>
      <c r="Q363" s="2">
        <f t="shared" si="39"/>
        <v>0.21649999999999536</v>
      </c>
      <c r="R363" s="2">
        <f t="shared" si="40"/>
        <v>0.25564612452350155</v>
      </c>
      <c r="S363" s="2">
        <f t="shared" si="41"/>
        <v>-3.9146124523506187E-2</v>
      </c>
    </row>
    <row r="364" spans="2:19" x14ac:dyDescent="0.25">
      <c r="B364" s="1">
        <f t="shared" si="42"/>
        <v>358</v>
      </c>
      <c r="C364" s="1">
        <v>572</v>
      </c>
      <c r="D364" s="13">
        <v>43.3</v>
      </c>
      <c r="E364" s="1" t="s">
        <v>11</v>
      </c>
      <c r="F364" s="2">
        <v>2.0750000000000002</v>
      </c>
      <c r="G364" s="1" t="s">
        <v>12</v>
      </c>
      <c r="H364" s="1" t="s">
        <v>13</v>
      </c>
      <c r="I364" s="1" t="s">
        <v>14</v>
      </c>
      <c r="J364" s="14">
        <v>0.56938657407407411</v>
      </c>
      <c r="K364" s="15">
        <v>45514</v>
      </c>
      <c r="M364" s="2">
        <v>2.0049999999999999</v>
      </c>
      <c r="O364" s="2">
        <f t="shared" si="37"/>
        <v>1.94</v>
      </c>
      <c r="P364" s="2">
        <f t="shared" si="38"/>
        <v>51.143456162642948</v>
      </c>
      <c r="Q364" s="2">
        <f t="shared" si="39"/>
        <v>0.43250000000000999</v>
      </c>
      <c r="R364" s="2">
        <f t="shared" si="40"/>
        <v>0.51171918678527228</v>
      </c>
      <c r="S364" s="2">
        <f t="shared" si="41"/>
        <v>-7.9219186785262297E-2</v>
      </c>
    </row>
    <row r="365" spans="2:19" x14ac:dyDescent="0.25">
      <c r="B365" s="1">
        <f t="shared" si="42"/>
        <v>359</v>
      </c>
      <c r="C365" s="1">
        <v>573</v>
      </c>
      <c r="D365" s="13">
        <v>43.2</v>
      </c>
      <c r="E365" s="1" t="s">
        <v>11</v>
      </c>
      <c r="F365" s="2">
        <v>2.085</v>
      </c>
      <c r="G365" s="1" t="s">
        <v>12</v>
      </c>
      <c r="H365" s="1" t="s">
        <v>13</v>
      </c>
      <c r="I365" s="1" t="s">
        <v>14</v>
      </c>
      <c r="J365" s="14">
        <v>0.56938657407407411</v>
      </c>
      <c r="K365" s="15">
        <v>45514</v>
      </c>
      <c r="M365" s="2">
        <v>2.0150000000000001</v>
      </c>
      <c r="O365" s="2">
        <f t="shared" si="37"/>
        <v>1.9500000000000002</v>
      </c>
      <c r="P365" s="2">
        <f t="shared" si="38"/>
        <v>51.200381194409147</v>
      </c>
      <c r="Q365" s="2">
        <f t="shared" si="39"/>
        <v>0.21624999999999539</v>
      </c>
      <c r="R365" s="2">
        <f t="shared" si="40"/>
        <v>0.25607306226174803</v>
      </c>
      <c r="S365" s="2">
        <f t="shared" si="41"/>
        <v>-3.982306226175264E-2</v>
      </c>
    </row>
    <row r="366" spans="2:19" x14ac:dyDescent="0.25">
      <c r="B366" s="1">
        <f t="shared" si="42"/>
        <v>360</v>
      </c>
      <c r="C366" s="1">
        <v>574</v>
      </c>
      <c r="D366" s="13">
        <v>43.3</v>
      </c>
      <c r="E366" s="1" t="s">
        <v>11</v>
      </c>
      <c r="F366" s="2">
        <v>2.09</v>
      </c>
      <c r="G366" s="1" t="s">
        <v>12</v>
      </c>
      <c r="H366" s="1" t="s">
        <v>13</v>
      </c>
      <c r="I366" s="1" t="s">
        <v>14</v>
      </c>
      <c r="J366" s="14">
        <v>0.56938657407407411</v>
      </c>
      <c r="K366" s="15">
        <v>45514</v>
      </c>
      <c r="M366" s="2">
        <v>2.02</v>
      </c>
      <c r="O366" s="2">
        <f t="shared" si="37"/>
        <v>1.9550000000000001</v>
      </c>
      <c r="P366" s="2">
        <f t="shared" si="38"/>
        <v>51.228843710292253</v>
      </c>
      <c r="Q366" s="2">
        <f t="shared" si="39"/>
        <v>0.43399999999999073</v>
      </c>
      <c r="R366" s="2">
        <f t="shared" si="40"/>
        <v>0.5125730622617426</v>
      </c>
      <c r="S366" s="2">
        <f t="shared" si="41"/>
        <v>-7.8573062261751869E-2</v>
      </c>
    </row>
    <row r="367" spans="2:19" x14ac:dyDescent="0.25">
      <c r="B367" s="1">
        <f t="shared" si="42"/>
        <v>361</v>
      </c>
      <c r="C367" s="1">
        <v>575</v>
      </c>
      <c r="D367" s="13">
        <v>43.5</v>
      </c>
      <c r="E367" s="1" t="s">
        <v>11</v>
      </c>
      <c r="F367" s="2">
        <v>2.1</v>
      </c>
      <c r="G367" s="1" t="s">
        <v>12</v>
      </c>
      <c r="H367" s="1" t="s">
        <v>13</v>
      </c>
      <c r="I367" s="1" t="s">
        <v>14</v>
      </c>
      <c r="J367" s="14">
        <v>0.56938657407407411</v>
      </c>
      <c r="K367" s="15">
        <v>45514</v>
      </c>
      <c r="M367" s="2">
        <v>2.0299999999999998</v>
      </c>
      <c r="O367" s="2">
        <f t="shared" si="37"/>
        <v>1.9649999999999999</v>
      </c>
      <c r="P367" s="2">
        <f t="shared" si="38"/>
        <v>51.285768742058451</v>
      </c>
      <c r="Q367" s="2">
        <f t="shared" si="39"/>
        <v>0.43500000000001005</v>
      </c>
      <c r="R367" s="2">
        <f t="shared" si="40"/>
        <v>0.51314231257942733</v>
      </c>
      <c r="S367" s="2">
        <f t="shared" si="41"/>
        <v>-7.8142312579417283E-2</v>
      </c>
    </row>
    <row r="368" spans="2:19" x14ac:dyDescent="0.25">
      <c r="B368" s="1">
        <f t="shared" si="42"/>
        <v>362</v>
      </c>
      <c r="C368" s="1">
        <v>576</v>
      </c>
      <c r="D368" s="13">
        <v>43.5</v>
      </c>
      <c r="E368" s="1" t="s">
        <v>11</v>
      </c>
      <c r="F368" s="2">
        <v>2.11</v>
      </c>
      <c r="G368" s="1" t="s">
        <v>12</v>
      </c>
      <c r="H368" s="1" t="s">
        <v>13</v>
      </c>
      <c r="I368" s="1" t="s">
        <v>14</v>
      </c>
      <c r="J368" s="14">
        <v>0.56939814814814815</v>
      </c>
      <c r="K368" s="15">
        <v>45514</v>
      </c>
      <c r="M368" s="2">
        <v>2.04</v>
      </c>
      <c r="O368" s="2">
        <f t="shared" si="37"/>
        <v>1.9750000000000001</v>
      </c>
      <c r="P368" s="2">
        <f t="shared" si="38"/>
        <v>51.342693773824649</v>
      </c>
      <c r="Q368" s="2">
        <f t="shared" si="39"/>
        <v>0.21749999999999536</v>
      </c>
      <c r="R368" s="2">
        <f t="shared" si="40"/>
        <v>0.25678462515882555</v>
      </c>
      <c r="S368" s="2">
        <f t="shared" si="41"/>
        <v>-3.9284625158830189E-2</v>
      </c>
    </row>
    <row r="369" spans="2:19" x14ac:dyDescent="0.25">
      <c r="B369" s="1">
        <f t="shared" si="42"/>
        <v>363</v>
      </c>
      <c r="C369" s="1">
        <v>577</v>
      </c>
      <c r="D369" s="13">
        <v>43.5</v>
      </c>
      <c r="E369" s="1" t="s">
        <v>11</v>
      </c>
      <c r="F369" s="2">
        <v>2.1150000000000002</v>
      </c>
      <c r="G369" s="1" t="s">
        <v>12</v>
      </c>
      <c r="H369" s="1" t="s">
        <v>13</v>
      </c>
      <c r="I369" s="1" t="s">
        <v>14</v>
      </c>
      <c r="J369" s="14">
        <v>0.56939814814814815</v>
      </c>
      <c r="K369" s="15">
        <v>45514</v>
      </c>
      <c r="M369" s="2">
        <v>2.0449999999999999</v>
      </c>
      <c r="O369" s="2">
        <f t="shared" si="37"/>
        <v>1.98</v>
      </c>
      <c r="P369" s="2">
        <f t="shared" si="38"/>
        <v>51.371156289707756</v>
      </c>
      <c r="Q369" s="2">
        <f t="shared" si="39"/>
        <v>0.4375000000000101</v>
      </c>
      <c r="R369" s="2">
        <f t="shared" si="40"/>
        <v>0.5139961880559204</v>
      </c>
      <c r="S369" s="2">
        <f t="shared" si="41"/>
        <v>-7.6496188055910297E-2</v>
      </c>
    </row>
    <row r="370" spans="2:19" x14ac:dyDescent="0.25">
      <c r="B370" s="1">
        <f t="shared" si="42"/>
        <v>364</v>
      </c>
      <c r="C370" s="1">
        <v>578</v>
      </c>
      <c r="D370" s="13">
        <v>44</v>
      </c>
      <c r="E370" s="1" t="s">
        <v>11</v>
      </c>
      <c r="F370" s="2">
        <v>2.125</v>
      </c>
      <c r="G370" s="1" t="s">
        <v>12</v>
      </c>
      <c r="H370" s="1" t="s">
        <v>13</v>
      </c>
      <c r="I370" s="1" t="s">
        <v>14</v>
      </c>
      <c r="J370" s="14">
        <v>0.56939814814814815</v>
      </c>
      <c r="K370" s="15">
        <v>45514</v>
      </c>
      <c r="M370" s="2">
        <v>2.0550000000000002</v>
      </c>
      <c r="O370" s="2">
        <f t="shared" si="37"/>
        <v>1.9900000000000002</v>
      </c>
      <c r="P370" s="2">
        <f t="shared" si="38"/>
        <v>51.428081321473954</v>
      </c>
      <c r="Q370" s="2">
        <f t="shared" si="39"/>
        <v>0.44149999999999057</v>
      </c>
      <c r="R370" s="2">
        <f t="shared" si="40"/>
        <v>0.51456543837355961</v>
      </c>
      <c r="S370" s="2">
        <f t="shared" si="41"/>
        <v>-7.3065438373569047E-2</v>
      </c>
    </row>
    <row r="371" spans="2:19" x14ac:dyDescent="0.25">
      <c r="B371" s="1">
        <f t="shared" si="42"/>
        <v>365</v>
      </c>
      <c r="C371" s="1">
        <v>579</v>
      </c>
      <c r="D371" s="13">
        <v>44.3</v>
      </c>
      <c r="E371" s="1" t="s">
        <v>11</v>
      </c>
      <c r="F371" s="2">
        <v>2.1349999999999998</v>
      </c>
      <c r="G371" s="1" t="s">
        <v>12</v>
      </c>
      <c r="H371" s="1" t="s">
        <v>13</v>
      </c>
      <c r="I371" s="1" t="s">
        <v>14</v>
      </c>
      <c r="J371" s="14">
        <v>0.56939814814814815</v>
      </c>
      <c r="K371" s="15">
        <v>45514</v>
      </c>
      <c r="M371" s="2">
        <v>2.0649999999999999</v>
      </c>
      <c r="O371" s="2">
        <f t="shared" si="37"/>
        <v>2</v>
      </c>
      <c r="P371" s="2">
        <f t="shared" si="38"/>
        <v>51.485006353240152</v>
      </c>
      <c r="Q371" s="2">
        <f t="shared" si="39"/>
        <v>0.22299999999999523</v>
      </c>
      <c r="R371" s="2">
        <f t="shared" si="40"/>
        <v>0.25749618805590302</v>
      </c>
      <c r="S371" s="2">
        <f t="shared" si="41"/>
        <v>-3.4496188055907789E-2</v>
      </c>
    </row>
    <row r="372" spans="2:19" x14ac:dyDescent="0.25">
      <c r="B372" s="1">
        <f t="shared" si="42"/>
        <v>366</v>
      </c>
      <c r="C372" s="1">
        <v>580</v>
      </c>
      <c r="D372" s="13">
        <v>44.9</v>
      </c>
      <c r="E372" s="1" t="s">
        <v>11</v>
      </c>
      <c r="F372" s="2">
        <v>2.14</v>
      </c>
      <c r="G372" s="1" t="s">
        <v>12</v>
      </c>
      <c r="H372" s="1" t="s">
        <v>13</v>
      </c>
      <c r="I372" s="1" t="s">
        <v>14</v>
      </c>
      <c r="J372" s="14">
        <v>0.56939814814814815</v>
      </c>
      <c r="K372" s="15">
        <v>45514</v>
      </c>
      <c r="M372" s="2">
        <v>2.0699999999999998</v>
      </c>
      <c r="O372" s="2">
        <f t="shared" si="37"/>
        <v>2.0049999999999999</v>
      </c>
      <c r="P372" s="2">
        <f t="shared" si="38"/>
        <v>51.513468869123251</v>
      </c>
      <c r="Q372" s="2">
        <f t="shared" si="39"/>
        <v>0.45250000000001045</v>
      </c>
      <c r="R372" s="2">
        <f t="shared" si="40"/>
        <v>0.51541931385007544</v>
      </c>
      <c r="S372" s="2">
        <f t="shared" si="41"/>
        <v>-6.2919313850064995E-2</v>
      </c>
    </row>
    <row r="373" spans="2:19" x14ac:dyDescent="0.25">
      <c r="B373" s="1">
        <f t="shared" si="42"/>
        <v>367</v>
      </c>
      <c r="C373" s="1">
        <v>581</v>
      </c>
      <c r="D373" s="13">
        <v>45.6</v>
      </c>
      <c r="E373" s="1" t="s">
        <v>11</v>
      </c>
      <c r="F373" s="2">
        <v>2.15</v>
      </c>
      <c r="G373" s="1" t="s">
        <v>12</v>
      </c>
      <c r="H373" s="1" t="s">
        <v>13</v>
      </c>
      <c r="I373" s="1" t="s">
        <v>14</v>
      </c>
      <c r="J373" s="14">
        <v>0.56939814814814815</v>
      </c>
      <c r="K373" s="15">
        <v>45514</v>
      </c>
      <c r="M373" s="2">
        <v>2.08</v>
      </c>
      <c r="O373" s="2">
        <f t="shared" si="37"/>
        <v>2.0150000000000001</v>
      </c>
      <c r="P373" s="2">
        <f t="shared" si="38"/>
        <v>51.570393900889457</v>
      </c>
      <c r="Q373" s="2">
        <f t="shared" si="39"/>
        <v>0.22974999999999512</v>
      </c>
      <c r="R373" s="2">
        <f t="shared" si="40"/>
        <v>0.2579231257941495</v>
      </c>
      <c r="S373" s="2">
        <f t="shared" si="41"/>
        <v>-2.8173125794154374E-2</v>
      </c>
    </row>
    <row r="374" spans="2:19" x14ac:dyDescent="0.25">
      <c r="B374" s="1">
        <f t="shared" si="42"/>
        <v>368</v>
      </c>
      <c r="C374" s="1">
        <v>582</v>
      </c>
      <c r="D374" s="13">
        <v>46.3</v>
      </c>
      <c r="E374" s="1" t="s">
        <v>11</v>
      </c>
      <c r="F374" s="2">
        <v>2.1549999999999998</v>
      </c>
      <c r="G374" s="1" t="s">
        <v>12</v>
      </c>
      <c r="H374" s="1" t="s">
        <v>13</v>
      </c>
      <c r="I374" s="1" t="s">
        <v>14</v>
      </c>
      <c r="J374" s="14">
        <v>0.56939814814814815</v>
      </c>
      <c r="K374" s="15">
        <v>45514</v>
      </c>
      <c r="M374" s="2">
        <v>2.085</v>
      </c>
      <c r="O374" s="2">
        <f t="shared" si="37"/>
        <v>2.02</v>
      </c>
      <c r="P374" s="2">
        <f t="shared" si="38"/>
        <v>51.598856416772556</v>
      </c>
      <c r="Q374" s="2">
        <f t="shared" si="39"/>
        <v>0.46650000000001074</v>
      </c>
      <c r="R374" s="2">
        <f t="shared" si="40"/>
        <v>0.51627318932656852</v>
      </c>
      <c r="S374" s="2">
        <f t="shared" si="41"/>
        <v>-4.9773189326557776E-2</v>
      </c>
    </row>
    <row r="375" spans="2:19" x14ac:dyDescent="0.25">
      <c r="B375" s="1">
        <f t="shared" si="42"/>
        <v>369</v>
      </c>
      <c r="C375" s="1">
        <v>583</v>
      </c>
      <c r="D375" s="13">
        <v>47</v>
      </c>
      <c r="E375" s="1" t="s">
        <v>11</v>
      </c>
      <c r="F375" s="2">
        <v>2.165</v>
      </c>
      <c r="G375" s="1" t="s">
        <v>12</v>
      </c>
      <c r="H375" s="1" t="s">
        <v>13</v>
      </c>
      <c r="I375" s="1" t="s">
        <v>14</v>
      </c>
      <c r="J375" s="14">
        <v>0.56939814814814815</v>
      </c>
      <c r="K375" s="15">
        <v>45514</v>
      </c>
      <c r="M375" s="2">
        <v>2.0950000000000002</v>
      </c>
      <c r="O375" s="2">
        <f t="shared" si="37"/>
        <v>2.0300000000000002</v>
      </c>
      <c r="P375" s="2">
        <f t="shared" si="38"/>
        <v>51.655781448538761</v>
      </c>
      <c r="Q375" s="2">
        <f t="shared" si="39"/>
        <v>0.47349999999998993</v>
      </c>
      <c r="R375" s="2">
        <f t="shared" si="40"/>
        <v>0.51684243964420762</v>
      </c>
      <c r="S375" s="2">
        <f t="shared" si="41"/>
        <v>-4.334243964421769E-2</v>
      </c>
    </row>
    <row r="376" spans="2:19" x14ac:dyDescent="0.25">
      <c r="B376" s="1">
        <f t="shared" si="42"/>
        <v>370</v>
      </c>
      <c r="C376" s="1">
        <v>584</v>
      </c>
      <c r="D376" s="13">
        <v>47.7</v>
      </c>
      <c r="E376" s="1" t="s">
        <v>11</v>
      </c>
      <c r="F376" s="2">
        <v>2.1749999999999998</v>
      </c>
      <c r="G376" s="1" t="s">
        <v>12</v>
      </c>
      <c r="H376" s="1" t="s">
        <v>13</v>
      </c>
      <c r="I376" s="1" t="s">
        <v>14</v>
      </c>
      <c r="J376" s="14">
        <v>0.56939814814814815</v>
      </c>
      <c r="K376" s="15">
        <v>45514</v>
      </c>
      <c r="M376" s="2">
        <v>2.105</v>
      </c>
      <c r="O376" s="2">
        <f t="shared" si="37"/>
        <v>2.04</v>
      </c>
      <c r="P376" s="2">
        <f t="shared" si="38"/>
        <v>51.712706480304959</v>
      </c>
      <c r="Q376" s="2">
        <f t="shared" si="39"/>
        <v>0.24049999999999488</v>
      </c>
      <c r="R376" s="2">
        <f t="shared" si="40"/>
        <v>0.25863468869122702</v>
      </c>
      <c r="S376" s="2">
        <f t="shared" si="41"/>
        <v>-1.8134688691232137E-2</v>
      </c>
    </row>
    <row r="377" spans="2:19" x14ac:dyDescent="0.25">
      <c r="B377" s="1">
        <f t="shared" si="42"/>
        <v>371</v>
      </c>
      <c r="C377" s="1">
        <v>585</v>
      </c>
      <c r="D377" s="13">
        <v>48.5</v>
      </c>
      <c r="E377" s="1" t="s">
        <v>11</v>
      </c>
      <c r="F377" s="2">
        <v>2.1800000000000002</v>
      </c>
      <c r="G377" s="1" t="s">
        <v>12</v>
      </c>
      <c r="H377" s="1" t="s">
        <v>13</v>
      </c>
      <c r="I377" s="1" t="s">
        <v>14</v>
      </c>
      <c r="J377" s="14">
        <v>0.56939814814814815</v>
      </c>
      <c r="K377" s="15">
        <v>45514</v>
      </c>
      <c r="M377" s="2">
        <v>2.11</v>
      </c>
      <c r="O377" s="2">
        <f t="shared" si="37"/>
        <v>2.0449999999999999</v>
      </c>
      <c r="P377" s="2">
        <f t="shared" si="38"/>
        <v>51.741168996188058</v>
      </c>
      <c r="Q377" s="2">
        <f t="shared" si="39"/>
        <v>0.48800000000001126</v>
      </c>
      <c r="R377" s="2">
        <f t="shared" si="40"/>
        <v>0.51769631512072356</v>
      </c>
      <c r="S377" s="2">
        <f t="shared" si="41"/>
        <v>-2.9696315120712302E-2</v>
      </c>
    </row>
    <row r="378" spans="2:19" x14ac:dyDescent="0.25">
      <c r="B378" s="1">
        <f t="shared" si="42"/>
        <v>372</v>
      </c>
      <c r="C378" s="1">
        <v>586</v>
      </c>
      <c r="D378" s="13">
        <v>49.1</v>
      </c>
      <c r="E378" s="1" t="s">
        <v>11</v>
      </c>
      <c r="F378" s="2">
        <v>2.19</v>
      </c>
      <c r="G378" s="1" t="s">
        <v>12</v>
      </c>
      <c r="H378" s="1" t="s">
        <v>13</v>
      </c>
      <c r="I378" s="1" t="s">
        <v>14</v>
      </c>
      <c r="J378" s="14">
        <v>0.56940972222222219</v>
      </c>
      <c r="K378" s="15">
        <v>45514</v>
      </c>
      <c r="M378" s="2">
        <v>2.12</v>
      </c>
      <c r="O378" s="2">
        <f t="shared" si="37"/>
        <v>2.0550000000000002</v>
      </c>
      <c r="P378" s="2">
        <f t="shared" si="38"/>
        <v>51.798094027954257</v>
      </c>
      <c r="Q378" s="2">
        <f t="shared" si="39"/>
        <v>0.24649999999999472</v>
      </c>
      <c r="R378" s="2">
        <f t="shared" si="40"/>
        <v>0.2590616264294735</v>
      </c>
      <c r="S378" s="2">
        <f t="shared" si="41"/>
        <v>-1.2561626429478778E-2</v>
      </c>
    </row>
    <row r="379" spans="2:19" x14ac:dyDescent="0.25">
      <c r="B379" s="1">
        <f t="shared" si="42"/>
        <v>373</v>
      </c>
      <c r="C379" s="1">
        <v>587</v>
      </c>
      <c r="D379" s="13">
        <v>49.5</v>
      </c>
      <c r="E379" s="1" t="s">
        <v>11</v>
      </c>
      <c r="F379" s="2">
        <v>2.1949999999999998</v>
      </c>
      <c r="G379" s="1" t="s">
        <v>12</v>
      </c>
      <c r="H379" s="1" t="s">
        <v>13</v>
      </c>
      <c r="I379" s="1" t="s">
        <v>14</v>
      </c>
      <c r="J379" s="14">
        <v>0.56940972222222219</v>
      </c>
      <c r="K379" s="15">
        <v>45514</v>
      </c>
      <c r="M379" s="2">
        <v>2.125</v>
      </c>
      <c r="O379" s="2">
        <f t="shared" si="37"/>
        <v>2.06</v>
      </c>
      <c r="P379" s="2">
        <f t="shared" si="38"/>
        <v>51.826556543837356</v>
      </c>
      <c r="Q379" s="2">
        <f t="shared" si="39"/>
        <v>0.4974999999999894</v>
      </c>
      <c r="R379" s="2">
        <f t="shared" si="40"/>
        <v>0.51855019059719354</v>
      </c>
      <c r="S379" s="2">
        <f t="shared" si="41"/>
        <v>-2.1050190597204144E-2</v>
      </c>
    </row>
    <row r="380" spans="2:19" x14ac:dyDescent="0.25">
      <c r="B380" s="1">
        <f t="shared" si="42"/>
        <v>374</v>
      </c>
      <c r="C380" s="1">
        <v>588</v>
      </c>
      <c r="D380" s="13">
        <v>50</v>
      </c>
      <c r="E380" s="1" t="s">
        <v>11</v>
      </c>
      <c r="F380" s="2">
        <v>2.2050000000000001</v>
      </c>
      <c r="G380" s="1" t="s">
        <v>12</v>
      </c>
      <c r="H380" s="1" t="s">
        <v>13</v>
      </c>
      <c r="I380" s="1" t="s">
        <v>14</v>
      </c>
      <c r="J380" s="14">
        <v>0.56940972222222219</v>
      </c>
      <c r="K380" s="15">
        <v>45514</v>
      </c>
      <c r="M380" s="2">
        <v>2.1349999999999998</v>
      </c>
      <c r="O380" s="2">
        <f t="shared" si="37"/>
        <v>2.0699999999999998</v>
      </c>
      <c r="P380" s="2">
        <f t="shared" si="38"/>
        <v>51.883481575603554</v>
      </c>
      <c r="Q380" s="2">
        <f t="shared" si="39"/>
        <v>0.2507500000000169</v>
      </c>
      <c r="R380" s="2">
        <f t="shared" si="40"/>
        <v>0.25948856416774307</v>
      </c>
      <c r="S380" s="2">
        <f t="shared" si="41"/>
        <v>-8.7385641677261705E-3</v>
      </c>
    </row>
    <row r="381" spans="2:19" x14ac:dyDescent="0.25">
      <c r="B381" s="1">
        <f t="shared" si="42"/>
        <v>375</v>
      </c>
      <c r="C381" s="1">
        <v>589</v>
      </c>
      <c r="D381" s="13">
        <v>50.3</v>
      </c>
      <c r="E381" s="1" t="s">
        <v>11</v>
      </c>
      <c r="F381" s="2">
        <v>2.21</v>
      </c>
      <c r="G381" s="1" t="s">
        <v>12</v>
      </c>
      <c r="H381" s="1" t="s">
        <v>13</v>
      </c>
      <c r="I381" s="1" t="s">
        <v>14</v>
      </c>
      <c r="J381" s="14">
        <v>0.56940972222222219</v>
      </c>
      <c r="K381" s="15">
        <v>45514</v>
      </c>
      <c r="M381" s="2">
        <v>2.14</v>
      </c>
      <c r="O381" s="2">
        <f t="shared" si="37"/>
        <v>2.0750000000000002</v>
      </c>
      <c r="P381" s="2">
        <f t="shared" si="38"/>
        <v>51.91194409148666</v>
      </c>
      <c r="Q381" s="2">
        <f t="shared" si="39"/>
        <v>0.50299999999998923</v>
      </c>
      <c r="R381" s="2">
        <f t="shared" si="40"/>
        <v>0.5194040660736865</v>
      </c>
      <c r="S381" s="2">
        <f t="shared" si="41"/>
        <v>-1.6404066073697265E-2</v>
      </c>
    </row>
    <row r="382" spans="2:19" x14ac:dyDescent="0.25">
      <c r="B382" s="1">
        <f t="shared" si="42"/>
        <v>376</v>
      </c>
      <c r="C382" s="1">
        <v>590</v>
      </c>
      <c r="D382" s="13">
        <v>50.3</v>
      </c>
      <c r="E382" s="1" t="s">
        <v>11</v>
      </c>
      <c r="F382" s="2">
        <v>2.2200000000000002</v>
      </c>
      <c r="G382" s="1" t="s">
        <v>12</v>
      </c>
      <c r="H382" s="1" t="s">
        <v>13</v>
      </c>
      <c r="I382" s="1" t="s">
        <v>14</v>
      </c>
      <c r="J382" s="14">
        <v>0.56940972222222219</v>
      </c>
      <c r="K382" s="15">
        <v>45514</v>
      </c>
      <c r="M382" s="2">
        <v>2.15</v>
      </c>
      <c r="O382" s="2">
        <f t="shared" si="37"/>
        <v>2.085</v>
      </c>
      <c r="P382" s="2">
        <f t="shared" si="38"/>
        <v>51.968869123252858</v>
      </c>
      <c r="Q382" s="2">
        <f t="shared" si="39"/>
        <v>0.25149999999999462</v>
      </c>
      <c r="R382" s="2">
        <f t="shared" si="40"/>
        <v>0.25991550190596646</v>
      </c>
      <c r="S382" s="2">
        <f t="shared" si="41"/>
        <v>-8.415501905971845E-3</v>
      </c>
    </row>
    <row r="383" spans="2:19" x14ac:dyDescent="0.25">
      <c r="B383" s="1">
        <f t="shared" si="42"/>
        <v>377</v>
      </c>
      <c r="C383" s="1">
        <v>591</v>
      </c>
      <c r="D383" s="13">
        <v>50.3</v>
      </c>
      <c r="E383" s="1" t="s">
        <v>11</v>
      </c>
      <c r="F383" s="2">
        <v>2.2250000000000001</v>
      </c>
      <c r="G383" s="1" t="s">
        <v>12</v>
      </c>
      <c r="H383" s="1" t="s">
        <v>13</v>
      </c>
      <c r="I383" s="1" t="s">
        <v>14</v>
      </c>
      <c r="J383" s="14">
        <v>0.56940972222222219</v>
      </c>
      <c r="K383" s="15">
        <v>45514</v>
      </c>
      <c r="M383" s="2">
        <v>2.1549999999999998</v>
      </c>
      <c r="O383" s="2">
        <f t="shared" si="37"/>
        <v>2.09</v>
      </c>
      <c r="P383" s="2">
        <f t="shared" si="38"/>
        <v>51.997331639135957</v>
      </c>
      <c r="Q383" s="2">
        <f t="shared" si="39"/>
        <v>0.25150000000001699</v>
      </c>
      <c r="R383" s="2">
        <f t="shared" si="40"/>
        <v>0.2600578144854051</v>
      </c>
      <c r="S383" s="2">
        <f t="shared" si="41"/>
        <v>-8.5578144853881155E-3</v>
      </c>
    </row>
    <row r="384" spans="2:19" x14ac:dyDescent="0.25">
      <c r="B384" s="1">
        <f t="shared" si="42"/>
        <v>378</v>
      </c>
      <c r="C384" s="1">
        <v>592</v>
      </c>
      <c r="D384" s="13">
        <v>50.3</v>
      </c>
      <c r="E384" s="1" t="s">
        <v>11</v>
      </c>
      <c r="F384" s="2">
        <v>2.23</v>
      </c>
      <c r="G384" s="1" t="s">
        <v>12</v>
      </c>
      <c r="H384" s="1" t="s">
        <v>13</v>
      </c>
      <c r="I384" s="1" t="s">
        <v>14</v>
      </c>
      <c r="J384" s="14">
        <v>0.56940972222222219</v>
      </c>
      <c r="K384" s="15">
        <v>45514</v>
      </c>
      <c r="M384" s="2">
        <v>2.16</v>
      </c>
      <c r="O384" s="2">
        <f t="shared" si="37"/>
        <v>2.0950000000000002</v>
      </c>
      <c r="P384" s="2">
        <f t="shared" si="38"/>
        <v>52.025794155019064</v>
      </c>
      <c r="Q384" s="2">
        <f t="shared" si="39"/>
        <v>0.50249999999998929</v>
      </c>
      <c r="R384" s="2">
        <f t="shared" si="40"/>
        <v>0.52054256670901056</v>
      </c>
      <c r="S384" s="2">
        <f t="shared" si="41"/>
        <v>-1.8042566709021268E-2</v>
      </c>
    </row>
    <row r="385" spans="2:19" x14ac:dyDescent="0.25">
      <c r="B385" s="1">
        <f t="shared" si="42"/>
        <v>379</v>
      </c>
      <c r="C385" s="1">
        <v>593</v>
      </c>
      <c r="D385" s="13">
        <v>50.2</v>
      </c>
      <c r="E385" s="1" t="s">
        <v>11</v>
      </c>
      <c r="F385" s="2">
        <v>2.2400000000000002</v>
      </c>
      <c r="G385" s="1" t="s">
        <v>12</v>
      </c>
      <c r="H385" s="1" t="s">
        <v>13</v>
      </c>
      <c r="I385" s="1" t="s">
        <v>14</v>
      </c>
      <c r="J385" s="14">
        <v>0.56940972222222219</v>
      </c>
      <c r="K385" s="15">
        <v>45514</v>
      </c>
      <c r="M385" s="2">
        <v>2.17</v>
      </c>
      <c r="O385" s="2">
        <f t="shared" si="37"/>
        <v>2.105</v>
      </c>
      <c r="P385" s="2">
        <f t="shared" si="38"/>
        <v>52.082719186785262</v>
      </c>
      <c r="Q385" s="2">
        <f t="shared" si="39"/>
        <v>0.25099999999999467</v>
      </c>
      <c r="R385" s="2">
        <f t="shared" si="40"/>
        <v>0.26048475222362855</v>
      </c>
      <c r="S385" s="2">
        <f t="shared" si="41"/>
        <v>-9.4847522236338744E-3</v>
      </c>
    </row>
    <row r="386" spans="2:19" x14ac:dyDescent="0.25">
      <c r="B386" s="1">
        <f t="shared" si="42"/>
        <v>380</v>
      </c>
      <c r="C386" s="1">
        <v>594</v>
      </c>
      <c r="D386" s="13">
        <v>50.2</v>
      </c>
      <c r="E386" s="1" t="s">
        <v>11</v>
      </c>
      <c r="F386" s="2">
        <v>2.2450000000000001</v>
      </c>
      <c r="G386" s="1" t="s">
        <v>12</v>
      </c>
      <c r="H386" s="1" t="s">
        <v>13</v>
      </c>
      <c r="I386" s="1" t="s">
        <v>14</v>
      </c>
      <c r="J386" s="14">
        <v>0.56940972222222219</v>
      </c>
      <c r="K386" s="15">
        <v>45514</v>
      </c>
      <c r="M386" s="2">
        <v>2.1749999999999998</v>
      </c>
      <c r="O386" s="2">
        <f t="shared" si="37"/>
        <v>2.11</v>
      </c>
      <c r="P386" s="2">
        <f t="shared" si="38"/>
        <v>52.111181702668361</v>
      </c>
      <c r="Q386" s="2">
        <f t="shared" si="39"/>
        <v>0.50200000000001166</v>
      </c>
      <c r="R386" s="2">
        <f t="shared" si="40"/>
        <v>0.52139644218552661</v>
      </c>
      <c r="S386" s="2">
        <f t="shared" si="41"/>
        <v>-1.939644218551495E-2</v>
      </c>
    </row>
    <row r="387" spans="2:19" x14ac:dyDescent="0.25">
      <c r="B387" s="1">
        <f t="shared" si="42"/>
        <v>381</v>
      </c>
      <c r="C387" s="1">
        <v>595</v>
      </c>
      <c r="D387" s="13">
        <v>50.2</v>
      </c>
      <c r="E387" s="1" t="s">
        <v>11</v>
      </c>
      <c r="F387" s="2">
        <v>2.2549999999999999</v>
      </c>
      <c r="G387" s="1" t="s">
        <v>12</v>
      </c>
      <c r="H387" s="1" t="s">
        <v>13</v>
      </c>
      <c r="I387" s="1" t="s">
        <v>14</v>
      </c>
      <c r="J387" s="14">
        <v>0.56940972222222219</v>
      </c>
      <c r="K387" s="15">
        <v>45514</v>
      </c>
      <c r="M387" s="2">
        <v>2.1850000000000001</v>
      </c>
      <c r="O387" s="2">
        <f t="shared" si="37"/>
        <v>2.12</v>
      </c>
      <c r="P387" s="2">
        <f t="shared" si="38"/>
        <v>52.168106734434559</v>
      </c>
      <c r="Q387" s="2">
        <f t="shared" si="39"/>
        <v>0.25124999999999464</v>
      </c>
      <c r="R387" s="2">
        <f t="shared" si="40"/>
        <v>0.26091168996187503</v>
      </c>
      <c r="S387" s="2">
        <f t="shared" si="41"/>
        <v>-9.661689961880382E-3</v>
      </c>
    </row>
    <row r="388" spans="2:19" x14ac:dyDescent="0.25">
      <c r="B388" s="1">
        <f t="shared" si="42"/>
        <v>382</v>
      </c>
      <c r="C388" s="1">
        <v>596</v>
      </c>
      <c r="D388" s="13">
        <v>50.3</v>
      </c>
      <c r="E388" s="1" t="s">
        <v>11</v>
      </c>
      <c r="F388" s="2">
        <v>2.2599999999999998</v>
      </c>
      <c r="G388" s="1" t="s">
        <v>12</v>
      </c>
      <c r="H388" s="1" t="s">
        <v>13</v>
      </c>
      <c r="I388" s="1" t="s">
        <v>14</v>
      </c>
      <c r="J388" s="14">
        <v>0.56942129629629634</v>
      </c>
      <c r="K388" s="15">
        <v>45514</v>
      </c>
      <c r="M388" s="2">
        <v>2.19</v>
      </c>
      <c r="O388" s="2">
        <f t="shared" si="37"/>
        <v>2.125</v>
      </c>
      <c r="P388" s="2">
        <f t="shared" si="38"/>
        <v>52.196569250317665</v>
      </c>
      <c r="Q388" s="2">
        <f t="shared" si="39"/>
        <v>0.25149999999999462</v>
      </c>
      <c r="R388" s="2">
        <f t="shared" si="40"/>
        <v>0.26105400254129052</v>
      </c>
      <c r="S388" s="2">
        <f t="shared" si="41"/>
        <v>-9.5540025412959029E-3</v>
      </c>
    </row>
    <row r="389" spans="2:19" x14ac:dyDescent="0.25">
      <c r="B389" s="1">
        <f t="shared" si="42"/>
        <v>383</v>
      </c>
      <c r="C389" s="1">
        <v>597</v>
      </c>
      <c r="D389" s="13">
        <v>50.3</v>
      </c>
      <c r="E389" s="1" t="s">
        <v>11</v>
      </c>
      <c r="F389" s="2">
        <v>2.2650000000000001</v>
      </c>
      <c r="G389" s="1" t="s">
        <v>12</v>
      </c>
      <c r="H389" s="1" t="s">
        <v>13</v>
      </c>
      <c r="I389" s="1" t="s">
        <v>14</v>
      </c>
      <c r="J389" s="14">
        <v>0.56942129629629634</v>
      </c>
      <c r="K389" s="15">
        <v>45514</v>
      </c>
      <c r="M389" s="2">
        <v>2.1949999999999998</v>
      </c>
      <c r="O389" s="2">
        <f t="shared" si="37"/>
        <v>2.13</v>
      </c>
      <c r="P389" s="2">
        <f t="shared" si="38"/>
        <v>52.225031766200765</v>
      </c>
      <c r="Q389" s="2">
        <f t="shared" si="39"/>
        <v>0.25150000000001699</v>
      </c>
      <c r="R389" s="2">
        <f t="shared" si="40"/>
        <v>0.26119631512072922</v>
      </c>
      <c r="S389" s="2">
        <f t="shared" si="41"/>
        <v>-9.6963151207122289E-3</v>
      </c>
    </row>
    <row r="390" spans="2:19" x14ac:dyDescent="0.25">
      <c r="B390" s="1">
        <f t="shared" si="42"/>
        <v>384</v>
      </c>
      <c r="C390" s="1">
        <v>598</v>
      </c>
      <c r="D390" s="13">
        <v>50.3</v>
      </c>
      <c r="E390" s="1" t="s">
        <v>11</v>
      </c>
      <c r="F390" s="2">
        <v>2.27</v>
      </c>
      <c r="G390" s="1" t="s">
        <v>12</v>
      </c>
      <c r="H390" s="1" t="s">
        <v>13</v>
      </c>
      <c r="I390" s="1" t="s">
        <v>14</v>
      </c>
      <c r="J390" s="14">
        <v>0.56942129629629634</v>
      </c>
      <c r="K390" s="15">
        <v>45514</v>
      </c>
      <c r="M390" s="2">
        <v>2.2000000000000002</v>
      </c>
      <c r="O390" s="2">
        <f t="shared" si="37"/>
        <v>2.1350000000000002</v>
      </c>
      <c r="P390" s="2">
        <f t="shared" si="38"/>
        <v>52.253494282083864</v>
      </c>
      <c r="Q390" s="2">
        <f t="shared" si="39"/>
        <v>0.25174999999999459</v>
      </c>
      <c r="R390" s="2">
        <f t="shared" si="40"/>
        <v>0.26133862770012145</v>
      </c>
      <c r="S390" s="2">
        <f t="shared" si="41"/>
        <v>-9.5886277001268616E-3</v>
      </c>
    </row>
    <row r="391" spans="2:19" x14ac:dyDescent="0.25">
      <c r="B391" s="1">
        <f t="shared" si="42"/>
        <v>385</v>
      </c>
      <c r="C391" s="1">
        <v>599</v>
      </c>
      <c r="D391" s="13">
        <v>50.4</v>
      </c>
      <c r="E391" s="1" t="s">
        <v>11</v>
      </c>
      <c r="F391" s="2">
        <v>2.2749999999999999</v>
      </c>
      <c r="G391" s="1" t="s">
        <v>12</v>
      </c>
      <c r="H391" s="1" t="s">
        <v>13</v>
      </c>
      <c r="I391" s="1" t="s">
        <v>14</v>
      </c>
      <c r="J391" s="14">
        <v>0.56942129629629634</v>
      </c>
      <c r="K391" s="15">
        <v>45514</v>
      </c>
      <c r="M391" s="2">
        <v>2.2050000000000001</v>
      </c>
      <c r="O391" s="2">
        <f t="shared" si="37"/>
        <v>2.14</v>
      </c>
      <c r="P391" s="2">
        <f t="shared" si="38"/>
        <v>52.281956797966963</v>
      </c>
      <c r="Q391" s="2">
        <f t="shared" si="39"/>
        <v>0.25199999999999462</v>
      </c>
      <c r="R391" s="2">
        <f t="shared" si="40"/>
        <v>0.261480940279537</v>
      </c>
      <c r="S391" s="2">
        <f t="shared" si="41"/>
        <v>-9.4809402795423825E-3</v>
      </c>
    </row>
    <row r="392" spans="2:19" x14ac:dyDescent="0.25">
      <c r="B392" s="1">
        <f t="shared" si="42"/>
        <v>386</v>
      </c>
      <c r="C392" s="1">
        <v>600</v>
      </c>
      <c r="D392" s="13">
        <v>50.4</v>
      </c>
      <c r="E392" s="1" t="s">
        <v>11</v>
      </c>
      <c r="F392" s="2">
        <v>2.2799999999999998</v>
      </c>
      <c r="G392" s="1" t="s">
        <v>12</v>
      </c>
      <c r="H392" s="1" t="s">
        <v>13</v>
      </c>
      <c r="I392" s="1" t="s">
        <v>14</v>
      </c>
      <c r="J392" s="14">
        <v>0.56942129629629634</v>
      </c>
      <c r="K392" s="15">
        <v>45514</v>
      </c>
      <c r="M392" s="2">
        <v>2.21</v>
      </c>
      <c r="O392" s="2">
        <f t="shared" ref="O392:O455" si="43">M392-$X$23</f>
        <v>2.145</v>
      </c>
      <c r="P392" s="2">
        <f t="shared" ref="P392:P455" si="44">O392*$AC$21+$Y$23</f>
        <v>52.310419313850062</v>
      </c>
      <c r="Q392" s="2">
        <f t="shared" ref="Q392:Q455" si="45">((D392+D393)/2)*(M393-M392)</f>
        <v>0.25224999999999465</v>
      </c>
      <c r="R392" s="2">
        <f t="shared" ref="R392:R455" si="46">((P392+P393)/2)*(O393-O392)</f>
        <v>0.26162325285895249</v>
      </c>
      <c r="S392" s="2">
        <f t="shared" ref="S392:S455" si="47">Q392-R392</f>
        <v>-9.3732528589578479E-3</v>
      </c>
    </row>
    <row r="393" spans="2:19" x14ac:dyDescent="0.25">
      <c r="B393" s="1">
        <f t="shared" ref="B393:B456" si="48">B392+1</f>
        <v>387</v>
      </c>
      <c r="C393" s="1">
        <v>601</v>
      </c>
      <c r="D393" s="13">
        <v>50.5</v>
      </c>
      <c r="E393" s="1" t="s">
        <v>11</v>
      </c>
      <c r="F393" s="2">
        <v>2.2850000000000001</v>
      </c>
      <c r="G393" s="1" t="s">
        <v>12</v>
      </c>
      <c r="H393" s="1" t="s">
        <v>13</v>
      </c>
      <c r="I393" s="1" t="s">
        <v>14</v>
      </c>
      <c r="J393" s="14">
        <v>0.56942129629629634</v>
      </c>
      <c r="K393" s="15">
        <v>45514</v>
      </c>
      <c r="M393" s="2">
        <v>2.2149999999999999</v>
      </c>
      <c r="O393" s="2">
        <f t="shared" si="43"/>
        <v>2.15</v>
      </c>
      <c r="P393" s="2">
        <f t="shared" si="44"/>
        <v>52.338881829733168</v>
      </c>
      <c r="Q393" s="2">
        <f t="shared" si="45"/>
        <v>0.25250000000001704</v>
      </c>
      <c r="R393" s="2">
        <f t="shared" si="46"/>
        <v>0.26176556543839125</v>
      </c>
      <c r="S393" s="2">
        <f t="shared" si="47"/>
        <v>-9.2655654383742014E-3</v>
      </c>
    </row>
    <row r="394" spans="2:19" x14ac:dyDescent="0.25">
      <c r="B394" s="1">
        <f t="shared" si="48"/>
        <v>388</v>
      </c>
      <c r="C394" s="1">
        <v>602</v>
      </c>
      <c r="D394" s="13">
        <v>50.5</v>
      </c>
      <c r="E394" s="1" t="s">
        <v>11</v>
      </c>
      <c r="F394" s="2">
        <v>2.29</v>
      </c>
      <c r="G394" s="1" t="s">
        <v>12</v>
      </c>
      <c r="H394" s="1" t="s">
        <v>13</v>
      </c>
      <c r="I394" s="1" t="s">
        <v>14</v>
      </c>
      <c r="J394" s="14">
        <v>0.56942129629629634</v>
      </c>
      <c r="K394" s="15">
        <v>45514</v>
      </c>
      <c r="M394" s="2">
        <v>2.2200000000000002</v>
      </c>
      <c r="O394" s="2">
        <f t="shared" si="43"/>
        <v>2.1550000000000002</v>
      </c>
      <c r="P394" s="2">
        <f t="shared" si="44"/>
        <v>52.367344345616267</v>
      </c>
      <c r="Q394" s="2">
        <f t="shared" si="45"/>
        <v>0.25249999999999462</v>
      </c>
      <c r="R394" s="2">
        <f t="shared" si="46"/>
        <v>0.26190787801778354</v>
      </c>
      <c r="S394" s="2">
        <f t="shared" si="47"/>
        <v>-9.4078780177889176E-3</v>
      </c>
    </row>
    <row r="395" spans="2:19" x14ac:dyDescent="0.25">
      <c r="B395" s="1">
        <f t="shared" si="48"/>
        <v>389</v>
      </c>
      <c r="C395" s="1">
        <v>603</v>
      </c>
      <c r="D395" s="13">
        <v>50.5</v>
      </c>
      <c r="E395" s="1" t="s">
        <v>11</v>
      </c>
      <c r="F395" s="2">
        <v>2.2949999999999999</v>
      </c>
      <c r="G395" s="1" t="s">
        <v>12</v>
      </c>
      <c r="H395" s="1" t="s">
        <v>13</v>
      </c>
      <c r="I395" s="1" t="s">
        <v>14</v>
      </c>
      <c r="J395" s="14">
        <v>0.56942129629629634</v>
      </c>
      <c r="K395" s="15">
        <v>45514</v>
      </c>
      <c r="M395" s="2">
        <v>2.2250000000000001</v>
      </c>
      <c r="O395" s="2">
        <f t="shared" si="43"/>
        <v>2.16</v>
      </c>
      <c r="P395" s="2">
        <f t="shared" si="44"/>
        <v>52.395806861499366</v>
      </c>
      <c r="Q395" s="2">
        <f t="shared" si="45"/>
        <v>0.25249999999999462</v>
      </c>
      <c r="R395" s="2">
        <f t="shared" si="46"/>
        <v>0.26205019059719897</v>
      </c>
      <c r="S395" s="2">
        <f t="shared" si="47"/>
        <v>-9.5501905972043555E-3</v>
      </c>
    </row>
    <row r="396" spans="2:19" x14ac:dyDescent="0.25">
      <c r="B396" s="1">
        <f t="shared" si="48"/>
        <v>390</v>
      </c>
      <c r="C396" s="1">
        <v>604</v>
      </c>
      <c r="D396" s="13">
        <v>50.5</v>
      </c>
      <c r="E396" s="1" t="s">
        <v>11</v>
      </c>
      <c r="F396" s="2">
        <v>2.2999999999999998</v>
      </c>
      <c r="G396" s="1" t="s">
        <v>12</v>
      </c>
      <c r="H396" s="1" t="s">
        <v>13</v>
      </c>
      <c r="I396" s="1" t="s">
        <v>14</v>
      </c>
      <c r="J396" s="14">
        <v>0.56942129629629634</v>
      </c>
      <c r="K396" s="15">
        <v>45514</v>
      </c>
      <c r="M396" s="2">
        <v>2.23</v>
      </c>
      <c r="O396" s="2">
        <f t="shared" si="43"/>
        <v>2.165</v>
      </c>
      <c r="P396" s="2">
        <f t="shared" si="44"/>
        <v>52.424269377382466</v>
      </c>
      <c r="Q396" s="2">
        <f t="shared" si="45"/>
        <v>0.25249999999999462</v>
      </c>
      <c r="R396" s="2">
        <f t="shared" si="46"/>
        <v>0.26219250317661452</v>
      </c>
      <c r="S396" s="2">
        <f t="shared" si="47"/>
        <v>-9.6925031766199043E-3</v>
      </c>
    </row>
    <row r="397" spans="2:19" x14ac:dyDescent="0.25">
      <c r="B397" s="1">
        <f t="shared" si="48"/>
        <v>391</v>
      </c>
      <c r="C397" s="1">
        <v>606</v>
      </c>
      <c r="D397" s="13">
        <v>50.5</v>
      </c>
      <c r="E397" s="1" t="s">
        <v>11</v>
      </c>
      <c r="F397" s="2">
        <v>2.3050000000000002</v>
      </c>
      <c r="G397" s="1" t="s">
        <v>12</v>
      </c>
      <c r="H397" s="1" t="s">
        <v>13</v>
      </c>
      <c r="I397" s="1" t="s">
        <v>14</v>
      </c>
      <c r="J397" s="14">
        <v>0.56943287037037038</v>
      </c>
      <c r="K397" s="15">
        <v>45514</v>
      </c>
      <c r="M397" s="2">
        <v>2.2349999999999999</v>
      </c>
      <c r="O397" s="2">
        <f t="shared" si="43"/>
        <v>2.17</v>
      </c>
      <c r="P397" s="2">
        <f t="shared" si="44"/>
        <v>52.452731893265565</v>
      </c>
      <c r="Q397" s="2">
        <f t="shared" si="45"/>
        <v>0.25250000000001704</v>
      </c>
      <c r="R397" s="2">
        <f t="shared" si="46"/>
        <v>0.26233481575605327</v>
      </c>
      <c r="S397" s="2">
        <f t="shared" si="47"/>
        <v>-9.8348157560362304E-3</v>
      </c>
    </row>
    <row r="398" spans="2:19" x14ac:dyDescent="0.25">
      <c r="B398" s="1">
        <f t="shared" si="48"/>
        <v>392</v>
      </c>
      <c r="C398" s="1">
        <v>607</v>
      </c>
      <c r="D398" s="13">
        <v>50.5</v>
      </c>
      <c r="E398" s="1" t="s">
        <v>11</v>
      </c>
      <c r="F398" s="2">
        <v>2.31</v>
      </c>
      <c r="G398" s="1" t="s">
        <v>12</v>
      </c>
      <c r="H398" s="1" t="s">
        <v>13</v>
      </c>
      <c r="I398" s="1" t="s">
        <v>14</v>
      </c>
      <c r="J398" s="14">
        <v>0.56943287037037038</v>
      </c>
      <c r="K398" s="15">
        <v>45514</v>
      </c>
      <c r="M398" s="2">
        <v>2.2400000000000002</v>
      </c>
      <c r="O398" s="2">
        <f t="shared" si="43"/>
        <v>2.1750000000000003</v>
      </c>
      <c r="P398" s="2">
        <f t="shared" si="44"/>
        <v>52.481194409148671</v>
      </c>
      <c r="Q398" s="2">
        <f t="shared" si="45"/>
        <v>0.25249999999999462</v>
      </c>
      <c r="R398" s="2">
        <f t="shared" si="46"/>
        <v>0.26247712833544551</v>
      </c>
      <c r="S398" s="2">
        <f t="shared" si="47"/>
        <v>-9.9771283354508911E-3</v>
      </c>
    </row>
    <row r="399" spans="2:19" x14ac:dyDescent="0.25">
      <c r="B399" s="1">
        <f t="shared" si="48"/>
        <v>393</v>
      </c>
      <c r="C399" s="1">
        <v>608</v>
      </c>
      <c r="D399" s="13">
        <v>50.5</v>
      </c>
      <c r="E399" s="1" t="s">
        <v>11</v>
      </c>
      <c r="F399" s="2">
        <v>2.3149999999999999</v>
      </c>
      <c r="G399" s="1" t="s">
        <v>12</v>
      </c>
      <c r="H399" s="1" t="s">
        <v>13</v>
      </c>
      <c r="I399" s="1" t="s">
        <v>14</v>
      </c>
      <c r="J399" s="14">
        <v>0.56943287037037038</v>
      </c>
      <c r="K399" s="15">
        <v>45514</v>
      </c>
      <c r="M399" s="2">
        <v>2.2450000000000001</v>
      </c>
      <c r="O399" s="2">
        <f t="shared" si="43"/>
        <v>2.1800000000000002</v>
      </c>
      <c r="P399" s="2">
        <f t="shared" si="44"/>
        <v>52.50965692503177</v>
      </c>
      <c r="Q399" s="2">
        <f t="shared" si="45"/>
        <v>0.25274999999999459</v>
      </c>
      <c r="R399" s="2">
        <f t="shared" si="46"/>
        <v>0.262619440914861</v>
      </c>
      <c r="S399" s="2">
        <f t="shared" si="47"/>
        <v>-9.869440914866412E-3</v>
      </c>
    </row>
    <row r="400" spans="2:19" x14ac:dyDescent="0.25">
      <c r="B400" s="1">
        <f t="shared" si="48"/>
        <v>394</v>
      </c>
      <c r="C400" s="1">
        <v>609</v>
      </c>
      <c r="D400" s="13">
        <v>50.6</v>
      </c>
      <c r="E400" s="1" t="s">
        <v>11</v>
      </c>
      <c r="F400" s="2">
        <v>2.3199999999999998</v>
      </c>
      <c r="G400" s="1" t="s">
        <v>12</v>
      </c>
      <c r="H400" s="1" t="s">
        <v>13</v>
      </c>
      <c r="I400" s="1" t="s">
        <v>14</v>
      </c>
      <c r="J400" s="14">
        <v>0.56943287037037038</v>
      </c>
      <c r="K400" s="15">
        <v>45514</v>
      </c>
      <c r="M400" s="2">
        <v>2.25</v>
      </c>
      <c r="O400" s="2">
        <f t="shared" si="43"/>
        <v>2.1850000000000001</v>
      </c>
      <c r="P400" s="2">
        <f t="shared" si="44"/>
        <v>52.538119440914869</v>
      </c>
      <c r="Q400" s="2">
        <f t="shared" si="45"/>
        <v>0.25299999999999462</v>
      </c>
      <c r="R400" s="2">
        <f t="shared" si="46"/>
        <v>0.2627617534942765</v>
      </c>
      <c r="S400" s="2">
        <f t="shared" si="47"/>
        <v>-9.7617534942818773E-3</v>
      </c>
    </row>
    <row r="401" spans="2:19" x14ac:dyDescent="0.25">
      <c r="B401" s="1">
        <f t="shared" si="48"/>
        <v>395</v>
      </c>
      <c r="C401" s="1">
        <v>610</v>
      </c>
      <c r="D401" s="13">
        <v>50.6</v>
      </c>
      <c r="E401" s="1" t="s">
        <v>11</v>
      </c>
      <c r="F401" s="2">
        <v>2.3250000000000002</v>
      </c>
      <c r="G401" s="1" t="s">
        <v>12</v>
      </c>
      <c r="H401" s="1" t="s">
        <v>13</v>
      </c>
      <c r="I401" s="1" t="s">
        <v>14</v>
      </c>
      <c r="J401" s="14">
        <v>0.56943287037037038</v>
      </c>
      <c r="K401" s="15">
        <v>45514</v>
      </c>
      <c r="M401" s="2">
        <v>2.2549999999999999</v>
      </c>
      <c r="O401" s="2">
        <f t="shared" si="43"/>
        <v>2.19</v>
      </c>
      <c r="P401" s="2">
        <f t="shared" si="44"/>
        <v>52.566581956797968</v>
      </c>
      <c r="Q401" s="2">
        <f t="shared" si="45"/>
        <v>0.25299999999999462</v>
      </c>
      <c r="R401" s="2">
        <f t="shared" si="46"/>
        <v>0.26290406607369199</v>
      </c>
      <c r="S401" s="2">
        <f t="shared" si="47"/>
        <v>-9.9040660736973707E-3</v>
      </c>
    </row>
    <row r="402" spans="2:19" x14ac:dyDescent="0.25">
      <c r="B402" s="1">
        <f t="shared" si="48"/>
        <v>396</v>
      </c>
      <c r="C402" s="1">
        <v>611</v>
      </c>
      <c r="D402" s="13">
        <v>50.6</v>
      </c>
      <c r="E402" s="1" t="s">
        <v>11</v>
      </c>
      <c r="F402" s="2">
        <v>2.33</v>
      </c>
      <c r="G402" s="1" t="s">
        <v>12</v>
      </c>
      <c r="H402" s="1" t="s">
        <v>13</v>
      </c>
      <c r="I402" s="1" t="s">
        <v>14</v>
      </c>
      <c r="J402" s="14">
        <v>0.56943287037037038</v>
      </c>
      <c r="K402" s="15">
        <v>45514</v>
      </c>
      <c r="M402" s="2">
        <v>2.2599999999999998</v>
      </c>
      <c r="O402" s="2">
        <f t="shared" si="43"/>
        <v>2.1949999999999998</v>
      </c>
      <c r="P402" s="2">
        <f t="shared" si="44"/>
        <v>52.595044472681067</v>
      </c>
      <c r="Q402" s="2">
        <f t="shared" si="45"/>
        <v>0.2530000000000171</v>
      </c>
      <c r="R402" s="2">
        <f t="shared" si="46"/>
        <v>0.26304637865313085</v>
      </c>
      <c r="S402" s="2">
        <f t="shared" si="47"/>
        <v>-1.0046378653113752E-2</v>
      </c>
    </row>
    <row r="403" spans="2:19" x14ac:dyDescent="0.25">
      <c r="B403" s="1">
        <f t="shared" si="48"/>
        <v>397</v>
      </c>
      <c r="C403" s="1">
        <v>612</v>
      </c>
      <c r="D403" s="13">
        <v>50.6</v>
      </c>
      <c r="E403" s="1" t="s">
        <v>11</v>
      </c>
      <c r="F403" s="2">
        <v>2.335</v>
      </c>
      <c r="G403" s="1" t="s">
        <v>12</v>
      </c>
      <c r="H403" s="1" t="s">
        <v>13</v>
      </c>
      <c r="I403" s="1" t="s">
        <v>14</v>
      </c>
      <c r="J403" s="14">
        <v>0.56943287037037038</v>
      </c>
      <c r="K403" s="15">
        <v>45514</v>
      </c>
      <c r="M403" s="2">
        <v>2.2650000000000001</v>
      </c>
      <c r="O403" s="2">
        <f t="shared" si="43"/>
        <v>2.2000000000000002</v>
      </c>
      <c r="P403" s="2">
        <f t="shared" si="44"/>
        <v>52.623506988564174</v>
      </c>
      <c r="Q403" s="2">
        <f t="shared" si="45"/>
        <v>0.25299999999999462</v>
      </c>
      <c r="R403" s="2">
        <f t="shared" si="46"/>
        <v>0.26318869123252298</v>
      </c>
      <c r="S403" s="2">
        <f t="shared" si="47"/>
        <v>-1.0188691232528357E-2</v>
      </c>
    </row>
    <row r="404" spans="2:19" x14ac:dyDescent="0.25">
      <c r="B404" s="1">
        <f t="shared" si="48"/>
        <v>398</v>
      </c>
      <c r="C404" s="1">
        <v>613</v>
      </c>
      <c r="D404" s="13">
        <v>50.6</v>
      </c>
      <c r="E404" s="1" t="s">
        <v>11</v>
      </c>
      <c r="F404" s="2">
        <v>2.34</v>
      </c>
      <c r="G404" s="1" t="s">
        <v>12</v>
      </c>
      <c r="H404" s="1" t="s">
        <v>13</v>
      </c>
      <c r="I404" s="1" t="s">
        <v>14</v>
      </c>
      <c r="J404" s="14">
        <v>0.56943287037037038</v>
      </c>
      <c r="K404" s="15">
        <v>45514</v>
      </c>
      <c r="M404" s="2">
        <v>2.27</v>
      </c>
      <c r="O404" s="2">
        <f t="shared" si="43"/>
        <v>2.2050000000000001</v>
      </c>
      <c r="P404" s="2">
        <f t="shared" si="44"/>
        <v>52.651969504447266</v>
      </c>
      <c r="Q404" s="2">
        <f t="shared" si="45"/>
        <v>0.25299999999999462</v>
      </c>
      <c r="R404" s="2">
        <f t="shared" si="46"/>
        <v>0.26333100381193847</v>
      </c>
      <c r="S404" s="2">
        <f t="shared" si="47"/>
        <v>-1.0331003811943851E-2</v>
      </c>
    </row>
    <row r="405" spans="2:19" x14ac:dyDescent="0.25">
      <c r="B405" s="1">
        <f t="shared" si="48"/>
        <v>399</v>
      </c>
      <c r="C405" s="1">
        <v>615</v>
      </c>
      <c r="D405" s="13">
        <v>50.6</v>
      </c>
      <c r="E405" s="1" t="s">
        <v>11</v>
      </c>
      <c r="F405" s="2">
        <v>2.3450000000000002</v>
      </c>
      <c r="G405" s="1" t="s">
        <v>12</v>
      </c>
      <c r="H405" s="1" t="s">
        <v>13</v>
      </c>
      <c r="I405" s="1" t="s">
        <v>14</v>
      </c>
      <c r="J405" s="14">
        <v>0.56943287037037038</v>
      </c>
      <c r="K405" s="15">
        <v>45514</v>
      </c>
      <c r="M405" s="2">
        <v>2.2749999999999999</v>
      </c>
      <c r="O405" s="2">
        <f t="shared" si="43"/>
        <v>2.21</v>
      </c>
      <c r="P405" s="2">
        <f t="shared" si="44"/>
        <v>52.680432020330372</v>
      </c>
      <c r="Q405" s="2">
        <f t="shared" si="45"/>
        <v>0.25324999999999465</v>
      </c>
      <c r="R405" s="2">
        <f t="shared" si="46"/>
        <v>0.26347331639135396</v>
      </c>
      <c r="S405" s="2">
        <f t="shared" si="47"/>
        <v>-1.0223316391359316E-2</v>
      </c>
    </row>
    <row r="406" spans="2:19" x14ac:dyDescent="0.25">
      <c r="B406" s="1">
        <f t="shared" si="48"/>
        <v>400</v>
      </c>
      <c r="C406" s="1">
        <v>616</v>
      </c>
      <c r="D406" s="13">
        <v>50.7</v>
      </c>
      <c r="E406" s="1" t="s">
        <v>11</v>
      </c>
      <c r="F406" s="2">
        <v>2.35</v>
      </c>
      <c r="G406" s="1" t="s">
        <v>12</v>
      </c>
      <c r="H406" s="1" t="s">
        <v>13</v>
      </c>
      <c r="I406" s="1" t="s">
        <v>14</v>
      </c>
      <c r="J406" s="14">
        <v>0.56944444444444442</v>
      </c>
      <c r="K406" s="15">
        <v>45514</v>
      </c>
      <c r="M406" s="2">
        <v>2.2799999999999998</v>
      </c>
      <c r="O406" s="2">
        <f t="shared" si="43"/>
        <v>2.2149999999999999</v>
      </c>
      <c r="P406" s="2">
        <f t="shared" si="44"/>
        <v>52.708894536213471</v>
      </c>
      <c r="Q406" s="2">
        <f t="shared" si="45"/>
        <v>0.2535000000000171</v>
      </c>
      <c r="R406" s="2">
        <f t="shared" si="46"/>
        <v>0.26361562897079294</v>
      </c>
      <c r="S406" s="2">
        <f t="shared" si="47"/>
        <v>-1.0115628970775836E-2</v>
      </c>
    </row>
    <row r="407" spans="2:19" x14ac:dyDescent="0.25">
      <c r="B407" s="1">
        <f t="shared" si="48"/>
        <v>401</v>
      </c>
      <c r="C407" s="1">
        <v>617</v>
      </c>
      <c r="D407" s="13">
        <v>50.7</v>
      </c>
      <c r="E407" s="1" t="s">
        <v>11</v>
      </c>
      <c r="F407" s="2">
        <v>2.355</v>
      </c>
      <c r="G407" s="1" t="s">
        <v>12</v>
      </c>
      <c r="H407" s="1" t="s">
        <v>13</v>
      </c>
      <c r="I407" s="1" t="s">
        <v>14</v>
      </c>
      <c r="J407" s="14">
        <v>0.56944444444444442</v>
      </c>
      <c r="K407" s="15">
        <v>45514</v>
      </c>
      <c r="M407" s="2">
        <v>2.2850000000000001</v>
      </c>
      <c r="O407" s="2">
        <f t="shared" si="43"/>
        <v>2.2200000000000002</v>
      </c>
      <c r="P407" s="2">
        <f t="shared" si="44"/>
        <v>52.73735705209657</v>
      </c>
      <c r="Q407" s="2">
        <f t="shared" si="45"/>
        <v>0.25349999999999462</v>
      </c>
      <c r="R407" s="2">
        <f t="shared" si="46"/>
        <v>0.26375794155018495</v>
      </c>
      <c r="S407" s="2">
        <f t="shared" si="47"/>
        <v>-1.025794155019033E-2</v>
      </c>
    </row>
    <row r="408" spans="2:19" x14ac:dyDescent="0.25">
      <c r="B408" s="1">
        <f t="shared" si="48"/>
        <v>402</v>
      </c>
      <c r="C408" s="1">
        <v>618</v>
      </c>
      <c r="D408" s="13">
        <v>50.7</v>
      </c>
      <c r="E408" s="1" t="s">
        <v>11</v>
      </c>
      <c r="F408" s="2">
        <v>2.36</v>
      </c>
      <c r="G408" s="1" t="s">
        <v>12</v>
      </c>
      <c r="H408" s="1" t="s">
        <v>13</v>
      </c>
      <c r="I408" s="1" t="s">
        <v>14</v>
      </c>
      <c r="J408" s="14">
        <v>0.56944444444444442</v>
      </c>
      <c r="K408" s="15">
        <v>45514</v>
      </c>
      <c r="M408" s="2">
        <v>2.29</v>
      </c>
      <c r="O408" s="2">
        <f t="shared" si="43"/>
        <v>2.2250000000000001</v>
      </c>
      <c r="P408" s="2">
        <f t="shared" si="44"/>
        <v>52.765819567979669</v>
      </c>
      <c r="Q408" s="2">
        <f t="shared" si="45"/>
        <v>0.25349999999999462</v>
      </c>
      <c r="R408" s="2">
        <f t="shared" si="46"/>
        <v>0.2639002541296005</v>
      </c>
      <c r="S408" s="2">
        <f t="shared" si="47"/>
        <v>-1.0400254129605879E-2</v>
      </c>
    </row>
    <row r="409" spans="2:19" x14ac:dyDescent="0.25">
      <c r="B409" s="1">
        <f t="shared" si="48"/>
        <v>403</v>
      </c>
      <c r="C409" s="1">
        <v>619</v>
      </c>
      <c r="D409" s="13">
        <v>50.7</v>
      </c>
      <c r="E409" s="1" t="s">
        <v>11</v>
      </c>
      <c r="F409" s="2">
        <v>2.3650000000000002</v>
      </c>
      <c r="G409" s="1" t="s">
        <v>12</v>
      </c>
      <c r="H409" s="1" t="s">
        <v>13</v>
      </c>
      <c r="I409" s="1" t="s">
        <v>14</v>
      </c>
      <c r="J409" s="14">
        <v>0.56944444444444442</v>
      </c>
      <c r="K409" s="15">
        <v>45514</v>
      </c>
      <c r="M409" s="2">
        <v>2.2949999999999999</v>
      </c>
      <c r="O409" s="2">
        <f t="shared" si="43"/>
        <v>2.23</v>
      </c>
      <c r="P409" s="2">
        <f t="shared" si="44"/>
        <v>52.794282083862768</v>
      </c>
      <c r="Q409" s="2">
        <f t="shared" si="45"/>
        <v>0.25374999999999459</v>
      </c>
      <c r="R409" s="2">
        <f t="shared" si="46"/>
        <v>0.26404256670901599</v>
      </c>
      <c r="S409" s="2">
        <f t="shared" si="47"/>
        <v>-1.02925667090214E-2</v>
      </c>
    </row>
    <row r="410" spans="2:19" x14ac:dyDescent="0.25">
      <c r="B410" s="1">
        <f t="shared" si="48"/>
        <v>404</v>
      </c>
      <c r="C410" s="1">
        <v>620</v>
      </c>
      <c r="D410" s="13">
        <v>50.8</v>
      </c>
      <c r="E410" s="1" t="s">
        <v>11</v>
      </c>
      <c r="F410" s="2">
        <v>2.37</v>
      </c>
      <c r="G410" s="1" t="s">
        <v>12</v>
      </c>
      <c r="H410" s="1" t="s">
        <v>13</v>
      </c>
      <c r="I410" s="1" t="s">
        <v>14</v>
      </c>
      <c r="J410" s="14">
        <v>0.56944444444444442</v>
      </c>
      <c r="K410" s="15">
        <v>45514</v>
      </c>
      <c r="M410" s="2">
        <v>2.2999999999999998</v>
      </c>
      <c r="O410" s="2">
        <f t="shared" si="43"/>
        <v>2.2349999999999999</v>
      </c>
      <c r="P410" s="2">
        <f t="shared" si="44"/>
        <v>52.822744599745874</v>
      </c>
      <c r="Q410" s="2">
        <f t="shared" si="45"/>
        <v>0.25400000000001716</v>
      </c>
      <c r="R410" s="2">
        <f t="shared" si="46"/>
        <v>0.26418487928845491</v>
      </c>
      <c r="S410" s="2">
        <f t="shared" si="47"/>
        <v>-1.0184879288437754E-2</v>
      </c>
    </row>
    <row r="411" spans="2:19" x14ac:dyDescent="0.25">
      <c r="B411" s="1">
        <f t="shared" si="48"/>
        <v>405</v>
      </c>
      <c r="C411" s="1">
        <v>621</v>
      </c>
      <c r="D411" s="13">
        <v>50.8</v>
      </c>
      <c r="E411" s="1" t="s">
        <v>11</v>
      </c>
      <c r="F411" s="2">
        <v>2.375</v>
      </c>
      <c r="G411" s="1" t="s">
        <v>12</v>
      </c>
      <c r="H411" s="1" t="s">
        <v>13</v>
      </c>
      <c r="I411" s="1" t="s">
        <v>14</v>
      </c>
      <c r="J411" s="14">
        <v>0.56944444444444442</v>
      </c>
      <c r="K411" s="15">
        <v>45514</v>
      </c>
      <c r="M411" s="2">
        <v>2.3050000000000002</v>
      </c>
      <c r="O411" s="2">
        <f t="shared" si="43"/>
        <v>2.2400000000000002</v>
      </c>
      <c r="P411" s="2">
        <f t="shared" si="44"/>
        <v>52.851207115628974</v>
      </c>
      <c r="Q411" s="2">
        <f t="shared" si="45"/>
        <v>0.25399999999999456</v>
      </c>
      <c r="R411" s="2">
        <f t="shared" si="46"/>
        <v>0.26432719186784698</v>
      </c>
      <c r="S411" s="2">
        <f t="shared" si="47"/>
        <v>-1.0327191867852414E-2</v>
      </c>
    </row>
    <row r="412" spans="2:19" x14ac:dyDescent="0.25">
      <c r="B412" s="1">
        <f t="shared" si="48"/>
        <v>406</v>
      </c>
      <c r="C412" s="1">
        <v>622</v>
      </c>
      <c r="D412" s="13">
        <v>50.8</v>
      </c>
      <c r="E412" s="1" t="s">
        <v>11</v>
      </c>
      <c r="F412" s="2">
        <v>2.38</v>
      </c>
      <c r="G412" s="1" t="s">
        <v>12</v>
      </c>
      <c r="H412" s="1" t="s">
        <v>13</v>
      </c>
      <c r="I412" s="1" t="s">
        <v>14</v>
      </c>
      <c r="J412" s="14">
        <v>0.56944444444444442</v>
      </c>
      <c r="K412" s="15">
        <v>45514</v>
      </c>
      <c r="M412" s="2">
        <v>2.31</v>
      </c>
      <c r="O412" s="2">
        <f t="shared" si="43"/>
        <v>2.2450000000000001</v>
      </c>
      <c r="P412" s="2">
        <f t="shared" si="44"/>
        <v>52.879669631512073</v>
      </c>
      <c r="Q412" s="2">
        <f t="shared" si="45"/>
        <v>0.25399999999999456</v>
      </c>
      <c r="R412" s="2">
        <f t="shared" si="46"/>
        <v>0.26446950444726247</v>
      </c>
      <c r="S412" s="2">
        <f t="shared" si="47"/>
        <v>-1.0469504447267908E-2</v>
      </c>
    </row>
    <row r="413" spans="2:19" x14ac:dyDescent="0.25">
      <c r="B413" s="1">
        <f t="shared" si="48"/>
        <v>407</v>
      </c>
      <c r="C413" s="1">
        <v>623</v>
      </c>
      <c r="D413" s="13">
        <v>50.8</v>
      </c>
      <c r="E413" s="1" t="s">
        <v>11</v>
      </c>
      <c r="F413" s="2">
        <v>2.3849999999999998</v>
      </c>
      <c r="G413" s="1" t="s">
        <v>12</v>
      </c>
      <c r="H413" s="1" t="s">
        <v>13</v>
      </c>
      <c r="I413" s="1" t="s">
        <v>14</v>
      </c>
      <c r="J413" s="14">
        <v>0.56944444444444442</v>
      </c>
      <c r="K413" s="15">
        <v>45514</v>
      </c>
      <c r="M413" s="2">
        <v>2.3149999999999999</v>
      </c>
      <c r="O413" s="2">
        <f t="shared" si="43"/>
        <v>2.25</v>
      </c>
      <c r="P413" s="2">
        <f t="shared" si="44"/>
        <v>52.908132147395172</v>
      </c>
      <c r="Q413" s="2">
        <f t="shared" si="45"/>
        <v>0.25399999999999456</v>
      </c>
      <c r="R413" s="2">
        <f t="shared" si="46"/>
        <v>0.26461181702667796</v>
      </c>
      <c r="S413" s="2">
        <f t="shared" si="47"/>
        <v>-1.0611817026683401E-2</v>
      </c>
    </row>
    <row r="414" spans="2:19" x14ac:dyDescent="0.25">
      <c r="B414" s="1">
        <f t="shared" si="48"/>
        <v>408</v>
      </c>
      <c r="C414" s="1">
        <v>625</v>
      </c>
      <c r="D414" s="13">
        <v>50.8</v>
      </c>
      <c r="E414" s="1" t="s">
        <v>11</v>
      </c>
      <c r="F414" s="2">
        <v>2.39</v>
      </c>
      <c r="G414" s="1" t="s">
        <v>12</v>
      </c>
      <c r="H414" s="1" t="s">
        <v>13</v>
      </c>
      <c r="I414" s="1" t="s">
        <v>14</v>
      </c>
      <c r="J414" s="14">
        <v>0.56944444444444442</v>
      </c>
      <c r="K414" s="15">
        <v>45514</v>
      </c>
      <c r="M414" s="2">
        <v>2.3199999999999998</v>
      </c>
      <c r="O414" s="2">
        <f t="shared" si="43"/>
        <v>2.2549999999999999</v>
      </c>
      <c r="P414" s="2">
        <f t="shared" si="44"/>
        <v>52.936594663278271</v>
      </c>
      <c r="Q414" s="2">
        <f t="shared" si="45"/>
        <v>0.25425000000001713</v>
      </c>
      <c r="R414" s="2">
        <f t="shared" si="46"/>
        <v>0.26475412960611699</v>
      </c>
      <c r="S414" s="2">
        <f t="shared" si="47"/>
        <v>-1.0504129606099866E-2</v>
      </c>
    </row>
    <row r="415" spans="2:19" x14ac:dyDescent="0.25">
      <c r="B415" s="1">
        <f t="shared" si="48"/>
        <v>409</v>
      </c>
      <c r="C415" s="1">
        <v>626</v>
      </c>
      <c r="D415" s="13">
        <v>50.9</v>
      </c>
      <c r="E415" s="1" t="s">
        <v>11</v>
      </c>
      <c r="F415" s="2">
        <v>2.395</v>
      </c>
      <c r="G415" s="1" t="s">
        <v>12</v>
      </c>
      <c r="H415" s="1" t="s">
        <v>13</v>
      </c>
      <c r="I415" s="1" t="s">
        <v>14</v>
      </c>
      <c r="J415" s="14">
        <v>0.56945601851851857</v>
      </c>
      <c r="K415" s="15">
        <v>45514</v>
      </c>
      <c r="M415" s="2">
        <v>2.3250000000000002</v>
      </c>
      <c r="O415" s="2">
        <f t="shared" si="43"/>
        <v>2.2600000000000002</v>
      </c>
      <c r="P415" s="2">
        <f t="shared" si="44"/>
        <v>52.965057179161377</v>
      </c>
      <c r="Q415" s="2">
        <f t="shared" si="45"/>
        <v>0.25449999999999456</v>
      </c>
      <c r="R415" s="2">
        <f t="shared" si="46"/>
        <v>0.26489644218550895</v>
      </c>
      <c r="S415" s="2">
        <f t="shared" si="47"/>
        <v>-1.0396442185514387E-2</v>
      </c>
    </row>
    <row r="416" spans="2:19" x14ac:dyDescent="0.25">
      <c r="B416" s="1">
        <f t="shared" si="48"/>
        <v>410</v>
      </c>
      <c r="C416" s="1">
        <v>627</v>
      </c>
      <c r="D416" s="13">
        <v>50.9</v>
      </c>
      <c r="E416" s="1" t="s">
        <v>11</v>
      </c>
      <c r="F416" s="2">
        <v>2.4</v>
      </c>
      <c r="G416" s="1" t="s">
        <v>12</v>
      </c>
      <c r="H416" s="1" t="s">
        <v>13</v>
      </c>
      <c r="I416" s="1" t="s">
        <v>14</v>
      </c>
      <c r="J416" s="14">
        <v>0.56945601851851857</v>
      </c>
      <c r="K416" s="15">
        <v>45514</v>
      </c>
      <c r="M416" s="2">
        <v>2.33</v>
      </c>
      <c r="O416" s="2">
        <f t="shared" si="43"/>
        <v>2.2650000000000001</v>
      </c>
      <c r="P416" s="2">
        <f t="shared" si="44"/>
        <v>52.993519695044476</v>
      </c>
      <c r="Q416" s="2">
        <f t="shared" si="45"/>
        <v>0.50999999999998913</v>
      </c>
      <c r="R416" s="2">
        <f t="shared" si="46"/>
        <v>0.53021982210926444</v>
      </c>
      <c r="S416" s="2">
        <f t="shared" si="47"/>
        <v>-2.0219822109275309E-2</v>
      </c>
    </row>
    <row r="417" spans="2:19" x14ac:dyDescent="0.25">
      <c r="B417" s="1">
        <f t="shared" si="48"/>
        <v>411</v>
      </c>
      <c r="C417" s="1">
        <v>629</v>
      </c>
      <c r="D417" s="13">
        <v>51.1</v>
      </c>
      <c r="E417" s="1" t="s">
        <v>11</v>
      </c>
      <c r="F417" s="2">
        <v>2.41</v>
      </c>
      <c r="G417" s="1" t="s">
        <v>12</v>
      </c>
      <c r="H417" s="1" t="s">
        <v>13</v>
      </c>
      <c r="I417" s="1" t="s">
        <v>14</v>
      </c>
      <c r="J417" s="14">
        <v>0.56945601851851857</v>
      </c>
      <c r="K417" s="15">
        <v>45514</v>
      </c>
      <c r="M417" s="2">
        <v>2.34</v>
      </c>
      <c r="O417" s="2">
        <f t="shared" si="43"/>
        <v>2.2749999999999999</v>
      </c>
      <c r="P417" s="2">
        <f t="shared" si="44"/>
        <v>53.050444726810674</v>
      </c>
      <c r="Q417" s="2">
        <f t="shared" si="45"/>
        <v>0.25550000000001727</v>
      </c>
      <c r="R417" s="2">
        <f t="shared" si="46"/>
        <v>0.26532337992377902</v>
      </c>
      <c r="S417" s="2">
        <f t="shared" si="47"/>
        <v>-9.8233799237617547E-3</v>
      </c>
    </row>
    <row r="418" spans="2:19" x14ac:dyDescent="0.25">
      <c r="B418" s="1">
        <f t="shared" si="48"/>
        <v>412</v>
      </c>
      <c r="C418" s="1">
        <v>631</v>
      </c>
      <c r="D418" s="13">
        <v>51.1</v>
      </c>
      <c r="E418" s="1" t="s">
        <v>11</v>
      </c>
      <c r="F418" s="2">
        <v>2.415</v>
      </c>
      <c r="G418" s="1" t="s">
        <v>12</v>
      </c>
      <c r="H418" s="1" t="s">
        <v>13</v>
      </c>
      <c r="I418" s="1" t="s">
        <v>14</v>
      </c>
      <c r="J418" s="14">
        <v>0.56945601851851857</v>
      </c>
      <c r="K418" s="15">
        <v>45514</v>
      </c>
      <c r="M418" s="2">
        <v>2.3450000000000002</v>
      </c>
      <c r="O418" s="2">
        <f t="shared" si="43"/>
        <v>2.2800000000000002</v>
      </c>
      <c r="P418" s="2">
        <f t="shared" si="44"/>
        <v>53.078907242693774</v>
      </c>
      <c r="Q418" s="2">
        <f t="shared" si="45"/>
        <v>0.25574999999999459</v>
      </c>
      <c r="R418" s="2">
        <f t="shared" si="46"/>
        <v>0.26546569250317098</v>
      </c>
      <c r="S418" s="2">
        <f t="shared" si="47"/>
        <v>-9.7156925031763874E-3</v>
      </c>
    </row>
    <row r="419" spans="2:19" x14ac:dyDescent="0.25">
      <c r="B419" s="1">
        <f t="shared" si="48"/>
        <v>413</v>
      </c>
      <c r="C419" s="1">
        <v>632</v>
      </c>
      <c r="D419" s="13">
        <v>51.2</v>
      </c>
      <c r="E419" s="1" t="s">
        <v>11</v>
      </c>
      <c r="F419" s="2">
        <v>2.42</v>
      </c>
      <c r="G419" s="1" t="s">
        <v>12</v>
      </c>
      <c r="H419" s="1" t="s">
        <v>13</v>
      </c>
      <c r="I419" s="1" t="s">
        <v>14</v>
      </c>
      <c r="J419" s="14">
        <v>0.56945601851851857</v>
      </c>
      <c r="K419" s="15">
        <v>45514</v>
      </c>
      <c r="M419" s="2">
        <v>2.35</v>
      </c>
      <c r="O419" s="2">
        <f t="shared" si="43"/>
        <v>2.2850000000000001</v>
      </c>
      <c r="P419" s="2">
        <f t="shared" si="44"/>
        <v>53.10736975857688</v>
      </c>
      <c r="Q419" s="2">
        <f t="shared" si="45"/>
        <v>0.25599999999999457</v>
      </c>
      <c r="R419" s="2">
        <f t="shared" si="46"/>
        <v>0.26560800508258647</v>
      </c>
      <c r="S419" s="2">
        <f t="shared" si="47"/>
        <v>-9.6080050825919083E-3</v>
      </c>
    </row>
    <row r="420" spans="2:19" x14ac:dyDescent="0.25">
      <c r="B420" s="1">
        <f t="shared" si="48"/>
        <v>414</v>
      </c>
      <c r="C420" s="1">
        <v>633</v>
      </c>
      <c r="D420" s="13">
        <v>51.2</v>
      </c>
      <c r="E420" s="1" t="s">
        <v>11</v>
      </c>
      <c r="F420" s="2">
        <v>2.4249999999999998</v>
      </c>
      <c r="G420" s="1" t="s">
        <v>12</v>
      </c>
      <c r="H420" s="1" t="s">
        <v>13</v>
      </c>
      <c r="I420" s="1" t="s">
        <v>14</v>
      </c>
      <c r="J420" s="14">
        <v>0.56945601851851857</v>
      </c>
      <c r="K420" s="15">
        <v>45514</v>
      </c>
      <c r="M420" s="2">
        <v>2.355</v>
      </c>
      <c r="O420" s="2">
        <f t="shared" si="43"/>
        <v>2.29</v>
      </c>
      <c r="P420" s="2">
        <f t="shared" si="44"/>
        <v>53.135832274459972</v>
      </c>
      <c r="Q420" s="2">
        <f t="shared" si="45"/>
        <v>0.25599999999999457</v>
      </c>
      <c r="R420" s="2">
        <f t="shared" si="46"/>
        <v>0.26575031766200197</v>
      </c>
      <c r="S420" s="2">
        <f t="shared" si="47"/>
        <v>-9.7503176620074017E-3</v>
      </c>
    </row>
    <row r="421" spans="2:19" x14ac:dyDescent="0.25">
      <c r="B421" s="1">
        <f t="shared" si="48"/>
        <v>415</v>
      </c>
      <c r="C421" s="1">
        <v>634</v>
      </c>
      <c r="D421" s="13">
        <v>51.2</v>
      </c>
      <c r="E421" s="1" t="s">
        <v>11</v>
      </c>
      <c r="F421" s="2">
        <v>2.4300000000000002</v>
      </c>
      <c r="G421" s="1" t="s">
        <v>12</v>
      </c>
      <c r="H421" s="1" t="s">
        <v>13</v>
      </c>
      <c r="I421" s="1" t="s">
        <v>14</v>
      </c>
      <c r="J421" s="14">
        <v>0.56945601851851857</v>
      </c>
      <c r="K421" s="15">
        <v>45514</v>
      </c>
      <c r="M421" s="2">
        <v>2.36</v>
      </c>
      <c r="O421" s="2">
        <f t="shared" si="43"/>
        <v>2.2949999999999999</v>
      </c>
      <c r="P421" s="2">
        <f t="shared" si="44"/>
        <v>53.164294790343078</v>
      </c>
      <c r="Q421" s="2">
        <f t="shared" si="45"/>
        <v>0.2562500000000173</v>
      </c>
      <c r="R421" s="2">
        <f t="shared" si="46"/>
        <v>0.26589263024144105</v>
      </c>
      <c r="S421" s="2">
        <f t="shared" si="47"/>
        <v>-9.6426302414237552E-3</v>
      </c>
    </row>
    <row r="422" spans="2:19" x14ac:dyDescent="0.25">
      <c r="B422" s="1">
        <f t="shared" si="48"/>
        <v>416</v>
      </c>
      <c r="C422" s="1">
        <v>636</v>
      </c>
      <c r="D422" s="13">
        <v>51.3</v>
      </c>
      <c r="E422" s="1" t="s">
        <v>11</v>
      </c>
      <c r="F422" s="2">
        <v>2.4350000000000001</v>
      </c>
      <c r="G422" s="1" t="s">
        <v>12</v>
      </c>
      <c r="H422" s="1" t="s">
        <v>13</v>
      </c>
      <c r="I422" s="1" t="s">
        <v>14</v>
      </c>
      <c r="J422" s="14">
        <v>0.56946759259259261</v>
      </c>
      <c r="K422" s="15">
        <v>45514</v>
      </c>
      <c r="M422" s="2">
        <v>2.3650000000000002</v>
      </c>
      <c r="O422" s="2">
        <f t="shared" si="43"/>
        <v>2.3000000000000003</v>
      </c>
      <c r="P422" s="2">
        <f t="shared" si="44"/>
        <v>53.192757306226177</v>
      </c>
      <c r="Q422" s="2">
        <f t="shared" si="45"/>
        <v>0.25649999999999451</v>
      </c>
      <c r="R422" s="2">
        <f t="shared" si="46"/>
        <v>0.26603494282083295</v>
      </c>
      <c r="S422" s="2">
        <f t="shared" si="47"/>
        <v>-9.5349428208384435E-3</v>
      </c>
    </row>
    <row r="423" spans="2:19" x14ac:dyDescent="0.25">
      <c r="B423" s="1">
        <f t="shared" si="48"/>
        <v>417</v>
      </c>
      <c r="C423" s="1">
        <v>637</v>
      </c>
      <c r="D423" s="13">
        <v>51.3</v>
      </c>
      <c r="E423" s="1" t="s">
        <v>11</v>
      </c>
      <c r="F423" s="2">
        <v>2.44</v>
      </c>
      <c r="G423" s="1" t="s">
        <v>12</v>
      </c>
      <c r="H423" s="1" t="s">
        <v>13</v>
      </c>
      <c r="I423" s="1" t="s">
        <v>14</v>
      </c>
      <c r="J423" s="14">
        <v>0.56946759259259261</v>
      </c>
      <c r="K423" s="15">
        <v>45514</v>
      </c>
      <c r="M423" s="2">
        <v>2.37</v>
      </c>
      <c r="O423" s="2">
        <f t="shared" si="43"/>
        <v>2.3050000000000002</v>
      </c>
      <c r="P423" s="2">
        <f t="shared" si="44"/>
        <v>53.221219822109276</v>
      </c>
      <c r="Q423" s="2">
        <f t="shared" si="45"/>
        <v>0.25649999999999451</v>
      </c>
      <c r="R423" s="2">
        <f t="shared" si="46"/>
        <v>0.26617725540024845</v>
      </c>
      <c r="S423" s="2">
        <f t="shared" si="47"/>
        <v>-9.6772554002539368E-3</v>
      </c>
    </row>
    <row r="424" spans="2:19" x14ac:dyDescent="0.25">
      <c r="B424" s="1">
        <f t="shared" si="48"/>
        <v>418</v>
      </c>
      <c r="C424" s="1">
        <v>638</v>
      </c>
      <c r="D424" s="13">
        <v>51.3</v>
      </c>
      <c r="E424" s="1" t="s">
        <v>11</v>
      </c>
      <c r="F424" s="2">
        <v>2.4449999999999998</v>
      </c>
      <c r="G424" s="1" t="s">
        <v>12</v>
      </c>
      <c r="H424" s="1" t="s">
        <v>13</v>
      </c>
      <c r="I424" s="1" t="s">
        <v>14</v>
      </c>
      <c r="J424" s="14">
        <v>0.56946759259259261</v>
      </c>
      <c r="K424" s="15">
        <v>45514</v>
      </c>
      <c r="M424" s="2">
        <v>2.375</v>
      </c>
      <c r="O424" s="2">
        <f t="shared" si="43"/>
        <v>2.31</v>
      </c>
      <c r="P424" s="2">
        <f t="shared" si="44"/>
        <v>53.249682337992375</v>
      </c>
      <c r="Q424" s="2">
        <f t="shared" si="45"/>
        <v>0.25649999999999451</v>
      </c>
      <c r="R424" s="2">
        <f t="shared" si="46"/>
        <v>0.26631956797966394</v>
      </c>
      <c r="S424" s="2">
        <f t="shared" si="47"/>
        <v>-9.8195679796694302E-3</v>
      </c>
    </row>
    <row r="425" spans="2:19" x14ac:dyDescent="0.25">
      <c r="B425" s="1">
        <f t="shared" si="48"/>
        <v>419</v>
      </c>
      <c r="C425" s="1">
        <v>639</v>
      </c>
      <c r="D425" s="13">
        <v>51.3</v>
      </c>
      <c r="E425" s="1" t="s">
        <v>11</v>
      </c>
      <c r="F425" s="2">
        <v>2.4500000000000002</v>
      </c>
      <c r="G425" s="1" t="s">
        <v>12</v>
      </c>
      <c r="H425" s="1" t="s">
        <v>13</v>
      </c>
      <c r="I425" s="1" t="s">
        <v>14</v>
      </c>
      <c r="J425" s="14">
        <v>0.56946759259259261</v>
      </c>
      <c r="K425" s="15">
        <v>45514</v>
      </c>
      <c r="M425" s="2">
        <v>2.38</v>
      </c>
      <c r="O425" s="2">
        <f t="shared" si="43"/>
        <v>2.3149999999999999</v>
      </c>
      <c r="P425" s="2">
        <f t="shared" si="44"/>
        <v>53.278144853875474</v>
      </c>
      <c r="Q425" s="2">
        <f t="shared" si="45"/>
        <v>0.25649999999999451</v>
      </c>
      <c r="R425" s="2">
        <f t="shared" si="46"/>
        <v>0.26646188055907943</v>
      </c>
      <c r="S425" s="2">
        <f t="shared" si="47"/>
        <v>-9.9618805590849235E-3</v>
      </c>
    </row>
    <row r="426" spans="2:19" x14ac:dyDescent="0.25">
      <c r="B426" s="1">
        <f t="shared" si="48"/>
        <v>420</v>
      </c>
      <c r="C426" s="1">
        <v>640</v>
      </c>
      <c r="D426" s="13">
        <v>51.3</v>
      </c>
      <c r="E426" s="1" t="s">
        <v>11</v>
      </c>
      <c r="F426" s="2">
        <v>2.4550000000000001</v>
      </c>
      <c r="G426" s="1" t="s">
        <v>12</v>
      </c>
      <c r="H426" s="1" t="s">
        <v>13</v>
      </c>
      <c r="I426" s="1" t="s">
        <v>14</v>
      </c>
      <c r="J426" s="14">
        <v>0.56946759259259261</v>
      </c>
      <c r="K426" s="15">
        <v>45514</v>
      </c>
      <c r="M426" s="2">
        <v>2.3849999999999998</v>
      </c>
      <c r="O426" s="2">
        <f t="shared" si="43"/>
        <v>2.3199999999999998</v>
      </c>
      <c r="P426" s="2">
        <f t="shared" si="44"/>
        <v>53.306607369758581</v>
      </c>
      <c r="Q426" s="2">
        <f t="shared" si="45"/>
        <v>0.2567500000000173</v>
      </c>
      <c r="R426" s="2">
        <f t="shared" si="46"/>
        <v>0.26660419313851863</v>
      </c>
      <c r="S426" s="2">
        <f t="shared" si="47"/>
        <v>-9.8541931385013326E-3</v>
      </c>
    </row>
    <row r="427" spans="2:19" x14ac:dyDescent="0.25">
      <c r="B427" s="1">
        <f t="shared" si="48"/>
        <v>421</v>
      </c>
      <c r="C427" s="1">
        <v>641</v>
      </c>
      <c r="D427" s="13">
        <v>51.4</v>
      </c>
      <c r="E427" s="1" t="s">
        <v>11</v>
      </c>
      <c r="F427" s="2">
        <v>2.46</v>
      </c>
      <c r="G427" s="1" t="s">
        <v>12</v>
      </c>
      <c r="H427" s="1" t="s">
        <v>13</v>
      </c>
      <c r="I427" s="1" t="s">
        <v>14</v>
      </c>
      <c r="J427" s="14">
        <v>0.56946759259259261</v>
      </c>
      <c r="K427" s="15">
        <v>45514</v>
      </c>
      <c r="M427" s="2">
        <v>2.39</v>
      </c>
      <c r="O427" s="2">
        <f t="shared" si="43"/>
        <v>2.3250000000000002</v>
      </c>
      <c r="P427" s="2">
        <f t="shared" si="44"/>
        <v>53.33506988564168</v>
      </c>
      <c r="Q427" s="2">
        <f t="shared" si="45"/>
        <v>0.25699999999999451</v>
      </c>
      <c r="R427" s="2">
        <f t="shared" si="46"/>
        <v>0.26674650571791048</v>
      </c>
      <c r="S427" s="2">
        <f t="shared" si="47"/>
        <v>-9.7465057179159653E-3</v>
      </c>
    </row>
    <row r="428" spans="2:19" x14ac:dyDescent="0.25">
      <c r="B428" s="1">
        <f t="shared" si="48"/>
        <v>422</v>
      </c>
      <c r="C428" s="1">
        <v>643</v>
      </c>
      <c r="D428" s="13">
        <v>51.4</v>
      </c>
      <c r="E428" s="1" t="s">
        <v>11</v>
      </c>
      <c r="F428" s="2">
        <v>2.4649999999999999</v>
      </c>
      <c r="G428" s="1" t="s">
        <v>12</v>
      </c>
      <c r="H428" s="1" t="s">
        <v>13</v>
      </c>
      <c r="I428" s="1" t="s">
        <v>14</v>
      </c>
      <c r="J428" s="14">
        <v>0.56946759259259261</v>
      </c>
      <c r="K428" s="15">
        <v>45514</v>
      </c>
      <c r="M428" s="2">
        <v>2.395</v>
      </c>
      <c r="O428" s="2">
        <f t="shared" si="43"/>
        <v>2.33</v>
      </c>
      <c r="P428" s="2">
        <f t="shared" si="44"/>
        <v>53.363532401524779</v>
      </c>
      <c r="Q428" s="2">
        <f t="shared" si="45"/>
        <v>0.25699999999999451</v>
      </c>
      <c r="R428" s="2">
        <f t="shared" si="46"/>
        <v>0.26688881829732591</v>
      </c>
      <c r="S428" s="2">
        <f t="shared" si="47"/>
        <v>-9.8888182973314032E-3</v>
      </c>
    </row>
    <row r="429" spans="2:19" x14ac:dyDescent="0.25">
      <c r="B429" s="1">
        <f t="shared" si="48"/>
        <v>423</v>
      </c>
      <c r="C429" s="1">
        <v>644</v>
      </c>
      <c r="D429" s="13">
        <v>51.4</v>
      </c>
      <c r="E429" s="1" t="s">
        <v>11</v>
      </c>
      <c r="F429" s="2">
        <v>2.4700000000000002</v>
      </c>
      <c r="G429" s="1" t="s">
        <v>12</v>
      </c>
      <c r="H429" s="1" t="s">
        <v>13</v>
      </c>
      <c r="I429" s="1" t="s">
        <v>14</v>
      </c>
      <c r="J429" s="14">
        <v>0.56946759259259261</v>
      </c>
      <c r="K429" s="15">
        <v>45514</v>
      </c>
      <c r="M429" s="2">
        <v>2.4</v>
      </c>
      <c r="O429" s="2">
        <f t="shared" si="43"/>
        <v>2.335</v>
      </c>
      <c r="P429" s="2">
        <f t="shared" si="44"/>
        <v>53.391994917407878</v>
      </c>
      <c r="Q429" s="2">
        <f t="shared" si="45"/>
        <v>0.25699999999999451</v>
      </c>
      <c r="R429" s="2">
        <f t="shared" si="46"/>
        <v>0.26703113087674146</v>
      </c>
      <c r="S429" s="2">
        <f t="shared" si="47"/>
        <v>-1.0031130876746952E-2</v>
      </c>
    </row>
    <row r="430" spans="2:19" x14ac:dyDescent="0.25">
      <c r="B430" s="1">
        <f t="shared" si="48"/>
        <v>424</v>
      </c>
      <c r="C430" s="1">
        <v>646</v>
      </c>
      <c r="D430" s="13">
        <v>51.4</v>
      </c>
      <c r="E430" s="1" t="s">
        <v>11</v>
      </c>
      <c r="F430" s="2">
        <v>2.4750000000000001</v>
      </c>
      <c r="G430" s="1" t="s">
        <v>12</v>
      </c>
      <c r="H430" s="1" t="s">
        <v>13</v>
      </c>
      <c r="I430" s="1" t="s">
        <v>14</v>
      </c>
      <c r="J430" s="14">
        <v>0.56947916666666665</v>
      </c>
      <c r="K430" s="15">
        <v>45514</v>
      </c>
      <c r="M430" s="2">
        <v>2.4049999999999998</v>
      </c>
      <c r="O430" s="2">
        <f t="shared" si="43"/>
        <v>2.34</v>
      </c>
      <c r="P430" s="2">
        <f t="shared" si="44"/>
        <v>53.420457433290977</v>
      </c>
      <c r="Q430" s="2">
        <f t="shared" si="45"/>
        <v>0.25700000000001733</v>
      </c>
      <c r="R430" s="2">
        <f t="shared" si="46"/>
        <v>0.26717344345618066</v>
      </c>
      <c r="S430" s="2">
        <f t="shared" si="47"/>
        <v>-1.0173443456163334E-2</v>
      </c>
    </row>
    <row r="431" spans="2:19" x14ac:dyDescent="0.25">
      <c r="B431" s="1">
        <f t="shared" si="48"/>
        <v>425</v>
      </c>
      <c r="C431" s="1">
        <v>647</v>
      </c>
      <c r="D431" s="13">
        <v>51.4</v>
      </c>
      <c r="E431" s="1" t="s">
        <v>11</v>
      </c>
      <c r="F431" s="2">
        <v>2.48</v>
      </c>
      <c r="G431" s="1" t="s">
        <v>12</v>
      </c>
      <c r="H431" s="1" t="s">
        <v>13</v>
      </c>
      <c r="I431" s="1" t="s">
        <v>14</v>
      </c>
      <c r="J431" s="14">
        <v>0.56947916666666665</v>
      </c>
      <c r="K431" s="15">
        <v>45514</v>
      </c>
      <c r="M431" s="2">
        <v>2.41</v>
      </c>
      <c r="O431" s="2">
        <f t="shared" si="43"/>
        <v>2.3450000000000002</v>
      </c>
      <c r="P431" s="2">
        <f t="shared" si="44"/>
        <v>53.448919949174083</v>
      </c>
      <c r="Q431" s="2">
        <f t="shared" si="45"/>
        <v>0.25724999999999454</v>
      </c>
      <c r="R431" s="2">
        <f t="shared" si="46"/>
        <v>0.26731575603557245</v>
      </c>
      <c r="S431" s="2">
        <f t="shared" si="47"/>
        <v>-1.0065756035577911E-2</v>
      </c>
    </row>
    <row r="432" spans="2:19" x14ac:dyDescent="0.25">
      <c r="B432" s="1">
        <f t="shared" si="48"/>
        <v>426</v>
      </c>
      <c r="C432" s="1">
        <v>649</v>
      </c>
      <c r="D432" s="13">
        <v>51.5</v>
      </c>
      <c r="E432" s="1" t="s">
        <v>11</v>
      </c>
      <c r="F432" s="2">
        <v>2.4849999999999999</v>
      </c>
      <c r="G432" s="1" t="s">
        <v>12</v>
      </c>
      <c r="H432" s="1" t="s">
        <v>13</v>
      </c>
      <c r="I432" s="1" t="s">
        <v>14</v>
      </c>
      <c r="J432" s="14">
        <v>0.56947916666666665</v>
      </c>
      <c r="K432" s="15">
        <v>45514</v>
      </c>
      <c r="M432" s="2">
        <v>2.415</v>
      </c>
      <c r="O432" s="2">
        <f t="shared" si="43"/>
        <v>2.35</v>
      </c>
      <c r="P432" s="2">
        <f t="shared" si="44"/>
        <v>53.477382465057183</v>
      </c>
      <c r="Q432" s="2">
        <f t="shared" si="45"/>
        <v>0.25749999999999451</v>
      </c>
      <c r="R432" s="2">
        <f t="shared" si="46"/>
        <v>0.267458068614988</v>
      </c>
      <c r="S432" s="2">
        <f t="shared" si="47"/>
        <v>-9.9580686149934872E-3</v>
      </c>
    </row>
    <row r="433" spans="2:19" x14ac:dyDescent="0.25">
      <c r="B433" s="1">
        <f t="shared" si="48"/>
        <v>427</v>
      </c>
      <c r="C433" s="1">
        <v>650</v>
      </c>
      <c r="D433" s="13">
        <v>51.5</v>
      </c>
      <c r="E433" s="1" t="s">
        <v>11</v>
      </c>
      <c r="F433" s="2">
        <v>2.4900000000000002</v>
      </c>
      <c r="G433" s="1" t="s">
        <v>12</v>
      </c>
      <c r="H433" s="1" t="s">
        <v>13</v>
      </c>
      <c r="I433" s="1" t="s">
        <v>14</v>
      </c>
      <c r="J433" s="14">
        <v>0.56947916666666665</v>
      </c>
      <c r="K433" s="15">
        <v>45514</v>
      </c>
      <c r="M433" s="2">
        <v>2.42</v>
      </c>
      <c r="O433" s="2">
        <f t="shared" si="43"/>
        <v>2.355</v>
      </c>
      <c r="P433" s="2">
        <f t="shared" si="44"/>
        <v>53.505844980940282</v>
      </c>
      <c r="Q433" s="2">
        <f t="shared" si="45"/>
        <v>0.25749999999999451</v>
      </c>
      <c r="R433" s="2">
        <f t="shared" si="46"/>
        <v>0.26760038119440344</v>
      </c>
      <c r="S433" s="2">
        <f t="shared" si="47"/>
        <v>-1.0100381194408925E-2</v>
      </c>
    </row>
    <row r="434" spans="2:19" x14ac:dyDescent="0.25">
      <c r="B434" s="1">
        <f t="shared" si="48"/>
        <v>428</v>
      </c>
      <c r="C434" s="1">
        <v>652</v>
      </c>
      <c r="D434" s="13">
        <v>51.5</v>
      </c>
      <c r="E434" s="1" t="s">
        <v>11</v>
      </c>
      <c r="F434" s="2">
        <v>2.4950000000000001</v>
      </c>
      <c r="G434" s="1" t="s">
        <v>12</v>
      </c>
      <c r="H434" s="1" t="s">
        <v>13</v>
      </c>
      <c r="I434" s="1" t="s">
        <v>14</v>
      </c>
      <c r="J434" s="14">
        <v>0.56947916666666665</v>
      </c>
      <c r="K434" s="15">
        <v>45514</v>
      </c>
      <c r="M434" s="2">
        <v>2.4249999999999998</v>
      </c>
      <c r="O434" s="2">
        <f t="shared" si="43"/>
        <v>2.36</v>
      </c>
      <c r="P434" s="2">
        <f t="shared" si="44"/>
        <v>53.534307496823381</v>
      </c>
      <c r="Q434" s="2">
        <f t="shared" si="45"/>
        <v>0.25750000000001738</v>
      </c>
      <c r="R434" s="2">
        <f t="shared" si="46"/>
        <v>0.26774269377384274</v>
      </c>
      <c r="S434" s="2">
        <f t="shared" si="47"/>
        <v>-1.0242693773825362E-2</v>
      </c>
    </row>
    <row r="435" spans="2:19" x14ac:dyDescent="0.25">
      <c r="B435" s="1">
        <f t="shared" si="48"/>
        <v>429</v>
      </c>
      <c r="C435" s="1">
        <v>653</v>
      </c>
      <c r="D435" s="13">
        <v>51.5</v>
      </c>
      <c r="E435" s="1" t="s">
        <v>11</v>
      </c>
      <c r="F435" s="2">
        <v>2.5</v>
      </c>
      <c r="G435" s="1" t="s">
        <v>12</v>
      </c>
      <c r="H435" s="1" t="s">
        <v>13</v>
      </c>
      <c r="I435" s="1" t="s">
        <v>14</v>
      </c>
      <c r="J435" s="14">
        <v>0.56947916666666665</v>
      </c>
      <c r="K435" s="15">
        <v>45514</v>
      </c>
      <c r="M435" s="2">
        <v>2.4300000000000002</v>
      </c>
      <c r="O435" s="2">
        <f t="shared" si="43"/>
        <v>2.3650000000000002</v>
      </c>
      <c r="P435" s="2">
        <f t="shared" si="44"/>
        <v>53.56277001270648</v>
      </c>
      <c r="Q435" s="2">
        <f t="shared" si="45"/>
        <v>0.25749999999999451</v>
      </c>
      <c r="R435" s="2">
        <f t="shared" si="46"/>
        <v>0.26788500635323448</v>
      </c>
      <c r="S435" s="2">
        <f t="shared" si="47"/>
        <v>-1.0385006353239967E-2</v>
      </c>
    </row>
    <row r="436" spans="2:19" x14ac:dyDescent="0.25">
      <c r="B436" s="1">
        <f t="shared" si="48"/>
        <v>430</v>
      </c>
      <c r="C436" s="1">
        <v>654</v>
      </c>
      <c r="D436" s="13">
        <v>51.5</v>
      </c>
      <c r="E436" s="1" t="s">
        <v>11</v>
      </c>
      <c r="F436" s="2">
        <v>2.5049999999999999</v>
      </c>
      <c r="G436" s="1" t="s">
        <v>12</v>
      </c>
      <c r="H436" s="1" t="s">
        <v>13</v>
      </c>
      <c r="I436" s="1" t="s">
        <v>14</v>
      </c>
      <c r="J436" s="14">
        <v>0.56947916666666665</v>
      </c>
      <c r="K436" s="15">
        <v>45514</v>
      </c>
      <c r="M436" s="2">
        <v>2.4350000000000001</v>
      </c>
      <c r="O436" s="2">
        <f t="shared" si="43"/>
        <v>2.37</v>
      </c>
      <c r="P436" s="2">
        <f t="shared" si="44"/>
        <v>53.591232528589586</v>
      </c>
      <c r="Q436" s="2">
        <f t="shared" si="45"/>
        <v>0.25774999999999448</v>
      </c>
      <c r="R436" s="2">
        <f t="shared" si="46"/>
        <v>0.26802731893264997</v>
      </c>
      <c r="S436" s="2">
        <f t="shared" si="47"/>
        <v>-1.0277318932655488E-2</v>
      </c>
    </row>
    <row r="437" spans="2:19" x14ac:dyDescent="0.25">
      <c r="B437" s="1">
        <f t="shared" si="48"/>
        <v>431</v>
      </c>
      <c r="C437" s="1">
        <v>655</v>
      </c>
      <c r="D437" s="13">
        <v>51.6</v>
      </c>
      <c r="E437" s="1" t="s">
        <v>11</v>
      </c>
      <c r="F437" s="2">
        <v>2.5099999999999998</v>
      </c>
      <c r="G437" s="1" t="s">
        <v>12</v>
      </c>
      <c r="H437" s="1" t="s">
        <v>13</v>
      </c>
      <c r="I437" s="1" t="s">
        <v>14</v>
      </c>
      <c r="J437" s="14">
        <v>0.56947916666666665</v>
      </c>
      <c r="K437" s="15">
        <v>45514</v>
      </c>
      <c r="M437" s="2">
        <v>2.44</v>
      </c>
      <c r="O437" s="2">
        <f t="shared" si="43"/>
        <v>2.375</v>
      </c>
      <c r="P437" s="2">
        <f t="shared" si="44"/>
        <v>53.619695044472678</v>
      </c>
      <c r="Q437" s="2">
        <f t="shared" si="45"/>
        <v>0.25824999999999454</v>
      </c>
      <c r="R437" s="2">
        <f t="shared" si="46"/>
        <v>0.26816963151206547</v>
      </c>
      <c r="S437" s="2">
        <f t="shared" si="47"/>
        <v>-9.9196315120709255E-3</v>
      </c>
    </row>
    <row r="438" spans="2:19" x14ac:dyDescent="0.25">
      <c r="B438" s="1">
        <f t="shared" si="48"/>
        <v>432</v>
      </c>
      <c r="C438" s="1">
        <v>656</v>
      </c>
      <c r="D438" s="13">
        <v>51.7</v>
      </c>
      <c r="E438" s="1" t="s">
        <v>11</v>
      </c>
      <c r="F438" s="2">
        <v>2.5150000000000001</v>
      </c>
      <c r="G438" s="1" t="s">
        <v>12</v>
      </c>
      <c r="H438" s="1" t="s">
        <v>13</v>
      </c>
      <c r="I438" s="1" t="s">
        <v>14</v>
      </c>
      <c r="J438" s="14">
        <v>0.56949074074074069</v>
      </c>
      <c r="K438" s="15">
        <v>45514</v>
      </c>
      <c r="M438" s="2">
        <v>2.4449999999999998</v>
      </c>
      <c r="O438" s="2">
        <f t="shared" si="43"/>
        <v>2.38</v>
      </c>
      <c r="P438" s="2">
        <f t="shared" si="44"/>
        <v>53.648157560355784</v>
      </c>
      <c r="Q438" s="2">
        <f t="shared" si="45"/>
        <v>0.25850000000001744</v>
      </c>
      <c r="R438" s="2">
        <f t="shared" si="46"/>
        <v>0.26831194409150477</v>
      </c>
      <c r="S438" s="2">
        <f t="shared" si="47"/>
        <v>-9.8119440914873346E-3</v>
      </c>
    </row>
    <row r="439" spans="2:19" x14ac:dyDescent="0.25">
      <c r="B439" s="1">
        <f t="shared" si="48"/>
        <v>433</v>
      </c>
      <c r="C439" s="1">
        <v>657</v>
      </c>
      <c r="D439" s="13">
        <v>51.7</v>
      </c>
      <c r="E439" s="1" t="s">
        <v>11</v>
      </c>
      <c r="F439" s="2">
        <v>2.52</v>
      </c>
      <c r="G439" s="1" t="s">
        <v>12</v>
      </c>
      <c r="H439" s="1" t="s">
        <v>13</v>
      </c>
      <c r="I439" s="1" t="s">
        <v>14</v>
      </c>
      <c r="J439" s="14">
        <v>0.56949074074074069</v>
      </c>
      <c r="K439" s="15">
        <v>45514</v>
      </c>
      <c r="M439" s="2">
        <v>2.4500000000000002</v>
      </c>
      <c r="O439" s="2">
        <f t="shared" si="43"/>
        <v>2.3850000000000002</v>
      </c>
      <c r="P439" s="2">
        <f t="shared" si="44"/>
        <v>53.676620076238883</v>
      </c>
      <c r="Q439" s="2">
        <f t="shared" si="45"/>
        <v>0.25849999999999451</v>
      </c>
      <c r="R439" s="2">
        <f t="shared" si="46"/>
        <v>0.26845425667089645</v>
      </c>
      <c r="S439" s="2">
        <f t="shared" si="47"/>
        <v>-9.9542566709019398E-3</v>
      </c>
    </row>
    <row r="440" spans="2:19" x14ac:dyDescent="0.25">
      <c r="B440" s="1">
        <f t="shared" si="48"/>
        <v>434</v>
      </c>
      <c r="C440" s="1">
        <v>658</v>
      </c>
      <c r="D440" s="13">
        <v>51.7</v>
      </c>
      <c r="E440" s="1" t="s">
        <v>11</v>
      </c>
      <c r="F440" s="2">
        <v>2.5249999999999999</v>
      </c>
      <c r="G440" s="1" t="s">
        <v>12</v>
      </c>
      <c r="H440" s="1" t="s">
        <v>13</v>
      </c>
      <c r="I440" s="1" t="s">
        <v>14</v>
      </c>
      <c r="J440" s="14">
        <v>0.56949074074074069</v>
      </c>
      <c r="K440" s="15">
        <v>45514</v>
      </c>
      <c r="M440" s="2">
        <v>2.4550000000000001</v>
      </c>
      <c r="O440" s="2">
        <f t="shared" si="43"/>
        <v>2.39</v>
      </c>
      <c r="P440" s="2">
        <f t="shared" si="44"/>
        <v>53.705082592121983</v>
      </c>
      <c r="Q440" s="2">
        <f t="shared" si="45"/>
        <v>0.25874999999999448</v>
      </c>
      <c r="R440" s="2">
        <f t="shared" si="46"/>
        <v>0.26859656925031189</v>
      </c>
      <c r="S440" s="2">
        <f t="shared" si="47"/>
        <v>-9.8465692503174052E-3</v>
      </c>
    </row>
    <row r="441" spans="2:19" x14ac:dyDescent="0.25">
      <c r="B441" s="1">
        <f t="shared" si="48"/>
        <v>435</v>
      </c>
      <c r="C441" s="1">
        <v>659</v>
      </c>
      <c r="D441" s="13">
        <v>51.8</v>
      </c>
      <c r="E441" s="1" t="s">
        <v>11</v>
      </c>
      <c r="F441" s="2">
        <v>2.5299999999999998</v>
      </c>
      <c r="G441" s="1" t="s">
        <v>12</v>
      </c>
      <c r="H441" s="1" t="s">
        <v>13</v>
      </c>
      <c r="I441" s="1" t="s">
        <v>14</v>
      </c>
      <c r="J441" s="14">
        <v>0.56949074074074069</v>
      </c>
      <c r="K441" s="15">
        <v>45514</v>
      </c>
      <c r="M441" s="2">
        <v>2.46</v>
      </c>
      <c r="O441" s="2">
        <f t="shared" si="43"/>
        <v>2.395</v>
      </c>
      <c r="P441" s="2">
        <f t="shared" si="44"/>
        <v>53.733545108005082</v>
      </c>
      <c r="Q441" s="2">
        <f t="shared" si="45"/>
        <v>0.25899999999999446</v>
      </c>
      <c r="R441" s="2">
        <f t="shared" si="46"/>
        <v>0.26873888182972744</v>
      </c>
      <c r="S441" s="2">
        <f t="shared" si="47"/>
        <v>-9.7388818297329816E-3</v>
      </c>
    </row>
    <row r="442" spans="2:19" x14ac:dyDescent="0.25">
      <c r="B442" s="1">
        <f t="shared" si="48"/>
        <v>436</v>
      </c>
      <c r="C442" s="1">
        <v>661</v>
      </c>
      <c r="D442" s="13">
        <v>51.8</v>
      </c>
      <c r="E442" s="1" t="s">
        <v>11</v>
      </c>
      <c r="F442" s="2">
        <v>2.5350000000000001</v>
      </c>
      <c r="G442" s="1" t="s">
        <v>12</v>
      </c>
      <c r="H442" s="1" t="s">
        <v>13</v>
      </c>
      <c r="I442" s="1" t="s">
        <v>14</v>
      </c>
      <c r="J442" s="14">
        <v>0.56949074074074069</v>
      </c>
      <c r="K442" s="15">
        <v>45514</v>
      </c>
      <c r="M442" s="2">
        <v>2.4649999999999999</v>
      </c>
      <c r="O442" s="2">
        <f t="shared" si="43"/>
        <v>2.4</v>
      </c>
      <c r="P442" s="2">
        <f t="shared" si="44"/>
        <v>53.762007623888181</v>
      </c>
      <c r="Q442" s="2">
        <f t="shared" si="45"/>
        <v>0.5180000000000119</v>
      </c>
      <c r="R442" s="2">
        <f t="shared" si="46"/>
        <v>0.53790470139772528</v>
      </c>
      <c r="S442" s="2">
        <f t="shared" si="47"/>
        <v>-1.9904701397713387E-2</v>
      </c>
    </row>
    <row r="443" spans="2:19" x14ac:dyDescent="0.25">
      <c r="B443" s="1">
        <f t="shared" si="48"/>
        <v>437</v>
      </c>
      <c r="C443" s="1">
        <v>662</v>
      </c>
      <c r="D443" s="13">
        <v>51.8</v>
      </c>
      <c r="E443" s="1" t="s">
        <v>11</v>
      </c>
      <c r="F443" s="2">
        <v>2.5449999999999999</v>
      </c>
      <c r="G443" s="1" t="s">
        <v>12</v>
      </c>
      <c r="H443" s="1" t="s">
        <v>13</v>
      </c>
      <c r="I443" s="1" t="s">
        <v>14</v>
      </c>
      <c r="J443" s="14">
        <v>0.56949074074074069</v>
      </c>
      <c r="K443" s="15">
        <v>45514</v>
      </c>
      <c r="M443" s="2">
        <v>2.4750000000000001</v>
      </c>
      <c r="O443" s="2">
        <f t="shared" si="43"/>
        <v>2.41</v>
      </c>
      <c r="P443" s="2">
        <f t="shared" si="44"/>
        <v>53.818932655654386</v>
      </c>
      <c r="Q443" s="2">
        <f t="shared" si="45"/>
        <v>0.25924999999999443</v>
      </c>
      <c r="R443" s="2">
        <f t="shared" si="46"/>
        <v>0.26916581956797397</v>
      </c>
      <c r="S443" s="2">
        <f t="shared" si="47"/>
        <v>-9.9158195679795447E-3</v>
      </c>
    </row>
    <row r="444" spans="2:19" x14ac:dyDescent="0.25">
      <c r="B444" s="1">
        <f t="shared" si="48"/>
        <v>438</v>
      </c>
      <c r="C444" s="1">
        <v>663</v>
      </c>
      <c r="D444" s="13">
        <v>51.9</v>
      </c>
      <c r="E444" s="1" t="s">
        <v>11</v>
      </c>
      <c r="F444" s="2">
        <v>2.5499999999999998</v>
      </c>
      <c r="G444" s="1" t="s">
        <v>12</v>
      </c>
      <c r="H444" s="1" t="s">
        <v>13</v>
      </c>
      <c r="I444" s="1" t="s">
        <v>14</v>
      </c>
      <c r="J444" s="14">
        <v>0.56949074074074069</v>
      </c>
      <c r="K444" s="15">
        <v>45514</v>
      </c>
      <c r="M444" s="2">
        <v>2.48</v>
      </c>
      <c r="O444" s="2">
        <f t="shared" si="43"/>
        <v>2.415</v>
      </c>
      <c r="P444" s="2">
        <f t="shared" si="44"/>
        <v>53.847395171537485</v>
      </c>
      <c r="Q444" s="2">
        <f t="shared" si="45"/>
        <v>0.51950000000001206</v>
      </c>
      <c r="R444" s="2">
        <f t="shared" si="46"/>
        <v>0.53875857687421824</v>
      </c>
      <c r="S444" s="2">
        <f t="shared" si="47"/>
        <v>-1.9258576874206179E-2</v>
      </c>
    </row>
    <row r="445" spans="2:19" x14ac:dyDescent="0.25">
      <c r="B445" s="1">
        <f t="shared" si="48"/>
        <v>439</v>
      </c>
      <c r="C445" s="1">
        <v>664</v>
      </c>
      <c r="D445" s="13">
        <v>52</v>
      </c>
      <c r="E445" s="1" t="s">
        <v>11</v>
      </c>
      <c r="F445" s="2">
        <v>2.56</v>
      </c>
      <c r="G445" s="1" t="s">
        <v>12</v>
      </c>
      <c r="H445" s="1" t="s">
        <v>13</v>
      </c>
      <c r="I445" s="1" t="s">
        <v>14</v>
      </c>
      <c r="J445" s="14">
        <v>0.56949074074074069</v>
      </c>
      <c r="K445" s="15">
        <v>45514</v>
      </c>
      <c r="M445" s="2">
        <v>2.4900000000000002</v>
      </c>
      <c r="O445" s="2">
        <f t="shared" si="43"/>
        <v>2.4250000000000003</v>
      </c>
      <c r="P445" s="2">
        <f t="shared" si="44"/>
        <v>53.904320203303683</v>
      </c>
      <c r="Q445" s="2">
        <f t="shared" si="45"/>
        <v>0.51999999999998892</v>
      </c>
      <c r="R445" s="2">
        <f t="shared" si="46"/>
        <v>0.53932782719185635</v>
      </c>
      <c r="S445" s="2">
        <f t="shared" si="47"/>
        <v>-1.932782719186743E-2</v>
      </c>
    </row>
    <row r="446" spans="2:19" x14ac:dyDescent="0.25">
      <c r="B446" s="1">
        <f t="shared" si="48"/>
        <v>440</v>
      </c>
      <c r="C446" s="1">
        <v>665</v>
      </c>
      <c r="D446" s="13">
        <v>52</v>
      </c>
      <c r="E446" s="1" t="s">
        <v>11</v>
      </c>
      <c r="F446" s="2">
        <v>2.57</v>
      </c>
      <c r="G446" s="1" t="s">
        <v>12</v>
      </c>
      <c r="H446" s="1" t="s">
        <v>13</v>
      </c>
      <c r="I446" s="1" t="s">
        <v>14</v>
      </c>
      <c r="J446" s="14">
        <v>0.56949074074074069</v>
      </c>
      <c r="K446" s="15">
        <v>45514</v>
      </c>
      <c r="M446" s="2">
        <v>2.5</v>
      </c>
      <c r="O446" s="2">
        <f t="shared" si="43"/>
        <v>2.4350000000000001</v>
      </c>
      <c r="P446" s="2">
        <f t="shared" si="44"/>
        <v>53.961245235069889</v>
      </c>
      <c r="Q446" s="2">
        <f t="shared" si="45"/>
        <v>0.52049999999998886</v>
      </c>
      <c r="R446" s="2">
        <f t="shared" si="46"/>
        <v>0.53989707750951832</v>
      </c>
      <c r="S446" s="2">
        <f t="shared" si="47"/>
        <v>-1.9397077509529459E-2</v>
      </c>
    </row>
    <row r="447" spans="2:19" x14ac:dyDescent="0.25">
      <c r="B447" s="1">
        <f t="shared" si="48"/>
        <v>441</v>
      </c>
      <c r="C447" s="1">
        <v>666</v>
      </c>
      <c r="D447" s="13">
        <v>52.1</v>
      </c>
      <c r="E447" s="1" t="s">
        <v>11</v>
      </c>
      <c r="F447" s="2">
        <v>2.58</v>
      </c>
      <c r="G447" s="1" t="s">
        <v>12</v>
      </c>
      <c r="H447" s="1" t="s">
        <v>13</v>
      </c>
      <c r="I447" s="1" t="s">
        <v>14</v>
      </c>
      <c r="J447" s="14">
        <v>0.56950231481481484</v>
      </c>
      <c r="K447" s="15">
        <v>45514</v>
      </c>
      <c r="M447" s="2">
        <v>2.5099999999999998</v>
      </c>
      <c r="O447" s="2">
        <f t="shared" si="43"/>
        <v>2.4449999999999998</v>
      </c>
      <c r="P447" s="2">
        <f t="shared" si="44"/>
        <v>54.018170266836087</v>
      </c>
      <c r="Q447" s="2">
        <f t="shared" si="45"/>
        <v>0.52150000000001207</v>
      </c>
      <c r="R447" s="2">
        <f t="shared" si="46"/>
        <v>0.54046632782720438</v>
      </c>
      <c r="S447" s="2">
        <f t="shared" si="47"/>
        <v>-1.896632782719232E-2</v>
      </c>
    </row>
    <row r="448" spans="2:19" x14ac:dyDescent="0.25">
      <c r="B448" s="1">
        <f t="shared" si="48"/>
        <v>442</v>
      </c>
      <c r="C448" s="1">
        <v>667</v>
      </c>
      <c r="D448" s="13">
        <v>52.2</v>
      </c>
      <c r="E448" s="1" t="s">
        <v>11</v>
      </c>
      <c r="F448" s="2">
        <v>2.59</v>
      </c>
      <c r="G448" s="1" t="s">
        <v>12</v>
      </c>
      <c r="H448" s="1" t="s">
        <v>13</v>
      </c>
      <c r="I448" s="1" t="s">
        <v>14</v>
      </c>
      <c r="J448" s="14">
        <v>0.56950231481481484</v>
      </c>
      <c r="K448" s="15">
        <v>45514</v>
      </c>
      <c r="M448" s="2">
        <v>2.52</v>
      </c>
      <c r="O448" s="2">
        <f t="shared" si="43"/>
        <v>2.4550000000000001</v>
      </c>
      <c r="P448" s="2">
        <f t="shared" si="44"/>
        <v>54.075095298602292</v>
      </c>
      <c r="Q448" s="2">
        <f t="shared" si="45"/>
        <v>0.52199999999998892</v>
      </c>
      <c r="R448" s="2">
        <f t="shared" si="46"/>
        <v>0.54103557814484238</v>
      </c>
      <c r="S448" s="2">
        <f t="shared" si="47"/>
        <v>-1.903557814485346E-2</v>
      </c>
    </row>
    <row r="449" spans="2:19" x14ac:dyDescent="0.25">
      <c r="B449" s="1">
        <f t="shared" si="48"/>
        <v>443</v>
      </c>
      <c r="C449" s="1">
        <v>668</v>
      </c>
      <c r="D449" s="13">
        <v>52.2</v>
      </c>
      <c r="E449" s="1" t="s">
        <v>11</v>
      </c>
      <c r="F449" s="2">
        <v>2.6</v>
      </c>
      <c r="G449" s="1" t="s">
        <v>12</v>
      </c>
      <c r="H449" s="1" t="s">
        <v>13</v>
      </c>
      <c r="I449" s="1" t="s">
        <v>14</v>
      </c>
      <c r="J449" s="14">
        <v>0.56950231481481484</v>
      </c>
      <c r="K449" s="15">
        <v>45514</v>
      </c>
      <c r="M449" s="2">
        <v>2.5299999999999998</v>
      </c>
      <c r="O449" s="2">
        <f t="shared" si="43"/>
        <v>2.4649999999999999</v>
      </c>
      <c r="P449" s="2">
        <f t="shared" si="44"/>
        <v>54.132020330368491</v>
      </c>
      <c r="Q449" s="2">
        <f t="shared" si="45"/>
        <v>0.26125000000001763</v>
      </c>
      <c r="R449" s="2">
        <f t="shared" si="46"/>
        <v>0.27073125794156844</v>
      </c>
      <c r="S449" s="2">
        <f t="shared" si="47"/>
        <v>-9.4812579415508025E-3</v>
      </c>
    </row>
    <row r="450" spans="2:19" x14ac:dyDescent="0.25">
      <c r="B450" s="1">
        <f t="shared" si="48"/>
        <v>444</v>
      </c>
      <c r="C450" s="1">
        <v>669</v>
      </c>
      <c r="D450" s="13">
        <v>52.3</v>
      </c>
      <c r="E450" s="1" t="s">
        <v>11</v>
      </c>
      <c r="F450" s="2">
        <v>2.605</v>
      </c>
      <c r="G450" s="1" t="s">
        <v>12</v>
      </c>
      <c r="H450" s="1" t="s">
        <v>13</v>
      </c>
      <c r="I450" s="1" t="s">
        <v>14</v>
      </c>
      <c r="J450" s="14">
        <v>0.56950231481481484</v>
      </c>
      <c r="K450" s="15">
        <v>45514</v>
      </c>
      <c r="M450" s="2">
        <v>2.5350000000000001</v>
      </c>
      <c r="O450" s="2">
        <f t="shared" si="43"/>
        <v>2.4700000000000002</v>
      </c>
      <c r="P450" s="2">
        <f t="shared" si="44"/>
        <v>54.16048284625159</v>
      </c>
      <c r="Q450" s="2">
        <f t="shared" si="45"/>
        <v>0.2614999999999944</v>
      </c>
      <c r="R450" s="2">
        <f t="shared" si="46"/>
        <v>0.27087357052095995</v>
      </c>
      <c r="S450" s="2">
        <f t="shared" si="47"/>
        <v>-9.3735705209655462E-3</v>
      </c>
    </row>
    <row r="451" spans="2:19" x14ac:dyDescent="0.25">
      <c r="B451" s="1">
        <f t="shared" si="48"/>
        <v>445</v>
      </c>
      <c r="C451" s="1">
        <v>670</v>
      </c>
      <c r="D451" s="13">
        <v>52.3</v>
      </c>
      <c r="E451" s="1" t="s">
        <v>11</v>
      </c>
      <c r="F451" s="2">
        <v>2.61</v>
      </c>
      <c r="G451" s="1" t="s">
        <v>12</v>
      </c>
      <c r="H451" s="1" t="s">
        <v>13</v>
      </c>
      <c r="I451" s="1" t="s">
        <v>14</v>
      </c>
      <c r="J451" s="14">
        <v>0.56950231481481484</v>
      </c>
      <c r="K451" s="15">
        <v>45514</v>
      </c>
      <c r="M451" s="2">
        <v>2.54</v>
      </c>
      <c r="O451" s="2">
        <f t="shared" si="43"/>
        <v>2.4750000000000001</v>
      </c>
      <c r="P451" s="2">
        <f t="shared" si="44"/>
        <v>54.188945362134689</v>
      </c>
      <c r="Q451" s="2">
        <f t="shared" si="45"/>
        <v>0.52299999999998881</v>
      </c>
      <c r="R451" s="2">
        <f t="shared" si="46"/>
        <v>0.54217407878016632</v>
      </c>
      <c r="S451" s="2">
        <f t="shared" si="47"/>
        <v>-1.9174078780177517E-2</v>
      </c>
    </row>
    <row r="452" spans="2:19" x14ac:dyDescent="0.25">
      <c r="B452" s="1">
        <f t="shared" si="48"/>
        <v>446</v>
      </c>
      <c r="C452" s="1">
        <v>671</v>
      </c>
      <c r="D452" s="13">
        <v>52.3</v>
      </c>
      <c r="E452" s="1" t="s">
        <v>11</v>
      </c>
      <c r="F452" s="2">
        <v>2.62</v>
      </c>
      <c r="G452" s="1" t="s">
        <v>12</v>
      </c>
      <c r="H452" s="1" t="s">
        <v>13</v>
      </c>
      <c r="I452" s="1" t="s">
        <v>14</v>
      </c>
      <c r="J452" s="14">
        <v>0.56950231481481484</v>
      </c>
      <c r="K452" s="15">
        <v>45514</v>
      </c>
      <c r="M452" s="2">
        <v>2.5499999999999998</v>
      </c>
      <c r="O452" s="2">
        <f t="shared" si="43"/>
        <v>2.4849999999999999</v>
      </c>
      <c r="P452" s="2">
        <f t="shared" si="44"/>
        <v>54.245870393900887</v>
      </c>
      <c r="Q452" s="2">
        <f t="shared" si="45"/>
        <v>0.26150000000001766</v>
      </c>
      <c r="R452" s="2">
        <f t="shared" si="46"/>
        <v>0.27130050825923052</v>
      </c>
      <c r="S452" s="2">
        <f t="shared" si="47"/>
        <v>-9.800508259212859E-3</v>
      </c>
    </row>
    <row r="453" spans="2:19" x14ac:dyDescent="0.25">
      <c r="B453" s="1">
        <f t="shared" si="48"/>
        <v>447</v>
      </c>
      <c r="C453" s="1">
        <v>672</v>
      </c>
      <c r="D453" s="13">
        <v>52.3</v>
      </c>
      <c r="E453" s="1" t="s">
        <v>11</v>
      </c>
      <c r="F453" s="2">
        <v>2.625</v>
      </c>
      <c r="G453" s="1" t="s">
        <v>12</v>
      </c>
      <c r="H453" s="1" t="s">
        <v>13</v>
      </c>
      <c r="I453" s="1" t="s">
        <v>14</v>
      </c>
      <c r="J453" s="14">
        <v>0.56950231481481484</v>
      </c>
      <c r="K453" s="15">
        <v>45514</v>
      </c>
      <c r="M453" s="2">
        <v>2.5550000000000002</v>
      </c>
      <c r="O453" s="2">
        <f t="shared" si="43"/>
        <v>2.4900000000000002</v>
      </c>
      <c r="P453" s="2">
        <f t="shared" si="44"/>
        <v>54.274332909783993</v>
      </c>
      <c r="Q453" s="2">
        <f t="shared" si="45"/>
        <v>0.26174999999999438</v>
      </c>
      <c r="R453" s="2">
        <f t="shared" si="46"/>
        <v>0.27144282083862192</v>
      </c>
      <c r="S453" s="2">
        <f t="shared" si="47"/>
        <v>-9.6928208386275472E-3</v>
      </c>
    </row>
    <row r="454" spans="2:19" x14ac:dyDescent="0.25">
      <c r="B454" s="1">
        <f t="shared" si="48"/>
        <v>448</v>
      </c>
      <c r="C454" s="1">
        <v>673</v>
      </c>
      <c r="D454" s="13">
        <v>52.4</v>
      </c>
      <c r="E454" s="1" t="s">
        <v>11</v>
      </c>
      <c r="F454" s="2">
        <v>2.63</v>
      </c>
      <c r="G454" s="1" t="s">
        <v>12</v>
      </c>
      <c r="H454" s="1" t="s">
        <v>13</v>
      </c>
      <c r="I454" s="1" t="s">
        <v>14</v>
      </c>
      <c r="J454" s="14">
        <v>0.56950231481481484</v>
      </c>
      <c r="K454" s="15">
        <v>45514</v>
      </c>
      <c r="M454" s="2">
        <v>2.56</v>
      </c>
      <c r="O454" s="2">
        <f t="shared" si="43"/>
        <v>2.4950000000000001</v>
      </c>
      <c r="P454" s="2">
        <f t="shared" si="44"/>
        <v>54.302795425667092</v>
      </c>
      <c r="Q454" s="2">
        <f t="shared" si="45"/>
        <v>0.2619999999999944</v>
      </c>
      <c r="R454" s="2">
        <f t="shared" si="46"/>
        <v>0.27158513341803742</v>
      </c>
      <c r="S454" s="2">
        <f t="shared" si="47"/>
        <v>-9.5851334180430126E-3</v>
      </c>
    </row>
    <row r="455" spans="2:19" x14ac:dyDescent="0.25">
      <c r="B455" s="1">
        <f t="shared" si="48"/>
        <v>449</v>
      </c>
      <c r="C455" s="1">
        <v>674</v>
      </c>
      <c r="D455" s="13">
        <v>52.4</v>
      </c>
      <c r="E455" s="1" t="s">
        <v>11</v>
      </c>
      <c r="F455" s="2">
        <v>2.6349999999999998</v>
      </c>
      <c r="G455" s="1" t="s">
        <v>12</v>
      </c>
      <c r="H455" s="1" t="s">
        <v>13</v>
      </c>
      <c r="I455" s="1" t="s">
        <v>14</v>
      </c>
      <c r="J455" s="14">
        <v>0.56950231481481484</v>
      </c>
      <c r="K455" s="15">
        <v>45514</v>
      </c>
      <c r="M455" s="2">
        <v>2.5649999999999999</v>
      </c>
      <c r="O455" s="2">
        <f t="shared" si="43"/>
        <v>2.5</v>
      </c>
      <c r="P455" s="2">
        <f t="shared" si="44"/>
        <v>54.331257941550192</v>
      </c>
      <c r="Q455" s="2">
        <f t="shared" si="45"/>
        <v>0.2619999999999944</v>
      </c>
      <c r="R455" s="2">
        <f t="shared" si="46"/>
        <v>0.27172744599745291</v>
      </c>
      <c r="S455" s="2">
        <f t="shared" si="47"/>
        <v>-9.7274459974585059E-3</v>
      </c>
    </row>
    <row r="456" spans="2:19" x14ac:dyDescent="0.25">
      <c r="B456" s="1">
        <f t="shared" si="48"/>
        <v>450</v>
      </c>
      <c r="C456" s="1">
        <v>675</v>
      </c>
      <c r="D456" s="13">
        <v>52.4</v>
      </c>
      <c r="E456" s="1" t="s">
        <v>11</v>
      </c>
      <c r="F456" s="2">
        <v>2.64</v>
      </c>
      <c r="G456" s="1" t="s">
        <v>12</v>
      </c>
      <c r="H456" s="1" t="s">
        <v>13</v>
      </c>
      <c r="I456" s="1" t="s">
        <v>14</v>
      </c>
      <c r="J456" s="14">
        <v>0.56950231481481484</v>
      </c>
      <c r="K456" s="15">
        <v>45514</v>
      </c>
      <c r="M456" s="2">
        <v>2.57</v>
      </c>
      <c r="O456" s="2">
        <f t="shared" ref="O456:O519" si="49">M456-$X$23</f>
        <v>2.5049999999999999</v>
      </c>
      <c r="P456" s="2">
        <f t="shared" ref="P456:P519" si="50">O456*$AC$21+$Y$23</f>
        <v>54.359720457433291</v>
      </c>
      <c r="Q456" s="2">
        <f t="shared" ref="Q456:Q519" si="51">((D456+D457)/2)*(M457-M456)</f>
        <v>0.26225000000001769</v>
      </c>
      <c r="R456" s="2">
        <f t="shared" ref="R456:R519" si="52">((P456+P457)/2)*(O457-O456)</f>
        <v>0.27186975857689255</v>
      </c>
      <c r="S456" s="2">
        <f t="shared" ref="S456:S519" si="53">Q456-R456</f>
        <v>-9.6197585768748595E-3</v>
      </c>
    </row>
    <row r="457" spans="2:19" x14ac:dyDescent="0.25">
      <c r="B457" s="1">
        <f t="shared" ref="B457:B520" si="54">B456+1</f>
        <v>451</v>
      </c>
      <c r="C457" s="1">
        <v>676</v>
      </c>
      <c r="D457" s="13">
        <v>52.5</v>
      </c>
      <c r="E457" s="1" t="s">
        <v>11</v>
      </c>
      <c r="F457" s="2">
        <v>2.645</v>
      </c>
      <c r="G457" s="1" t="s">
        <v>12</v>
      </c>
      <c r="H457" s="1" t="s">
        <v>13</v>
      </c>
      <c r="I457" s="1" t="s">
        <v>14</v>
      </c>
      <c r="J457" s="14">
        <v>0.56951388888888888</v>
      </c>
      <c r="K457" s="15">
        <v>45514</v>
      </c>
      <c r="M457" s="2">
        <v>2.5750000000000002</v>
      </c>
      <c r="O457" s="2">
        <f t="shared" si="49"/>
        <v>2.5100000000000002</v>
      </c>
      <c r="P457" s="2">
        <f t="shared" si="50"/>
        <v>54.38818297331639</v>
      </c>
      <c r="Q457" s="2">
        <f t="shared" si="51"/>
        <v>0.2624999999999944</v>
      </c>
      <c r="R457" s="2">
        <f t="shared" si="52"/>
        <v>0.2720120711562839</v>
      </c>
      <c r="S457" s="2">
        <f t="shared" si="53"/>
        <v>-9.5120711562894922E-3</v>
      </c>
    </row>
    <row r="458" spans="2:19" x14ac:dyDescent="0.25">
      <c r="B458" s="1">
        <f t="shared" si="54"/>
        <v>452</v>
      </c>
      <c r="C458" s="1">
        <v>677</v>
      </c>
      <c r="D458" s="13">
        <v>52.5</v>
      </c>
      <c r="E458" s="1" t="s">
        <v>11</v>
      </c>
      <c r="F458" s="2">
        <v>2.65</v>
      </c>
      <c r="G458" s="1" t="s">
        <v>12</v>
      </c>
      <c r="H458" s="1" t="s">
        <v>13</v>
      </c>
      <c r="I458" s="1" t="s">
        <v>14</v>
      </c>
      <c r="J458" s="14">
        <v>0.56951388888888888</v>
      </c>
      <c r="K458" s="15">
        <v>45514</v>
      </c>
      <c r="M458" s="2">
        <v>2.58</v>
      </c>
      <c r="O458" s="2">
        <f t="shared" si="49"/>
        <v>2.5150000000000001</v>
      </c>
      <c r="P458" s="2">
        <f t="shared" si="50"/>
        <v>54.416645489199496</v>
      </c>
      <c r="Q458" s="2">
        <f t="shared" si="51"/>
        <v>0.2624999999999944</v>
      </c>
      <c r="R458" s="2">
        <f t="shared" si="52"/>
        <v>0.27215438373569939</v>
      </c>
      <c r="S458" s="2">
        <f t="shared" si="53"/>
        <v>-9.6543837357049855E-3</v>
      </c>
    </row>
    <row r="459" spans="2:19" x14ac:dyDescent="0.25">
      <c r="B459" s="1">
        <f t="shared" si="54"/>
        <v>453</v>
      </c>
      <c r="C459" s="1">
        <v>678</v>
      </c>
      <c r="D459" s="13">
        <v>52.5</v>
      </c>
      <c r="E459" s="1" t="s">
        <v>11</v>
      </c>
      <c r="F459" s="2">
        <v>2.6549999999999998</v>
      </c>
      <c r="G459" s="1" t="s">
        <v>12</v>
      </c>
      <c r="H459" s="1" t="s">
        <v>13</v>
      </c>
      <c r="I459" s="1" t="s">
        <v>14</v>
      </c>
      <c r="J459" s="14">
        <v>0.56951388888888888</v>
      </c>
      <c r="K459" s="15">
        <v>45514</v>
      </c>
      <c r="M459" s="2">
        <v>2.585</v>
      </c>
      <c r="O459" s="2">
        <f t="shared" si="49"/>
        <v>2.52</v>
      </c>
      <c r="P459" s="2">
        <f t="shared" si="50"/>
        <v>54.445108005082595</v>
      </c>
      <c r="Q459" s="2">
        <f t="shared" si="51"/>
        <v>0.2624999999999944</v>
      </c>
      <c r="R459" s="2">
        <f t="shared" si="52"/>
        <v>0.27229669631511494</v>
      </c>
      <c r="S459" s="2">
        <f t="shared" si="53"/>
        <v>-9.7966963151205344E-3</v>
      </c>
    </row>
    <row r="460" spans="2:19" x14ac:dyDescent="0.25">
      <c r="B460" s="1">
        <f t="shared" si="54"/>
        <v>454</v>
      </c>
      <c r="C460" s="1">
        <v>679</v>
      </c>
      <c r="D460" s="13">
        <v>52.5</v>
      </c>
      <c r="E460" s="1" t="s">
        <v>11</v>
      </c>
      <c r="F460" s="2">
        <v>2.66</v>
      </c>
      <c r="G460" s="1" t="s">
        <v>12</v>
      </c>
      <c r="H460" s="1" t="s">
        <v>13</v>
      </c>
      <c r="I460" s="1" t="s">
        <v>14</v>
      </c>
      <c r="J460" s="14">
        <v>0.56951388888888888</v>
      </c>
      <c r="K460" s="15">
        <v>45514</v>
      </c>
      <c r="M460" s="2">
        <v>2.59</v>
      </c>
      <c r="O460" s="2">
        <f t="shared" si="49"/>
        <v>2.5249999999999999</v>
      </c>
      <c r="P460" s="2">
        <f t="shared" si="50"/>
        <v>54.473570520965694</v>
      </c>
      <c r="Q460" s="2">
        <f t="shared" si="51"/>
        <v>0.26250000000001772</v>
      </c>
      <c r="R460" s="2">
        <f t="shared" si="52"/>
        <v>0.27243900889455458</v>
      </c>
      <c r="S460" s="2">
        <f t="shared" si="53"/>
        <v>-9.9390088945368604E-3</v>
      </c>
    </row>
    <row r="461" spans="2:19" x14ac:dyDescent="0.25">
      <c r="B461" s="1">
        <f t="shared" si="54"/>
        <v>455</v>
      </c>
      <c r="C461" s="1">
        <v>680</v>
      </c>
      <c r="D461" s="13">
        <v>52.5</v>
      </c>
      <c r="E461" s="1" t="s">
        <v>11</v>
      </c>
      <c r="F461" s="2">
        <v>2.665</v>
      </c>
      <c r="G461" s="1" t="s">
        <v>12</v>
      </c>
      <c r="H461" s="1" t="s">
        <v>13</v>
      </c>
      <c r="I461" s="1" t="s">
        <v>14</v>
      </c>
      <c r="J461" s="14">
        <v>0.56951388888888888</v>
      </c>
      <c r="K461" s="15">
        <v>45514</v>
      </c>
      <c r="M461" s="2">
        <v>2.5950000000000002</v>
      </c>
      <c r="O461" s="2">
        <f t="shared" si="49"/>
        <v>2.5300000000000002</v>
      </c>
      <c r="P461" s="2">
        <f t="shared" si="50"/>
        <v>54.502033036848793</v>
      </c>
      <c r="Q461" s="2">
        <f t="shared" si="51"/>
        <v>0.26274999999999438</v>
      </c>
      <c r="R461" s="2">
        <f t="shared" si="52"/>
        <v>0.27258132147394593</v>
      </c>
      <c r="S461" s="2">
        <f t="shared" si="53"/>
        <v>-9.8313214739515487E-3</v>
      </c>
    </row>
    <row r="462" spans="2:19" x14ac:dyDescent="0.25">
      <c r="B462" s="1">
        <f t="shared" si="54"/>
        <v>456</v>
      </c>
      <c r="C462" s="1">
        <v>681</v>
      </c>
      <c r="D462" s="13">
        <v>52.6</v>
      </c>
      <c r="E462" s="1" t="s">
        <v>11</v>
      </c>
      <c r="F462" s="2">
        <v>2.67</v>
      </c>
      <c r="G462" s="1" t="s">
        <v>12</v>
      </c>
      <c r="H462" s="1" t="s">
        <v>13</v>
      </c>
      <c r="I462" s="1" t="s">
        <v>14</v>
      </c>
      <c r="J462" s="14">
        <v>0.56951388888888888</v>
      </c>
      <c r="K462" s="15">
        <v>45514</v>
      </c>
      <c r="M462" s="2">
        <v>2.6</v>
      </c>
      <c r="O462" s="2">
        <f t="shared" si="49"/>
        <v>2.5350000000000001</v>
      </c>
      <c r="P462" s="2">
        <f t="shared" si="50"/>
        <v>54.530495552731892</v>
      </c>
      <c r="Q462" s="2">
        <f t="shared" si="51"/>
        <v>0.2629999999999944</v>
      </c>
      <c r="R462" s="2">
        <f t="shared" si="52"/>
        <v>0.27272363405336142</v>
      </c>
      <c r="S462" s="2">
        <f t="shared" si="53"/>
        <v>-9.723634053367014E-3</v>
      </c>
    </row>
    <row r="463" spans="2:19" x14ac:dyDescent="0.25">
      <c r="B463" s="1">
        <f t="shared" si="54"/>
        <v>457</v>
      </c>
      <c r="C463" s="1">
        <v>683</v>
      </c>
      <c r="D463" s="13">
        <v>52.6</v>
      </c>
      <c r="E463" s="1" t="s">
        <v>11</v>
      </c>
      <c r="F463" s="2">
        <v>2.6749999999999998</v>
      </c>
      <c r="G463" s="1" t="s">
        <v>12</v>
      </c>
      <c r="H463" s="1" t="s">
        <v>13</v>
      </c>
      <c r="I463" s="1" t="s">
        <v>14</v>
      </c>
      <c r="J463" s="14">
        <v>0.56951388888888888</v>
      </c>
      <c r="K463" s="15">
        <v>45514</v>
      </c>
      <c r="M463" s="2">
        <v>2.605</v>
      </c>
      <c r="O463" s="2">
        <f t="shared" si="49"/>
        <v>2.54</v>
      </c>
      <c r="P463" s="2">
        <f t="shared" si="50"/>
        <v>54.558958068614999</v>
      </c>
      <c r="Q463" s="2">
        <f t="shared" si="51"/>
        <v>0.2629999999999944</v>
      </c>
      <c r="R463" s="2">
        <f t="shared" si="52"/>
        <v>0.27286594663277691</v>
      </c>
      <c r="S463" s="2">
        <f t="shared" si="53"/>
        <v>-9.8659466327825074E-3</v>
      </c>
    </row>
    <row r="464" spans="2:19" x14ac:dyDescent="0.25">
      <c r="B464" s="1">
        <f t="shared" si="54"/>
        <v>458</v>
      </c>
      <c r="C464" s="1">
        <v>684</v>
      </c>
      <c r="D464" s="13">
        <v>52.6</v>
      </c>
      <c r="E464" s="1" t="s">
        <v>11</v>
      </c>
      <c r="F464" s="2">
        <v>2.68</v>
      </c>
      <c r="G464" s="1" t="s">
        <v>12</v>
      </c>
      <c r="H464" s="1" t="s">
        <v>13</v>
      </c>
      <c r="I464" s="1" t="s">
        <v>14</v>
      </c>
      <c r="J464" s="14">
        <v>0.56951388888888888</v>
      </c>
      <c r="K464" s="15">
        <v>45514</v>
      </c>
      <c r="M464" s="2">
        <v>2.61</v>
      </c>
      <c r="O464" s="2">
        <f t="shared" si="49"/>
        <v>2.5449999999999999</v>
      </c>
      <c r="P464" s="2">
        <f t="shared" si="50"/>
        <v>54.587420584498091</v>
      </c>
      <c r="Q464" s="2">
        <f t="shared" si="51"/>
        <v>0.26300000000001778</v>
      </c>
      <c r="R464" s="2">
        <f t="shared" si="52"/>
        <v>0.27300825921221666</v>
      </c>
      <c r="S464" s="2">
        <f t="shared" si="53"/>
        <v>-1.0008259212198889E-2</v>
      </c>
    </row>
    <row r="465" spans="2:19" x14ac:dyDescent="0.25">
      <c r="B465" s="1">
        <f t="shared" si="54"/>
        <v>459</v>
      </c>
      <c r="C465" s="1">
        <v>686</v>
      </c>
      <c r="D465" s="13">
        <v>52.6</v>
      </c>
      <c r="E465" s="1" t="s">
        <v>11</v>
      </c>
      <c r="F465" s="2">
        <v>2.6850000000000001</v>
      </c>
      <c r="G465" s="1" t="s">
        <v>12</v>
      </c>
      <c r="H465" s="1" t="s">
        <v>13</v>
      </c>
      <c r="I465" s="1" t="s">
        <v>14</v>
      </c>
      <c r="J465" s="14">
        <v>0.56952546296296291</v>
      </c>
      <c r="K465" s="15">
        <v>45514</v>
      </c>
      <c r="M465" s="2">
        <v>2.6150000000000002</v>
      </c>
      <c r="O465" s="2">
        <f t="shared" si="49"/>
        <v>2.5500000000000003</v>
      </c>
      <c r="P465" s="2">
        <f t="shared" si="50"/>
        <v>54.615883100381197</v>
      </c>
      <c r="Q465" s="2">
        <f t="shared" si="51"/>
        <v>0.26324999999999443</v>
      </c>
      <c r="R465" s="2">
        <f t="shared" si="52"/>
        <v>0.2731505717916079</v>
      </c>
      <c r="S465" s="2">
        <f t="shared" si="53"/>
        <v>-9.9005717916134661E-3</v>
      </c>
    </row>
    <row r="466" spans="2:19" x14ac:dyDescent="0.25">
      <c r="B466" s="1">
        <f t="shared" si="54"/>
        <v>460</v>
      </c>
      <c r="C466" s="1">
        <v>688</v>
      </c>
      <c r="D466" s="13">
        <v>52.7</v>
      </c>
      <c r="E466" s="1" t="s">
        <v>11</v>
      </c>
      <c r="F466" s="2">
        <v>2.69</v>
      </c>
      <c r="G466" s="1" t="s">
        <v>12</v>
      </c>
      <c r="H466" s="1" t="s">
        <v>13</v>
      </c>
      <c r="I466" s="1" t="s">
        <v>14</v>
      </c>
      <c r="J466" s="14">
        <v>0.56952546296296291</v>
      </c>
      <c r="K466" s="15">
        <v>45514</v>
      </c>
      <c r="M466" s="2">
        <v>2.62</v>
      </c>
      <c r="O466" s="2">
        <f t="shared" si="49"/>
        <v>2.5550000000000002</v>
      </c>
      <c r="P466" s="2">
        <f t="shared" si="50"/>
        <v>54.644345616264296</v>
      </c>
      <c r="Q466" s="2">
        <f t="shared" si="51"/>
        <v>0.26349999999999441</v>
      </c>
      <c r="R466" s="2">
        <f t="shared" si="52"/>
        <v>0.27329288437102339</v>
      </c>
      <c r="S466" s="2">
        <f t="shared" si="53"/>
        <v>-9.792884371028987E-3</v>
      </c>
    </row>
    <row r="467" spans="2:19" x14ac:dyDescent="0.25">
      <c r="B467" s="1">
        <f t="shared" si="54"/>
        <v>461</v>
      </c>
      <c r="C467" s="1">
        <v>690</v>
      </c>
      <c r="D467" s="13">
        <v>52.7</v>
      </c>
      <c r="E467" s="1" t="s">
        <v>11</v>
      </c>
      <c r="F467" s="2">
        <v>2.6949999999999998</v>
      </c>
      <c r="G467" s="1" t="s">
        <v>12</v>
      </c>
      <c r="H467" s="1" t="s">
        <v>13</v>
      </c>
      <c r="I467" s="1" t="s">
        <v>14</v>
      </c>
      <c r="J467" s="14">
        <v>0.56952546296296291</v>
      </c>
      <c r="K467" s="15">
        <v>45514</v>
      </c>
      <c r="M467" s="2">
        <v>2.625</v>
      </c>
      <c r="O467" s="2">
        <f t="shared" si="49"/>
        <v>2.56</v>
      </c>
      <c r="P467" s="2">
        <f t="shared" si="50"/>
        <v>54.672808132147395</v>
      </c>
      <c r="Q467" s="2">
        <f t="shared" si="51"/>
        <v>0.26349999999999441</v>
      </c>
      <c r="R467" s="2">
        <f t="shared" si="52"/>
        <v>0.27343519695043889</v>
      </c>
      <c r="S467" s="2">
        <f t="shared" si="53"/>
        <v>-9.9351969504444804E-3</v>
      </c>
    </row>
    <row r="468" spans="2:19" x14ac:dyDescent="0.25">
      <c r="B468" s="1">
        <f t="shared" si="54"/>
        <v>462</v>
      </c>
      <c r="C468" s="1">
        <v>692</v>
      </c>
      <c r="D468" s="13">
        <v>52.7</v>
      </c>
      <c r="E468" s="1" t="s">
        <v>11</v>
      </c>
      <c r="F468" s="2">
        <v>2.7</v>
      </c>
      <c r="G468" s="1" t="s">
        <v>12</v>
      </c>
      <c r="H468" s="1" t="s">
        <v>13</v>
      </c>
      <c r="I468" s="1" t="s">
        <v>14</v>
      </c>
      <c r="J468" s="14">
        <v>0.56952546296296291</v>
      </c>
      <c r="K468" s="15">
        <v>45514</v>
      </c>
      <c r="M468" s="2">
        <v>2.63</v>
      </c>
      <c r="O468" s="2">
        <f t="shared" si="49"/>
        <v>2.5649999999999999</v>
      </c>
      <c r="P468" s="2">
        <f t="shared" si="50"/>
        <v>54.701270648030494</v>
      </c>
      <c r="Q468" s="2">
        <f t="shared" si="51"/>
        <v>0.26374999999999438</v>
      </c>
      <c r="R468" s="2">
        <f t="shared" si="52"/>
        <v>0.27357750952985438</v>
      </c>
      <c r="S468" s="2">
        <f t="shared" si="53"/>
        <v>-9.8275095298600013E-3</v>
      </c>
    </row>
    <row r="469" spans="2:19" x14ac:dyDescent="0.25">
      <c r="B469" s="1">
        <f t="shared" si="54"/>
        <v>463</v>
      </c>
      <c r="C469" s="1">
        <v>694</v>
      </c>
      <c r="D469" s="13">
        <v>52.8</v>
      </c>
      <c r="E469" s="1" t="s">
        <v>11</v>
      </c>
      <c r="F469" s="2">
        <v>2.7050000000000001</v>
      </c>
      <c r="G469" s="1" t="s">
        <v>12</v>
      </c>
      <c r="H469" s="1" t="s">
        <v>13</v>
      </c>
      <c r="I469" s="1" t="s">
        <v>14</v>
      </c>
      <c r="J469" s="14">
        <v>0.56952546296296291</v>
      </c>
      <c r="K469" s="15">
        <v>45514</v>
      </c>
      <c r="M469" s="2">
        <v>2.6349999999999998</v>
      </c>
      <c r="O469" s="2">
        <f t="shared" si="49"/>
        <v>2.57</v>
      </c>
      <c r="P469" s="2">
        <f t="shared" si="50"/>
        <v>54.729733163913593</v>
      </c>
      <c r="Q469" s="2">
        <f t="shared" si="51"/>
        <v>0.26400000000001783</v>
      </c>
      <c r="R469" s="2">
        <f t="shared" si="52"/>
        <v>0.27371982210929419</v>
      </c>
      <c r="S469" s="2">
        <f t="shared" si="53"/>
        <v>-9.7198221092763548E-3</v>
      </c>
    </row>
    <row r="470" spans="2:19" x14ac:dyDescent="0.25">
      <c r="B470" s="1">
        <f t="shared" si="54"/>
        <v>464</v>
      </c>
      <c r="C470" s="1">
        <v>696</v>
      </c>
      <c r="D470" s="13">
        <v>52.8</v>
      </c>
      <c r="E470" s="1" t="s">
        <v>11</v>
      </c>
      <c r="F470" s="2">
        <v>2.71</v>
      </c>
      <c r="G470" s="1" t="s">
        <v>12</v>
      </c>
      <c r="H470" s="1" t="s">
        <v>13</v>
      </c>
      <c r="I470" s="1" t="s">
        <v>14</v>
      </c>
      <c r="J470" s="14">
        <v>0.56953703703703706</v>
      </c>
      <c r="K470" s="15">
        <v>45514</v>
      </c>
      <c r="M470" s="2">
        <v>2.64</v>
      </c>
      <c r="O470" s="2">
        <f t="shared" si="49"/>
        <v>2.5750000000000002</v>
      </c>
      <c r="P470" s="2">
        <f t="shared" si="50"/>
        <v>54.7581956797967</v>
      </c>
      <c r="Q470" s="2">
        <f t="shared" si="51"/>
        <v>0.26399999999999435</v>
      </c>
      <c r="R470" s="2">
        <f t="shared" si="52"/>
        <v>0.27386213468868537</v>
      </c>
      <c r="S470" s="2">
        <f t="shared" si="53"/>
        <v>-9.8621346886910155E-3</v>
      </c>
    </row>
    <row r="471" spans="2:19" x14ac:dyDescent="0.25">
      <c r="B471" s="1">
        <f t="shared" si="54"/>
        <v>465</v>
      </c>
      <c r="C471" s="1">
        <v>697</v>
      </c>
      <c r="D471" s="13">
        <v>52.8</v>
      </c>
      <c r="E471" s="1" t="s">
        <v>11</v>
      </c>
      <c r="F471" s="2">
        <v>2.7149999999999999</v>
      </c>
      <c r="G471" s="1" t="s">
        <v>12</v>
      </c>
      <c r="H471" s="1" t="s">
        <v>13</v>
      </c>
      <c r="I471" s="1" t="s">
        <v>14</v>
      </c>
      <c r="J471" s="14">
        <v>0.56953703703703706</v>
      </c>
      <c r="K471" s="15">
        <v>45514</v>
      </c>
      <c r="M471" s="2">
        <v>2.645</v>
      </c>
      <c r="O471" s="2">
        <f t="shared" si="49"/>
        <v>2.58</v>
      </c>
      <c r="P471" s="2">
        <f t="shared" si="50"/>
        <v>54.786658195679799</v>
      </c>
      <c r="Q471" s="2">
        <f t="shared" si="51"/>
        <v>0.26424999999999432</v>
      </c>
      <c r="R471" s="2">
        <f t="shared" si="52"/>
        <v>0.27400444726810091</v>
      </c>
      <c r="S471" s="2">
        <f t="shared" si="53"/>
        <v>-9.7544472681065919E-3</v>
      </c>
    </row>
    <row r="472" spans="2:19" x14ac:dyDescent="0.25">
      <c r="B472" s="1">
        <f t="shared" si="54"/>
        <v>466</v>
      </c>
      <c r="C472" s="1">
        <v>699</v>
      </c>
      <c r="D472" s="13">
        <v>52.9</v>
      </c>
      <c r="E472" s="1" t="s">
        <v>11</v>
      </c>
      <c r="F472" s="2">
        <v>2.72</v>
      </c>
      <c r="G472" s="1" t="s">
        <v>12</v>
      </c>
      <c r="H472" s="1" t="s">
        <v>13</v>
      </c>
      <c r="I472" s="1" t="s">
        <v>14</v>
      </c>
      <c r="J472" s="14">
        <v>0.56953703703703706</v>
      </c>
      <c r="K472" s="15">
        <v>45514</v>
      </c>
      <c r="M472" s="2">
        <v>2.65</v>
      </c>
      <c r="O472" s="2">
        <f t="shared" si="49"/>
        <v>2.585</v>
      </c>
      <c r="P472" s="2">
        <f t="shared" si="50"/>
        <v>54.815120711562898</v>
      </c>
      <c r="Q472" s="2">
        <f t="shared" si="51"/>
        <v>0.26449999999999435</v>
      </c>
      <c r="R472" s="2">
        <f t="shared" si="52"/>
        <v>0.27414675984751635</v>
      </c>
      <c r="S472" s="2">
        <f t="shared" si="53"/>
        <v>-9.6467598475220018E-3</v>
      </c>
    </row>
    <row r="473" spans="2:19" x14ac:dyDescent="0.25">
      <c r="B473" s="1">
        <f t="shared" si="54"/>
        <v>467</v>
      </c>
      <c r="C473" s="1">
        <v>701</v>
      </c>
      <c r="D473" s="13">
        <v>52.9</v>
      </c>
      <c r="E473" s="1" t="s">
        <v>11</v>
      </c>
      <c r="F473" s="2">
        <v>2.7250000000000001</v>
      </c>
      <c r="G473" s="1" t="s">
        <v>12</v>
      </c>
      <c r="H473" s="1" t="s">
        <v>13</v>
      </c>
      <c r="I473" s="1" t="s">
        <v>14</v>
      </c>
      <c r="J473" s="14">
        <v>0.56953703703703706</v>
      </c>
      <c r="K473" s="15">
        <v>45514</v>
      </c>
      <c r="M473" s="2">
        <v>2.6549999999999998</v>
      </c>
      <c r="O473" s="2">
        <f t="shared" si="49"/>
        <v>2.59</v>
      </c>
      <c r="P473" s="2">
        <f t="shared" si="50"/>
        <v>54.843583227445997</v>
      </c>
      <c r="Q473" s="2">
        <f t="shared" si="51"/>
        <v>0.26450000000001783</v>
      </c>
      <c r="R473" s="2">
        <f t="shared" si="52"/>
        <v>0.27428907242695627</v>
      </c>
      <c r="S473" s="2">
        <f t="shared" si="53"/>
        <v>-9.7890724269384388E-3</v>
      </c>
    </row>
    <row r="474" spans="2:19" x14ac:dyDescent="0.25">
      <c r="B474" s="1">
        <f t="shared" si="54"/>
        <v>468</v>
      </c>
      <c r="C474" s="1">
        <v>702</v>
      </c>
      <c r="D474" s="13">
        <v>52.9</v>
      </c>
      <c r="E474" s="1" t="s">
        <v>11</v>
      </c>
      <c r="F474" s="2">
        <v>2.73</v>
      </c>
      <c r="G474" s="1" t="s">
        <v>12</v>
      </c>
      <c r="H474" s="1" t="s">
        <v>13</v>
      </c>
      <c r="I474" s="1" t="s">
        <v>14</v>
      </c>
      <c r="J474" s="14">
        <v>0.56953703703703706</v>
      </c>
      <c r="K474" s="15">
        <v>45514</v>
      </c>
      <c r="M474" s="2">
        <v>2.66</v>
      </c>
      <c r="O474" s="2">
        <f t="shared" si="49"/>
        <v>2.5950000000000002</v>
      </c>
      <c r="P474" s="2">
        <f t="shared" si="50"/>
        <v>54.872045743329096</v>
      </c>
      <c r="Q474" s="2">
        <f t="shared" si="51"/>
        <v>0.26449999999999435</v>
      </c>
      <c r="R474" s="2">
        <f t="shared" si="52"/>
        <v>0.27443138500634739</v>
      </c>
      <c r="S474" s="2">
        <f t="shared" si="53"/>
        <v>-9.931385006353044E-3</v>
      </c>
    </row>
    <row r="475" spans="2:19" x14ac:dyDescent="0.25">
      <c r="B475" s="1">
        <f t="shared" si="54"/>
        <v>469</v>
      </c>
      <c r="C475" s="1">
        <v>704</v>
      </c>
      <c r="D475" s="13">
        <v>52.9</v>
      </c>
      <c r="E475" s="1" t="s">
        <v>11</v>
      </c>
      <c r="F475" s="2">
        <v>2.7349999999999999</v>
      </c>
      <c r="G475" s="1" t="s">
        <v>12</v>
      </c>
      <c r="H475" s="1" t="s">
        <v>13</v>
      </c>
      <c r="I475" s="1" t="s">
        <v>14</v>
      </c>
      <c r="J475" s="14">
        <v>0.56953703703703706</v>
      </c>
      <c r="K475" s="15">
        <v>45514</v>
      </c>
      <c r="M475" s="2">
        <v>2.665</v>
      </c>
      <c r="O475" s="2">
        <f t="shared" si="49"/>
        <v>2.6</v>
      </c>
      <c r="P475" s="2">
        <f t="shared" si="50"/>
        <v>54.900508259212202</v>
      </c>
      <c r="Q475" s="2">
        <f t="shared" si="51"/>
        <v>0.26474999999999438</v>
      </c>
      <c r="R475" s="2">
        <f t="shared" si="52"/>
        <v>0.27457369758576289</v>
      </c>
      <c r="S475" s="2">
        <f t="shared" si="53"/>
        <v>-9.8236975857685094E-3</v>
      </c>
    </row>
    <row r="476" spans="2:19" x14ac:dyDescent="0.25">
      <c r="B476" s="1">
        <f t="shared" si="54"/>
        <v>470</v>
      </c>
      <c r="C476" s="1">
        <v>705</v>
      </c>
      <c r="D476" s="13">
        <v>53</v>
      </c>
      <c r="E476" s="1" t="s">
        <v>11</v>
      </c>
      <c r="F476" s="2">
        <v>2.74</v>
      </c>
      <c r="G476" s="1" t="s">
        <v>12</v>
      </c>
      <c r="H476" s="1" t="s">
        <v>13</v>
      </c>
      <c r="I476" s="1" t="s">
        <v>14</v>
      </c>
      <c r="J476" s="14">
        <v>0.56953703703703706</v>
      </c>
      <c r="K476" s="15">
        <v>45514</v>
      </c>
      <c r="M476" s="2">
        <v>2.67</v>
      </c>
      <c r="O476" s="2">
        <f t="shared" si="49"/>
        <v>2.605</v>
      </c>
      <c r="P476" s="2">
        <f t="shared" si="50"/>
        <v>54.928970775095301</v>
      </c>
      <c r="Q476" s="2">
        <f t="shared" si="51"/>
        <v>0.26499999999999435</v>
      </c>
      <c r="R476" s="2">
        <f t="shared" si="52"/>
        <v>0.27471601016517844</v>
      </c>
      <c r="S476" s="2">
        <f t="shared" si="53"/>
        <v>-9.7160101651840858E-3</v>
      </c>
    </row>
    <row r="477" spans="2:19" x14ac:dyDescent="0.25">
      <c r="B477" s="1">
        <f t="shared" si="54"/>
        <v>471</v>
      </c>
      <c r="C477" s="1">
        <v>706</v>
      </c>
      <c r="D477" s="13">
        <v>53</v>
      </c>
      <c r="E477" s="1" t="s">
        <v>11</v>
      </c>
      <c r="F477" s="2">
        <v>2.7450000000000001</v>
      </c>
      <c r="G477" s="1" t="s">
        <v>12</v>
      </c>
      <c r="H477" s="1" t="s">
        <v>13</v>
      </c>
      <c r="I477" s="1" t="s">
        <v>14</v>
      </c>
      <c r="J477" s="14">
        <v>0.5695486111111111</v>
      </c>
      <c r="K477" s="15">
        <v>45514</v>
      </c>
      <c r="M477" s="2">
        <v>2.6749999999999998</v>
      </c>
      <c r="O477" s="2">
        <f t="shared" si="49"/>
        <v>2.61</v>
      </c>
      <c r="P477" s="2">
        <f t="shared" si="50"/>
        <v>54.9574332909784</v>
      </c>
      <c r="Q477" s="2">
        <f t="shared" si="51"/>
        <v>0.26500000000001789</v>
      </c>
      <c r="R477" s="2">
        <f t="shared" si="52"/>
        <v>0.2748583227446183</v>
      </c>
      <c r="S477" s="2">
        <f t="shared" si="53"/>
        <v>-9.8583227446004118E-3</v>
      </c>
    </row>
    <row r="478" spans="2:19" x14ac:dyDescent="0.25">
      <c r="B478" s="1">
        <f t="shared" si="54"/>
        <v>472</v>
      </c>
      <c r="C478" s="1">
        <v>707</v>
      </c>
      <c r="D478" s="13">
        <v>53</v>
      </c>
      <c r="E478" s="1" t="s">
        <v>11</v>
      </c>
      <c r="F478" s="2">
        <v>2.75</v>
      </c>
      <c r="G478" s="1" t="s">
        <v>12</v>
      </c>
      <c r="H478" s="1" t="s">
        <v>13</v>
      </c>
      <c r="I478" s="1" t="s">
        <v>14</v>
      </c>
      <c r="J478" s="14">
        <v>0.5695486111111111</v>
      </c>
      <c r="K478" s="15">
        <v>45514</v>
      </c>
      <c r="M478" s="2">
        <v>2.68</v>
      </c>
      <c r="O478" s="2">
        <f t="shared" si="49"/>
        <v>2.6150000000000002</v>
      </c>
      <c r="P478" s="2">
        <f t="shared" si="50"/>
        <v>54.9858958068615</v>
      </c>
      <c r="Q478" s="2">
        <f t="shared" si="51"/>
        <v>0.26524999999999432</v>
      </c>
      <c r="R478" s="2">
        <f t="shared" si="52"/>
        <v>0.27500063532400942</v>
      </c>
      <c r="S478" s="2">
        <f t="shared" si="53"/>
        <v>-9.7506353240151E-3</v>
      </c>
    </row>
    <row r="479" spans="2:19" x14ac:dyDescent="0.25">
      <c r="B479" s="1">
        <f t="shared" si="54"/>
        <v>473</v>
      </c>
      <c r="C479" s="1">
        <v>709</v>
      </c>
      <c r="D479" s="13">
        <v>53.1</v>
      </c>
      <c r="E479" s="1" t="s">
        <v>11</v>
      </c>
      <c r="F479" s="2">
        <v>2.7549999999999999</v>
      </c>
      <c r="G479" s="1" t="s">
        <v>12</v>
      </c>
      <c r="H479" s="1" t="s">
        <v>13</v>
      </c>
      <c r="I479" s="1" t="s">
        <v>14</v>
      </c>
      <c r="J479" s="14">
        <v>0.5695486111111111</v>
      </c>
      <c r="K479" s="15">
        <v>45514</v>
      </c>
      <c r="M479" s="2">
        <v>2.6850000000000001</v>
      </c>
      <c r="O479" s="2">
        <f t="shared" si="49"/>
        <v>2.62</v>
      </c>
      <c r="P479" s="2">
        <f t="shared" si="50"/>
        <v>55.014358322744599</v>
      </c>
      <c r="Q479" s="2">
        <f t="shared" si="51"/>
        <v>0.26549999999999435</v>
      </c>
      <c r="R479" s="2">
        <f t="shared" si="52"/>
        <v>0.27514294790342492</v>
      </c>
      <c r="S479" s="2">
        <f t="shared" si="53"/>
        <v>-9.6429479034305654E-3</v>
      </c>
    </row>
    <row r="480" spans="2:19" x14ac:dyDescent="0.25">
      <c r="B480" s="1">
        <f t="shared" si="54"/>
        <v>474</v>
      </c>
      <c r="C480" s="1">
        <v>711</v>
      </c>
      <c r="D480" s="13">
        <v>53.1</v>
      </c>
      <c r="E480" s="1" t="s">
        <v>11</v>
      </c>
      <c r="F480" s="2">
        <v>2.76</v>
      </c>
      <c r="G480" s="1" t="s">
        <v>12</v>
      </c>
      <c r="H480" s="1" t="s">
        <v>13</v>
      </c>
      <c r="I480" s="1" t="s">
        <v>14</v>
      </c>
      <c r="J480" s="14">
        <v>0.5695486111111111</v>
      </c>
      <c r="K480" s="15">
        <v>45514</v>
      </c>
      <c r="M480" s="2">
        <v>2.69</v>
      </c>
      <c r="O480" s="2">
        <f t="shared" si="49"/>
        <v>2.625</v>
      </c>
      <c r="P480" s="2">
        <f t="shared" si="50"/>
        <v>55.042820838627705</v>
      </c>
      <c r="Q480" s="2">
        <f t="shared" si="51"/>
        <v>0.26549999999999435</v>
      </c>
      <c r="R480" s="2">
        <f t="shared" si="52"/>
        <v>0.27528526048284041</v>
      </c>
      <c r="S480" s="2">
        <f t="shared" si="53"/>
        <v>-9.7852604828460588E-3</v>
      </c>
    </row>
    <row r="481" spans="2:19" x14ac:dyDescent="0.25">
      <c r="B481" s="1">
        <f t="shared" si="54"/>
        <v>475</v>
      </c>
      <c r="C481" s="1">
        <v>713</v>
      </c>
      <c r="D481" s="13">
        <v>53.1</v>
      </c>
      <c r="E481" s="1" t="s">
        <v>11</v>
      </c>
      <c r="F481" s="2">
        <v>2.7650000000000001</v>
      </c>
      <c r="G481" s="1" t="s">
        <v>12</v>
      </c>
      <c r="H481" s="1" t="s">
        <v>13</v>
      </c>
      <c r="I481" s="1" t="s">
        <v>14</v>
      </c>
      <c r="J481" s="14">
        <v>0.5695486111111111</v>
      </c>
      <c r="K481" s="15">
        <v>45514</v>
      </c>
      <c r="M481" s="2">
        <v>2.6949999999999998</v>
      </c>
      <c r="O481" s="2">
        <f t="shared" si="49"/>
        <v>2.63</v>
      </c>
      <c r="P481" s="2">
        <f t="shared" si="50"/>
        <v>55.071283354510797</v>
      </c>
      <c r="Q481" s="2">
        <f t="shared" si="51"/>
        <v>0.26575000000001797</v>
      </c>
      <c r="R481" s="2">
        <f t="shared" si="52"/>
        <v>0.27542757306228033</v>
      </c>
      <c r="S481" s="2">
        <f t="shared" si="53"/>
        <v>-9.6775730622623568E-3</v>
      </c>
    </row>
    <row r="482" spans="2:19" x14ac:dyDescent="0.25">
      <c r="B482" s="1">
        <f t="shared" si="54"/>
        <v>476</v>
      </c>
      <c r="C482" s="1">
        <v>715</v>
      </c>
      <c r="D482" s="13">
        <v>53.2</v>
      </c>
      <c r="E482" s="1" t="s">
        <v>11</v>
      </c>
      <c r="F482" s="2">
        <v>2.77</v>
      </c>
      <c r="G482" s="1" t="s">
        <v>12</v>
      </c>
      <c r="H482" s="1" t="s">
        <v>13</v>
      </c>
      <c r="I482" s="1" t="s">
        <v>14</v>
      </c>
      <c r="J482" s="14">
        <v>0.5695486111111111</v>
      </c>
      <c r="K482" s="15">
        <v>45514</v>
      </c>
      <c r="M482" s="2">
        <v>2.7</v>
      </c>
      <c r="O482" s="2">
        <f t="shared" si="49"/>
        <v>2.6350000000000002</v>
      </c>
      <c r="P482" s="2">
        <f t="shared" si="50"/>
        <v>55.099745870393903</v>
      </c>
      <c r="Q482" s="2">
        <f t="shared" si="51"/>
        <v>0.26599999999999435</v>
      </c>
      <c r="R482" s="2">
        <f t="shared" si="52"/>
        <v>0.2755698856416714</v>
      </c>
      <c r="S482" s="2">
        <f t="shared" si="53"/>
        <v>-9.569885641677045E-3</v>
      </c>
    </row>
    <row r="483" spans="2:19" x14ac:dyDescent="0.25">
      <c r="B483" s="1">
        <f t="shared" si="54"/>
        <v>477</v>
      </c>
      <c r="C483" s="1">
        <v>717</v>
      </c>
      <c r="D483" s="13">
        <v>53.2</v>
      </c>
      <c r="E483" s="1" t="s">
        <v>11</v>
      </c>
      <c r="F483" s="2">
        <v>2.7749999999999999</v>
      </c>
      <c r="G483" s="1" t="s">
        <v>12</v>
      </c>
      <c r="H483" s="1" t="s">
        <v>13</v>
      </c>
      <c r="I483" s="1" t="s">
        <v>14</v>
      </c>
      <c r="J483" s="14">
        <v>0.56956018518518514</v>
      </c>
      <c r="K483" s="15">
        <v>45514</v>
      </c>
      <c r="M483" s="2">
        <v>2.7050000000000001</v>
      </c>
      <c r="O483" s="2">
        <f t="shared" si="49"/>
        <v>2.64</v>
      </c>
      <c r="P483" s="2">
        <f t="shared" si="50"/>
        <v>55.128208386277002</v>
      </c>
      <c r="Q483" s="2">
        <f t="shared" si="51"/>
        <v>0.26599999999999435</v>
      </c>
      <c r="R483" s="2">
        <f t="shared" si="52"/>
        <v>0.27571219822108689</v>
      </c>
      <c r="S483" s="2">
        <f t="shared" si="53"/>
        <v>-9.7121982210925384E-3</v>
      </c>
    </row>
    <row r="484" spans="2:19" x14ac:dyDescent="0.25">
      <c r="B484" s="1">
        <f t="shared" si="54"/>
        <v>478</v>
      </c>
      <c r="C484" s="1">
        <v>719</v>
      </c>
      <c r="D484" s="13">
        <v>53.2</v>
      </c>
      <c r="E484" s="1" t="s">
        <v>11</v>
      </c>
      <c r="F484" s="2">
        <v>2.78</v>
      </c>
      <c r="G484" s="1" t="s">
        <v>12</v>
      </c>
      <c r="H484" s="1" t="s">
        <v>13</v>
      </c>
      <c r="I484" s="1" t="s">
        <v>14</v>
      </c>
      <c r="J484" s="14">
        <v>0.56956018518518514</v>
      </c>
      <c r="K484" s="15">
        <v>45514</v>
      </c>
      <c r="M484" s="2">
        <v>2.71</v>
      </c>
      <c r="O484" s="2">
        <f t="shared" si="49"/>
        <v>2.645</v>
      </c>
      <c r="P484" s="2">
        <f t="shared" si="50"/>
        <v>55.156670902160101</v>
      </c>
      <c r="Q484" s="2">
        <f t="shared" si="51"/>
        <v>0.26599999999999435</v>
      </c>
      <c r="R484" s="2">
        <f t="shared" si="52"/>
        <v>0.27585451080050238</v>
      </c>
      <c r="S484" s="2">
        <f t="shared" si="53"/>
        <v>-9.8545108005080317E-3</v>
      </c>
    </row>
    <row r="485" spans="2:19" x14ac:dyDescent="0.25">
      <c r="B485" s="1">
        <f t="shared" si="54"/>
        <v>479</v>
      </c>
      <c r="C485" s="1">
        <v>720</v>
      </c>
      <c r="D485" s="13">
        <v>53.2</v>
      </c>
      <c r="E485" s="1" t="s">
        <v>11</v>
      </c>
      <c r="F485" s="2">
        <v>2.7850000000000001</v>
      </c>
      <c r="G485" s="1" t="s">
        <v>12</v>
      </c>
      <c r="H485" s="1" t="s">
        <v>13</v>
      </c>
      <c r="I485" s="1" t="s">
        <v>14</v>
      </c>
      <c r="J485" s="14">
        <v>0.56956018518518514</v>
      </c>
      <c r="K485" s="15">
        <v>45514</v>
      </c>
      <c r="M485" s="2">
        <v>2.7149999999999999</v>
      </c>
      <c r="O485" s="2">
        <f t="shared" si="49"/>
        <v>2.65</v>
      </c>
      <c r="P485" s="2">
        <f t="shared" si="50"/>
        <v>55.1851334180432</v>
      </c>
      <c r="Q485" s="2">
        <f t="shared" si="51"/>
        <v>0.26625000000001797</v>
      </c>
      <c r="R485" s="2">
        <f t="shared" si="52"/>
        <v>0.27599682337994241</v>
      </c>
      <c r="S485" s="2">
        <f t="shared" si="53"/>
        <v>-9.7468233799244408E-3</v>
      </c>
    </row>
    <row r="486" spans="2:19" x14ac:dyDescent="0.25">
      <c r="B486" s="1">
        <f t="shared" si="54"/>
        <v>480</v>
      </c>
      <c r="C486" s="1">
        <v>721</v>
      </c>
      <c r="D486" s="13">
        <v>53.3</v>
      </c>
      <c r="E486" s="1" t="s">
        <v>11</v>
      </c>
      <c r="F486" s="2">
        <v>2.79</v>
      </c>
      <c r="G486" s="1" t="s">
        <v>12</v>
      </c>
      <c r="H486" s="1" t="s">
        <v>13</v>
      </c>
      <c r="I486" s="1" t="s">
        <v>14</v>
      </c>
      <c r="J486" s="14">
        <v>0.56956018518518514</v>
      </c>
      <c r="K486" s="15">
        <v>45514</v>
      </c>
      <c r="M486" s="2">
        <v>2.72</v>
      </c>
      <c r="O486" s="2">
        <f t="shared" si="49"/>
        <v>2.6550000000000002</v>
      </c>
      <c r="P486" s="2">
        <f t="shared" si="50"/>
        <v>55.213595933926307</v>
      </c>
      <c r="Q486" s="2">
        <f t="shared" si="51"/>
        <v>0.2664999999999943</v>
      </c>
      <c r="R486" s="2">
        <f t="shared" si="52"/>
        <v>0.27613913595933343</v>
      </c>
      <c r="S486" s="2">
        <f t="shared" si="53"/>
        <v>-9.639135959339129E-3</v>
      </c>
    </row>
    <row r="487" spans="2:19" x14ac:dyDescent="0.25">
      <c r="B487" s="1">
        <f t="shared" si="54"/>
        <v>481</v>
      </c>
      <c r="C487" s="1">
        <v>723</v>
      </c>
      <c r="D487" s="13">
        <v>53.3</v>
      </c>
      <c r="E487" s="1" t="s">
        <v>11</v>
      </c>
      <c r="F487" s="2">
        <v>2.7949999999999999</v>
      </c>
      <c r="G487" s="1" t="s">
        <v>12</v>
      </c>
      <c r="H487" s="1" t="s">
        <v>13</v>
      </c>
      <c r="I487" s="1" t="s">
        <v>14</v>
      </c>
      <c r="J487" s="14">
        <v>0.56956018518518514</v>
      </c>
      <c r="K487" s="15">
        <v>45514</v>
      </c>
      <c r="M487" s="2">
        <v>2.7250000000000001</v>
      </c>
      <c r="O487" s="2">
        <f t="shared" si="49"/>
        <v>2.66</v>
      </c>
      <c r="P487" s="2">
        <f t="shared" si="50"/>
        <v>55.242058449809406</v>
      </c>
      <c r="Q487" s="2">
        <f t="shared" si="51"/>
        <v>0.2664999999999943</v>
      </c>
      <c r="R487" s="2">
        <f t="shared" si="52"/>
        <v>0.27628144853874886</v>
      </c>
      <c r="S487" s="2">
        <f t="shared" si="53"/>
        <v>-9.7814485387545669E-3</v>
      </c>
    </row>
    <row r="488" spans="2:19" x14ac:dyDescent="0.25">
      <c r="B488" s="1">
        <f t="shared" si="54"/>
        <v>482</v>
      </c>
      <c r="C488" s="1">
        <v>724</v>
      </c>
      <c r="D488" s="13">
        <v>53.3</v>
      </c>
      <c r="E488" s="1" t="s">
        <v>11</v>
      </c>
      <c r="F488" s="2">
        <v>2.8</v>
      </c>
      <c r="G488" s="1" t="s">
        <v>12</v>
      </c>
      <c r="H488" s="1" t="s">
        <v>13</v>
      </c>
      <c r="I488" s="1" t="s">
        <v>14</v>
      </c>
      <c r="J488" s="14">
        <v>0.56956018518518514</v>
      </c>
      <c r="K488" s="15">
        <v>45514</v>
      </c>
      <c r="M488" s="2">
        <v>2.73</v>
      </c>
      <c r="O488" s="2">
        <f t="shared" si="49"/>
        <v>2.665</v>
      </c>
      <c r="P488" s="2">
        <f t="shared" si="50"/>
        <v>55.270520965692505</v>
      </c>
      <c r="Q488" s="2">
        <f t="shared" si="51"/>
        <v>0.26674999999999427</v>
      </c>
      <c r="R488" s="2">
        <f t="shared" si="52"/>
        <v>0.27642376111816441</v>
      </c>
      <c r="S488" s="2">
        <f t="shared" si="53"/>
        <v>-9.6737611181701433E-3</v>
      </c>
    </row>
    <row r="489" spans="2:19" x14ac:dyDescent="0.25">
      <c r="B489" s="1">
        <f t="shared" si="54"/>
        <v>483</v>
      </c>
      <c r="C489" s="1">
        <v>726</v>
      </c>
      <c r="D489" s="13">
        <v>53.4</v>
      </c>
      <c r="E489" s="1" t="s">
        <v>11</v>
      </c>
      <c r="F489" s="2">
        <v>2.8050000000000002</v>
      </c>
      <c r="G489" s="1" t="s">
        <v>12</v>
      </c>
      <c r="H489" s="1" t="s">
        <v>13</v>
      </c>
      <c r="I489" s="1" t="s">
        <v>14</v>
      </c>
      <c r="J489" s="14">
        <v>0.56957175925925929</v>
      </c>
      <c r="K489" s="15">
        <v>45514</v>
      </c>
      <c r="M489" s="2">
        <v>2.7349999999999999</v>
      </c>
      <c r="O489" s="2">
        <f t="shared" si="49"/>
        <v>2.67</v>
      </c>
      <c r="P489" s="2">
        <f t="shared" si="50"/>
        <v>55.298983481575604</v>
      </c>
      <c r="Q489" s="2">
        <f t="shared" si="51"/>
        <v>0.267000000000018</v>
      </c>
      <c r="R489" s="2">
        <f t="shared" si="52"/>
        <v>0.27656607369760444</v>
      </c>
      <c r="S489" s="2">
        <f t="shared" si="53"/>
        <v>-9.5660736975864413E-3</v>
      </c>
    </row>
    <row r="490" spans="2:19" x14ac:dyDescent="0.25">
      <c r="B490" s="1">
        <f t="shared" si="54"/>
        <v>484</v>
      </c>
      <c r="C490" s="1">
        <v>727</v>
      </c>
      <c r="D490" s="13">
        <v>53.4</v>
      </c>
      <c r="E490" s="1" t="s">
        <v>11</v>
      </c>
      <c r="F490" s="2">
        <v>2.81</v>
      </c>
      <c r="G490" s="1" t="s">
        <v>12</v>
      </c>
      <c r="H490" s="1" t="s">
        <v>13</v>
      </c>
      <c r="I490" s="1" t="s">
        <v>14</v>
      </c>
      <c r="J490" s="14">
        <v>0.56957175925925929</v>
      </c>
      <c r="K490" s="15">
        <v>45514</v>
      </c>
      <c r="M490" s="2">
        <v>2.74</v>
      </c>
      <c r="O490" s="2">
        <f t="shared" si="49"/>
        <v>2.6750000000000003</v>
      </c>
      <c r="P490" s="2">
        <f t="shared" si="50"/>
        <v>55.32744599745871</v>
      </c>
      <c r="Q490" s="2">
        <f t="shared" si="51"/>
        <v>0.2669999999999943</v>
      </c>
      <c r="R490" s="2">
        <f t="shared" si="52"/>
        <v>0.2767083862769954</v>
      </c>
      <c r="S490" s="2">
        <f t="shared" si="53"/>
        <v>-9.708386277001102E-3</v>
      </c>
    </row>
    <row r="491" spans="2:19" x14ac:dyDescent="0.25">
      <c r="B491" s="1">
        <f t="shared" si="54"/>
        <v>485</v>
      </c>
      <c r="C491" s="1">
        <v>729</v>
      </c>
      <c r="D491" s="13">
        <v>53.4</v>
      </c>
      <c r="E491" s="1" t="s">
        <v>11</v>
      </c>
      <c r="F491" s="2">
        <v>2.8149999999999999</v>
      </c>
      <c r="G491" s="1" t="s">
        <v>12</v>
      </c>
      <c r="H491" s="1" t="s">
        <v>13</v>
      </c>
      <c r="I491" s="1" t="s">
        <v>14</v>
      </c>
      <c r="J491" s="14">
        <v>0.56957175925925929</v>
      </c>
      <c r="K491" s="15">
        <v>45514</v>
      </c>
      <c r="M491" s="2">
        <v>2.7450000000000001</v>
      </c>
      <c r="O491" s="2">
        <f t="shared" si="49"/>
        <v>2.68</v>
      </c>
      <c r="P491" s="2">
        <f t="shared" si="50"/>
        <v>55.355908513341802</v>
      </c>
      <c r="Q491" s="2">
        <f t="shared" si="51"/>
        <v>0.2669999999999943</v>
      </c>
      <c r="R491" s="2">
        <f t="shared" si="52"/>
        <v>0.27685069885641089</v>
      </c>
      <c r="S491" s="2">
        <f t="shared" si="53"/>
        <v>-9.8506988564165954E-3</v>
      </c>
    </row>
    <row r="492" spans="2:19" x14ac:dyDescent="0.25">
      <c r="B492" s="1">
        <f t="shared" si="54"/>
        <v>486</v>
      </c>
      <c r="C492" s="1">
        <v>730</v>
      </c>
      <c r="D492" s="13">
        <v>53.4</v>
      </c>
      <c r="E492" s="1" t="s">
        <v>11</v>
      </c>
      <c r="F492" s="2">
        <v>2.82</v>
      </c>
      <c r="G492" s="1" t="s">
        <v>12</v>
      </c>
      <c r="H492" s="1" t="s">
        <v>13</v>
      </c>
      <c r="I492" s="1" t="s">
        <v>14</v>
      </c>
      <c r="J492" s="14">
        <v>0.56957175925925929</v>
      </c>
      <c r="K492" s="15">
        <v>45514</v>
      </c>
      <c r="M492" s="2">
        <v>2.75</v>
      </c>
      <c r="O492" s="2">
        <f t="shared" si="49"/>
        <v>2.6850000000000001</v>
      </c>
      <c r="P492" s="2">
        <f t="shared" si="50"/>
        <v>55.384371029224909</v>
      </c>
      <c r="Q492" s="2">
        <f t="shared" si="51"/>
        <v>0.26724999999999433</v>
      </c>
      <c r="R492" s="2">
        <f t="shared" si="52"/>
        <v>0.27699301143582639</v>
      </c>
      <c r="S492" s="2">
        <f t="shared" si="53"/>
        <v>-9.7430114358320608E-3</v>
      </c>
    </row>
    <row r="493" spans="2:19" x14ac:dyDescent="0.25">
      <c r="B493" s="1">
        <f t="shared" si="54"/>
        <v>487</v>
      </c>
      <c r="C493" s="1">
        <v>731</v>
      </c>
      <c r="D493" s="13">
        <v>53.5</v>
      </c>
      <c r="E493" s="1" t="s">
        <v>11</v>
      </c>
      <c r="F493" s="2">
        <v>2.8250000000000002</v>
      </c>
      <c r="G493" s="1" t="s">
        <v>12</v>
      </c>
      <c r="H493" s="1" t="s">
        <v>13</v>
      </c>
      <c r="I493" s="1" t="s">
        <v>14</v>
      </c>
      <c r="J493" s="14">
        <v>0.56957175925925929</v>
      </c>
      <c r="K493" s="15">
        <v>45514</v>
      </c>
      <c r="M493" s="2">
        <v>2.7549999999999999</v>
      </c>
      <c r="O493" s="2">
        <f t="shared" si="49"/>
        <v>2.69</v>
      </c>
      <c r="P493" s="2">
        <f t="shared" si="50"/>
        <v>55.412833545108008</v>
      </c>
      <c r="Q493" s="2">
        <f t="shared" si="51"/>
        <v>0.2674999999999943</v>
      </c>
      <c r="R493" s="2">
        <f t="shared" si="52"/>
        <v>0.27713532401524188</v>
      </c>
      <c r="S493" s="2">
        <f t="shared" si="53"/>
        <v>-9.6353240152475816E-3</v>
      </c>
    </row>
    <row r="494" spans="2:19" x14ac:dyDescent="0.25">
      <c r="B494" s="1">
        <f t="shared" si="54"/>
        <v>488</v>
      </c>
      <c r="C494" s="1">
        <v>733</v>
      </c>
      <c r="D494" s="13">
        <v>53.5</v>
      </c>
      <c r="E494" s="1" t="s">
        <v>11</v>
      </c>
      <c r="F494" s="2">
        <v>2.83</v>
      </c>
      <c r="G494" s="1" t="s">
        <v>12</v>
      </c>
      <c r="H494" s="1" t="s">
        <v>13</v>
      </c>
      <c r="I494" s="1" t="s">
        <v>14</v>
      </c>
      <c r="J494" s="14">
        <v>0.56957175925925929</v>
      </c>
      <c r="K494" s="15">
        <v>45514</v>
      </c>
      <c r="M494" s="2">
        <v>2.76</v>
      </c>
      <c r="O494" s="2">
        <f t="shared" si="49"/>
        <v>2.6949999999999998</v>
      </c>
      <c r="P494" s="2">
        <f t="shared" si="50"/>
        <v>55.441296060991107</v>
      </c>
      <c r="Q494" s="2">
        <f t="shared" si="51"/>
        <v>0.26750000000001806</v>
      </c>
      <c r="R494" s="2">
        <f t="shared" si="52"/>
        <v>0.27727763659468196</v>
      </c>
      <c r="S494" s="2">
        <f t="shared" si="53"/>
        <v>-9.7776365946639077E-3</v>
      </c>
    </row>
    <row r="495" spans="2:19" x14ac:dyDescent="0.25">
      <c r="B495" s="1">
        <f t="shared" si="54"/>
        <v>489</v>
      </c>
      <c r="C495" s="1">
        <v>734</v>
      </c>
      <c r="D495" s="13">
        <v>53.5</v>
      </c>
      <c r="E495" s="1" t="s">
        <v>11</v>
      </c>
      <c r="F495" s="2">
        <v>2.835</v>
      </c>
      <c r="G495" s="1" t="s">
        <v>12</v>
      </c>
      <c r="H495" s="1" t="s">
        <v>13</v>
      </c>
      <c r="I495" s="1" t="s">
        <v>14</v>
      </c>
      <c r="J495" s="14">
        <v>0.56957175925925929</v>
      </c>
      <c r="K495" s="15">
        <v>45514</v>
      </c>
      <c r="M495" s="2">
        <v>2.7650000000000001</v>
      </c>
      <c r="O495" s="2">
        <f t="shared" si="49"/>
        <v>2.7</v>
      </c>
      <c r="P495" s="2">
        <f t="shared" si="50"/>
        <v>55.469758576874206</v>
      </c>
      <c r="Q495" s="2">
        <f t="shared" si="51"/>
        <v>0.26774999999999427</v>
      </c>
      <c r="R495" s="2">
        <f t="shared" si="52"/>
        <v>0.27741994917407287</v>
      </c>
      <c r="S495" s="2">
        <f t="shared" si="53"/>
        <v>-9.6699491740785959E-3</v>
      </c>
    </row>
    <row r="496" spans="2:19" x14ac:dyDescent="0.25">
      <c r="B496" s="1">
        <f t="shared" si="54"/>
        <v>490</v>
      </c>
      <c r="C496" s="1">
        <v>735</v>
      </c>
      <c r="D496" s="13">
        <v>53.6</v>
      </c>
      <c r="E496" s="1" t="s">
        <v>11</v>
      </c>
      <c r="F496" s="2">
        <v>2.84</v>
      </c>
      <c r="G496" s="1" t="s">
        <v>12</v>
      </c>
      <c r="H496" s="1" t="s">
        <v>13</v>
      </c>
      <c r="I496" s="1" t="s">
        <v>14</v>
      </c>
      <c r="J496" s="14">
        <v>0.56957175925925929</v>
      </c>
      <c r="K496" s="15">
        <v>45514</v>
      </c>
      <c r="M496" s="2">
        <v>2.77</v>
      </c>
      <c r="O496" s="2">
        <f t="shared" si="49"/>
        <v>2.7050000000000001</v>
      </c>
      <c r="P496" s="2">
        <f t="shared" si="50"/>
        <v>55.498221092757305</v>
      </c>
      <c r="Q496" s="2">
        <f t="shared" si="51"/>
        <v>0.2679999999999943</v>
      </c>
      <c r="R496" s="2">
        <f t="shared" si="52"/>
        <v>0.27756226175348836</v>
      </c>
      <c r="S496" s="2">
        <f t="shared" si="53"/>
        <v>-9.5622617534940613E-3</v>
      </c>
    </row>
    <row r="497" spans="2:19" x14ac:dyDescent="0.25">
      <c r="B497" s="1">
        <f t="shared" si="54"/>
        <v>491</v>
      </c>
      <c r="C497" s="1">
        <v>736</v>
      </c>
      <c r="D497" s="13">
        <v>53.6</v>
      </c>
      <c r="E497" s="1" t="s">
        <v>11</v>
      </c>
      <c r="F497" s="2">
        <v>2.8450000000000002</v>
      </c>
      <c r="G497" s="1" t="s">
        <v>12</v>
      </c>
      <c r="H497" s="1" t="s">
        <v>13</v>
      </c>
      <c r="I497" s="1" t="s">
        <v>14</v>
      </c>
      <c r="J497" s="14">
        <v>0.56958333333333333</v>
      </c>
      <c r="K497" s="15">
        <v>45514</v>
      </c>
      <c r="M497" s="2">
        <v>2.7749999999999999</v>
      </c>
      <c r="O497" s="2">
        <f t="shared" si="49"/>
        <v>2.71</v>
      </c>
      <c r="P497" s="2">
        <f t="shared" si="50"/>
        <v>55.526683608640411</v>
      </c>
      <c r="Q497" s="2">
        <f t="shared" si="51"/>
        <v>0.2679999999999943</v>
      </c>
      <c r="R497" s="2">
        <f t="shared" si="52"/>
        <v>0.27770457433290385</v>
      </c>
      <c r="S497" s="2">
        <f t="shared" si="53"/>
        <v>-9.7045743329095546E-3</v>
      </c>
    </row>
    <row r="498" spans="2:19" x14ac:dyDescent="0.25">
      <c r="B498" s="1">
        <f t="shared" si="54"/>
        <v>492</v>
      </c>
      <c r="C498" s="1">
        <v>738</v>
      </c>
      <c r="D498" s="13">
        <v>53.6</v>
      </c>
      <c r="E498" s="1" t="s">
        <v>11</v>
      </c>
      <c r="F498" s="2">
        <v>2.85</v>
      </c>
      <c r="G498" s="1" t="s">
        <v>12</v>
      </c>
      <c r="H498" s="1" t="s">
        <v>13</v>
      </c>
      <c r="I498" s="1" t="s">
        <v>14</v>
      </c>
      <c r="J498" s="14">
        <v>0.56958333333333333</v>
      </c>
      <c r="K498" s="15">
        <v>45514</v>
      </c>
      <c r="M498" s="2">
        <v>2.78</v>
      </c>
      <c r="O498" s="2">
        <f t="shared" si="49"/>
        <v>2.7149999999999999</v>
      </c>
      <c r="P498" s="2">
        <f t="shared" si="50"/>
        <v>55.555146124523503</v>
      </c>
      <c r="Q498" s="2">
        <f t="shared" si="51"/>
        <v>0.26825000000001814</v>
      </c>
      <c r="R498" s="2">
        <f t="shared" si="52"/>
        <v>0.27784688691234405</v>
      </c>
      <c r="S498" s="2">
        <f t="shared" si="53"/>
        <v>-9.5968869123259082E-3</v>
      </c>
    </row>
    <row r="499" spans="2:19" x14ac:dyDescent="0.25">
      <c r="B499" s="1">
        <f t="shared" si="54"/>
        <v>493</v>
      </c>
      <c r="C499" s="1">
        <v>740</v>
      </c>
      <c r="D499" s="13">
        <v>53.7</v>
      </c>
      <c r="E499" s="1" t="s">
        <v>11</v>
      </c>
      <c r="F499" s="2">
        <v>2.855</v>
      </c>
      <c r="G499" s="1" t="s">
        <v>12</v>
      </c>
      <c r="H499" s="1" t="s">
        <v>13</v>
      </c>
      <c r="I499" s="1" t="s">
        <v>14</v>
      </c>
      <c r="J499" s="14">
        <v>0.56958333333333333</v>
      </c>
      <c r="K499" s="15">
        <v>45514</v>
      </c>
      <c r="M499" s="2">
        <v>2.7850000000000001</v>
      </c>
      <c r="O499" s="2">
        <f t="shared" si="49"/>
        <v>2.72</v>
      </c>
      <c r="P499" s="2">
        <f t="shared" si="50"/>
        <v>55.583608640406609</v>
      </c>
      <c r="Q499" s="2">
        <f t="shared" si="51"/>
        <v>0.2684999999999943</v>
      </c>
      <c r="R499" s="2">
        <f t="shared" si="52"/>
        <v>0.27798919949173484</v>
      </c>
      <c r="S499" s="2">
        <f t="shared" si="53"/>
        <v>-9.4891994917405409E-3</v>
      </c>
    </row>
    <row r="500" spans="2:19" x14ac:dyDescent="0.25">
      <c r="B500" s="1">
        <f t="shared" si="54"/>
        <v>494</v>
      </c>
      <c r="C500" s="1">
        <v>742</v>
      </c>
      <c r="D500" s="13">
        <v>53.7</v>
      </c>
      <c r="E500" s="1" t="s">
        <v>11</v>
      </c>
      <c r="F500" s="2">
        <v>2.86</v>
      </c>
      <c r="G500" s="1" t="s">
        <v>12</v>
      </c>
      <c r="H500" s="1" t="s">
        <v>13</v>
      </c>
      <c r="I500" s="1" t="s">
        <v>14</v>
      </c>
      <c r="J500" s="14">
        <v>0.56958333333333333</v>
      </c>
      <c r="K500" s="15">
        <v>45514</v>
      </c>
      <c r="M500" s="2">
        <v>2.79</v>
      </c>
      <c r="O500" s="2">
        <f t="shared" si="49"/>
        <v>2.7250000000000001</v>
      </c>
      <c r="P500" s="2">
        <f t="shared" si="50"/>
        <v>55.612071156289709</v>
      </c>
      <c r="Q500" s="2">
        <f t="shared" si="51"/>
        <v>0.26874999999999427</v>
      </c>
      <c r="R500" s="2">
        <f t="shared" si="52"/>
        <v>0.27813151207115039</v>
      </c>
      <c r="S500" s="2">
        <f t="shared" si="53"/>
        <v>-9.3815120711561173E-3</v>
      </c>
    </row>
    <row r="501" spans="2:19" x14ac:dyDescent="0.25">
      <c r="B501" s="1">
        <f t="shared" si="54"/>
        <v>495</v>
      </c>
      <c r="C501" s="1">
        <v>744</v>
      </c>
      <c r="D501" s="13">
        <v>53.8</v>
      </c>
      <c r="E501" s="1" t="s">
        <v>11</v>
      </c>
      <c r="F501" s="2">
        <v>2.8650000000000002</v>
      </c>
      <c r="G501" s="1" t="s">
        <v>12</v>
      </c>
      <c r="H501" s="1" t="s">
        <v>13</v>
      </c>
      <c r="I501" s="1" t="s">
        <v>14</v>
      </c>
      <c r="J501" s="14">
        <v>0.56958333333333333</v>
      </c>
      <c r="K501" s="15">
        <v>45514</v>
      </c>
      <c r="M501" s="2">
        <v>2.7949999999999999</v>
      </c>
      <c r="O501" s="2">
        <f t="shared" si="49"/>
        <v>2.73</v>
      </c>
      <c r="P501" s="2">
        <f t="shared" si="50"/>
        <v>55.640533672172808</v>
      </c>
      <c r="Q501" s="2">
        <f t="shared" si="51"/>
        <v>0.26899999999999424</v>
      </c>
      <c r="R501" s="2">
        <f t="shared" si="52"/>
        <v>0.27827382465056583</v>
      </c>
      <c r="S501" s="2">
        <f t="shared" si="53"/>
        <v>-9.2738246505715827E-3</v>
      </c>
    </row>
    <row r="502" spans="2:19" x14ac:dyDescent="0.25">
      <c r="B502" s="1">
        <f t="shared" si="54"/>
        <v>496</v>
      </c>
      <c r="C502" s="1">
        <v>745</v>
      </c>
      <c r="D502" s="13">
        <v>53.8</v>
      </c>
      <c r="E502" s="1" t="s">
        <v>11</v>
      </c>
      <c r="F502" s="2">
        <v>2.87</v>
      </c>
      <c r="G502" s="1" t="s">
        <v>12</v>
      </c>
      <c r="H502" s="1" t="s">
        <v>13</v>
      </c>
      <c r="I502" s="1" t="s">
        <v>14</v>
      </c>
      <c r="J502" s="14">
        <v>0.56958333333333333</v>
      </c>
      <c r="K502" s="15">
        <v>45514</v>
      </c>
      <c r="M502" s="2">
        <v>2.8</v>
      </c>
      <c r="O502" s="2">
        <f t="shared" si="49"/>
        <v>2.7349999999999999</v>
      </c>
      <c r="P502" s="2">
        <f t="shared" si="50"/>
        <v>55.668996188055907</v>
      </c>
      <c r="Q502" s="2">
        <f t="shared" si="51"/>
        <v>0.26900000000001817</v>
      </c>
      <c r="R502" s="2">
        <f t="shared" si="52"/>
        <v>0.27841613723000608</v>
      </c>
      <c r="S502" s="2">
        <f t="shared" si="53"/>
        <v>-9.4161372299879087E-3</v>
      </c>
    </row>
    <row r="503" spans="2:19" x14ac:dyDescent="0.25">
      <c r="B503" s="1">
        <f t="shared" si="54"/>
        <v>497</v>
      </c>
      <c r="C503" s="1">
        <v>747</v>
      </c>
      <c r="D503" s="13">
        <v>53.8</v>
      </c>
      <c r="E503" s="1" t="s">
        <v>11</v>
      </c>
      <c r="F503" s="2">
        <v>2.875</v>
      </c>
      <c r="G503" s="1" t="s">
        <v>12</v>
      </c>
      <c r="H503" s="1" t="s">
        <v>13</v>
      </c>
      <c r="I503" s="1" t="s">
        <v>14</v>
      </c>
      <c r="J503" s="14">
        <v>0.56959490740740737</v>
      </c>
      <c r="K503" s="15">
        <v>45514</v>
      </c>
      <c r="M503" s="2">
        <v>2.8050000000000002</v>
      </c>
      <c r="O503" s="2">
        <f t="shared" si="49"/>
        <v>2.74</v>
      </c>
      <c r="P503" s="2">
        <f t="shared" si="50"/>
        <v>55.697458703939013</v>
      </c>
      <c r="Q503" s="2">
        <f t="shared" si="51"/>
        <v>0.26899999999999424</v>
      </c>
      <c r="R503" s="2">
        <f t="shared" si="52"/>
        <v>0.27855844980939687</v>
      </c>
      <c r="S503" s="2">
        <f t="shared" si="53"/>
        <v>-9.5584498094026249E-3</v>
      </c>
    </row>
    <row r="504" spans="2:19" x14ac:dyDescent="0.25">
      <c r="B504" s="1">
        <f t="shared" si="54"/>
        <v>498</v>
      </c>
      <c r="C504" s="1">
        <v>749</v>
      </c>
      <c r="D504" s="13">
        <v>53.8</v>
      </c>
      <c r="E504" s="1" t="s">
        <v>11</v>
      </c>
      <c r="F504" s="2">
        <v>2.88</v>
      </c>
      <c r="G504" s="1" t="s">
        <v>12</v>
      </c>
      <c r="H504" s="1" t="s">
        <v>13</v>
      </c>
      <c r="I504" s="1" t="s">
        <v>14</v>
      </c>
      <c r="J504" s="14">
        <v>0.56959490740740737</v>
      </c>
      <c r="K504" s="15">
        <v>45514</v>
      </c>
      <c r="M504" s="2">
        <v>2.81</v>
      </c>
      <c r="O504" s="2">
        <f t="shared" si="49"/>
        <v>2.7450000000000001</v>
      </c>
      <c r="P504" s="2">
        <f t="shared" si="50"/>
        <v>55.725921219822112</v>
      </c>
      <c r="Q504" s="2">
        <f t="shared" si="51"/>
        <v>0.26924999999999422</v>
      </c>
      <c r="R504" s="2">
        <f t="shared" si="52"/>
        <v>0.27870076238881236</v>
      </c>
      <c r="S504" s="2">
        <f t="shared" si="53"/>
        <v>-9.4507623888181458E-3</v>
      </c>
    </row>
    <row r="505" spans="2:19" x14ac:dyDescent="0.25">
      <c r="B505" s="1">
        <f t="shared" si="54"/>
        <v>499</v>
      </c>
      <c r="C505" s="1">
        <v>751</v>
      </c>
      <c r="D505" s="13">
        <v>53.9</v>
      </c>
      <c r="E505" s="1" t="s">
        <v>11</v>
      </c>
      <c r="F505" s="2">
        <v>2.8849999999999998</v>
      </c>
      <c r="G505" s="1" t="s">
        <v>12</v>
      </c>
      <c r="H505" s="1" t="s">
        <v>13</v>
      </c>
      <c r="I505" s="1" t="s">
        <v>14</v>
      </c>
      <c r="J505" s="14">
        <v>0.56959490740740737</v>
      </c>
      <c r="K505" s="15">
        <v>45514</v>
      </c>
      <c r="M505" s="2">
        <v>2.8149999999999999</v>
      </c>
      <c r="O505" s="2">
        <f t="shared" si="49"/>
        <v>2.75</v>
      </c>
      <c r="P505" s="2">
        <f t="shared" si="50"/>
        <v>55.754383735705211</v>
      </c>
      <c r="Q505" s="2">
        <f t="shared" si="51"/>
        <v>0.26949999999999424</v>
      </c>
      <c r="R505" s="2">
        <f t="shared" si="52"/>
        <v>0.27884307496822786</v>
      </c>
      <c r="S505" s="2">
        <f t="shared" si="53"/>
        <v>-9.3430749682336112E-3</v>
      </c>
    </row>
    <row r="506" spans="2:19" x14ac:dyDescent="0.25">
      <c r="B506" s="1">
        <f t="shared" si="54"/>
        <v>500</v>
      </c>
      <c r="C506" s="1">
        <v>753</v>
      </c>
      <c r="D506" s="13">
        <v>53.9</v>
      </c>
      <c r="E506" s="1" t="s">
        <v>11</v>
      </c>
      <c r="F506" s="2">
        <v>2.89</v>
      </c>
      <c r="G506" s="1" t="s">
        <v>12</v>
      </c>
      <c r="H506" s="1" t="s">
        <v>13</v>
      </c>
      <c r="I506" s="1" t="s">
        <v>14</v>
      </c>
      <c r="J506" s="14">
        <v>0.56959490740740737</v>
      </c>
      <c r="K506" s="15">
        <v>45514</v>
      </c>
      <c r="M506" s="2">
        <v>2.82</v>
      </c>
      <c r="O506" s="2">
        <f t="shared" si="49"/>
        <v>2.7549999999999999</v>
      </c>
      <c r="P506" s="2">
        <f t="shared" si="50"/>
        <v>55.78284625158831</v>
      </c>
      <c r="Q506" s="2">
        <f t="shared" si="51"/>
        <v>0.2697500000000182</v>
      </c>
      <c r="R506" s="2">
        <f t="shared" si="52"/>
        <v>0.27898538754766816</v>
      </c>
      <c r="S506" s="2">
        <f t="shared" si="53"/>
        <v>-9.2353875476499647E-3</v>
      </c>
    </row>
    <row r="507" spans="2:19" x14ac:dyDescent="0.25">
      <c r="B507" s="1">
        <f t="shared" si="54"/>
        <v>501</v>
      </c>
      <c r="C507" s="1">
        <v>755</v>
      </c>
      <c r="D507" s="13">
        <v>54</v>
      </c>
      <c r="E507" s="1" t="s">
        <v>11</v>
      </c>
      <c r="F507" s="2">
        <v>2.895</v>
      </c>
      <c r="G507" s="1" t="s">
        <v>12</v>
      </c>
      <c r="H507" s="1" t="s">
        <v>13</v>
      </c>
      <c r="I507" s="1" t="s">
        <v>14</v>
      </c>
      <c r="J507" s="14">
        <v>0.56959490740740737</v>
      </c>
      <c r="K507" s="15">
        <v>45514</v>
      </c>
      <c r="M507" s="2">
        <v>2.8250000000000002</v>
      </c>
      <c r="O507" s="2">
        <f t="shared" si="49"/>
        <v>2.7600000000000002</v>
      </c>
      <c r="P507" s="2">
        <f t="shared" si="50"/>
        <v>55.811308767471417</v>
      </c>
      <c r="Q507" s="2">
        <f t="shared" si="51"/>
        <v>0.26999999999999424</v>
      </c>
      <c r="R507" s="2">
        <f t="shared" si="52"/>
        <v>0.27912770012705884</v>
      </c>
      <c r="S507" s="2">
        <f t="shared" si="53"/>
        <v>-9.1277001270645974E-3</v>
      </c>
    </row>
    <row r="508" spans="2:19" x14ac:dyDescent="0.25">
      <c r="B508" s="1">
        <f t="shared" si="54"/>
        <v>502</v>
      </c>
      <c r="C508" s="1">
        <v>756</v>
      </c>
      <c r="D508" s="13">
        <v>54</v>
      </c>
      <c r="E508" s="1" t="s">
        <v>11</v>
      </c>
      <c r="F508" s="2">
        <v>2.9</v>
      </c>
      <c r="G508" s="1" t="s">
        <v>12</v>
      </c>
      <c r="H508" s="1" t="s">
        <v>13</v>
      </c>
      <c r="I508" s="1" t="s">
        <v>14</v>
      </c>
      <c r="J508" s="14">
        <v>0.56960648148148152</v>
      </c>
      <c r="K508" s="15">
        <v>45514</v>
      </c>
      <c r="M508" s="2">
        <v>2.83</v>
      </c>
      <c r="O508" s="2">
        <f t="shared" si="49"/>
        <v>2.7650000000000001</v>
      </c>
      <c r="P508" s="2">
        <f t="shared" si="50"/>
        <v>55.839771283354509</v>
      </c>
      <c r="Q508" s="2">
        <f t="shared" si="51"/>
        <v>0.26999999999999424</v>
      </c>
      <c r="R508" s="2">
        <f t="shared" si="52"/>
        <v>0.27927001270647434</v>
      </c>
      <c r="S508" s="2">
        <f t="shared" si="53"/>
        <v>-9.2700127064800908E-3</v>
      </c>
    </row>
    <row r="509" spans="2:19" x14ac:dyDescent="0.25">
      <c r="B509" s="1">
        <f t="shared" si="54"/>
        <v>503</v>
      </c>
      <c r="C509" s="1">
        <v>758</v>
      </c>
      <c r="D509" s="13">
        <v>54</v>
      </c>
      <c r="E509" s="1" t="s">
        <v>11</v>
      </c>
      <c r="F509" s="2">
        <v>2.9049999999999998</v>
      </c>
      <c r="G509" s="1" t="s">
        <v>12</v>
      </c>
      <c r="H509" s="1" t="s">
        <v>13</v>
      </c>
      <c r="I509" s="1" t="s">
        <v>14</v>
      </c>
      <c r="J509" s="14">
        <v>0.56960648148148152</v>
      </c>
      <c r="K509" s="15">
        <v>45514</v>
      </c>
      <c r="M509" s="2">
        <v>2.835</v>
      </c>
      <c r="O509" s="2">
        <f t="shared" si="49"/>
        <v>2.77</v>
      </c>
      <c r="P509" s="2">
        <f t="shared" si="50"/>
        <v>55.868233799237615</v>
      </c>
      <c r="Q509" s="2">
        <f t="shared" si="51"/>
        <v>0.26999999999999424</v>
      </c>
      <c r="R509" s="2">
        <f t="shared" si="52"/>
        <v>0.27941232528588983</v>
      </c>
      <c r="S509" s="2">
        <f t="shared" si="53"/>
        <v>-9.4123252858955841E-3</v>
      </c>
    </row>
    <row r="510" spans="2:19" x14ac:dyDescent="0.25">
      <c r="B510" s="1">
        <f t="shared" si="54"/>
        <v>504</v>
      </c>
      <c r="C510" s="1">
        <v>759</v>
      </c>
      <c r="D510" s="13">
        <v>54</v>
      </c>
      <c r="E510" s="1" t="s">
        <v>11</v>
      </c>
      <c r="F510" s="2">
        <v>2.91</v>
      </c>
      <c r="G510" s="1" t="s">
        <v>12</v>
      </c>
      <c r="H510" s="1" t="s">
        <v>13</v>
      </c>
      <c r="I510" s="1" t="s">
        <v>14</v>
      </c>
      <c r="J510" s="14">
        <v>0.56960648148148152</v>
      </c>
      <c r="K510" s="15">
        <v>45514</v>
      </c>
      <c r="M510" s="2">
        <v>2.84</v>
      </c>
      <c r="O510" s="2">
        <f t="shared" si="49"/>
        <v>2.7749999999999999</v>
      </c>
      <c r="P510" s="2">
        <f t="shared" si="50"/>
        <v>55.896696315120714</v>
      </c>
      <c r="Q510" s="2">
        <f t="shared" si="51"/>
        <v>0.27025000000001825</v>
      </c>
      <c r="R510" s="2">
        <f t="shared" si="52"/>
        <v>0.27955463786533019</v>
      </c>
      <c r="S510" s="2">
        <f t="shared" si="53"/>
        <v>-9.3046378653119377E-3</v>
      </c>
    </row>
    <row r="511" spans="2:19" x14ac:dyDescent="0.25">
      <c r="B511" s="1">
        <f t="shared" si="54"/>
        <v>505</v>
      </c>
      <c r="C511" s="1">
        <v>760</v>
      </c>
      <c r="D511" s="13">
        <v>54.1</v>
      </c>
      <c r="E511" s="1" t="s">
        <v>11</v>
      </c>
      <c r="F511" s="2">
        <v>2.915</v>
      </c>
      <c r="G511" s="1" t="s">
        <v>12</v>
      </c>
      <c r="H511" s="1" t="s">
        <v>13</v>
      </c>
      <c r="I511" s="1" t="s">
        <v>14</v>
      </c>
      <c r="J511" s="14">
        <v>0.56960648148148152</v>
      </c>
      <c r="K511" s="15">
        <v>45514</v>
      </c>
      <c r="M511" s="2">
        <v>2.8450000000000002</v>
      </c>
      <c r="O511" s="2">
        <f t="shared" si="49"/>
        <v>2.7800000000000002</v>
      </c>
      <c r="P511" s="2">
        <f t="shared" si="50"/>
        <v>55.925158831003813</v>
      </c>
      <c r="Q511" s="2">
        <f t="shared" si="51"/>
        <v>0.27049999999999425</v>
      </c>
      <c r="R511" s="2">
        <f t="shared" si="52"/>
        <v>0.27969695044472082</v>
      </c>
      <c r="S511" s="2">
        <f t="shared" si="53"/>
        <v>-9.1969504447265704E-3</v>
      </c>
    </row>
    <row r="512" spans="2:19" x14ac:dyDescent="0.25">
      <c r="B512" s="1">
        <f t="shared" si="54"/>
        <v>506</v>
      </c>
      <c r="C512" s="1">
        <v>762</v>
      </c>
      <c r="D512" s="13">
        <v>54.1</v>
      </c>
      <c r="E512" s="1" t="s">
        <v>11</v>
      </c>
      <c r="F512" s="2">
        <v>2.92</v>
      </c>
      <c r="G512" s="1" t="s">
        <v>12</v>
      </c>
      <c r="H512" s="1" t="s">
        <v>13</v>
      </c>
      <c r="I512" s="1" t="s">
        <v>14</v>
      </c>
      <c r="J512" s="14">
        <v>0.56960648148148152</v>
      </c>
      <c r="K512" s="15">
        <v>45514</v>
      </c>
      <c r="M512" s="2">
        <v>2.85</v>
      </c>
      <c r="O512" s="2">
        <f t="shared" si="49"/>
        <v>2.7850000000000001</v>
      </c>
      <c r="P512" s="2">
        <f t="shared" si="50"/>
        <v>55.953621346886912</v>
      </c>
      <c r="Q512" s="2">
        <f t="shared" si="51"/>
        <v>0.27049999999999425</v>
      </c>
      <c r="R512" s="2">
        <f t="shared" si="52"/>
        <v>0.27983926302413636</v>
      </c>
      <c r="S512" s="2">
        <f t="shared" si="53"/>
        <v>-9.3392630241421193E-3</v>
      </c>
    </row>
    <row r="513" spans="2:19" x14ac:dyDescent="0.25">
      <c r="B513" s="1">
        <f t="shared" si="54"/>
        <v>507</v>
      </c>
      <c r="C513" s="1">
        <v>763</v>
      </c>
      <c r="D513" s="13">
        <v>54.1</v>
      </c>
      <c r="E513" s="1" t="s">
        <v>11</v>
      </c>
      <c r="F513" s="2">
        <v>2.9249999999999998</v>
      </c>
      <c r="G513" s="1" t="s">
        <v>12</v>
      </c>
      <c r="H513" s="1" t="s">
        <v>13</v>
      </c>
      <c r="I513" s="1" t="s">
        <v>14</v>
      </c>
      <c r="J513" s="14">
        <v>0.56960648148148152</v>
      </c>
      <c r="K513" s="15">
        <v>45514</v>
      </c>
      <c r="M513" s="2">
        <v>2.855</v>
      </c>
      <c r="O513" s="2">
        <f t="shared" si="49"/>
        <v>2.79</v>
      </c>
      <c r="P513" s="2">
        <f t="shared" si="50"/>
        <v>55.982083862770011</v>
      </c>
      <c r="Q513" s="2">
        <f t="shared" si="51"/>
        <v>0.27074999999999427</v>
      </c>
      <c r="R513" s="2">
        <f t="shared" si="52"/>
        <v>0.27998157560355186</v>
      </c>
      <c r="S513" s="2">
        <f t="shared" si="53"/>
        <v>-9.2315756035575847E-3</v>
      </c>
    </row>
    <row r="514" spans="2:19" x14ac:dyDescent="0.25">
      <c r="B514" s="1">
        <f t="shared" si="54"/>
        <v>508</v>
      </c>
      <c r="C514" s="1">
        <v>764</v>
      </c>
      <c r="D514" s="13">
        <v>54.2</v>
      </c>
      <c r="E514" s="1" t="s">
        <v>11</v>
      </c>
      <c r="F514" s="2">
        <v>2.93</v>
      </c>
      <c r="G514" s="1" t="s">
        <v>12</v>
      </c>
      <c r="H514" s="1" t="s">
        <v>13</v>
      </c>
      <c r="I514" s="1" t="s">
        <v>14</v>
      </c>
      <c r="J514" s="14">
        <v>0.56960648148148152</v>
      </c>
      <c r="K514" s="15">
        <v>45514</v>
      </c>
      <c r="M514" s="2">
        <v>2.86</v>
      </c>
      <c r="O514" s="2">
        <f t="shared" si="49"/>
        <v>2.7949999999999999</v>
      </c>
      <c r="P514" s="2">
        <f t="shared" si="50"/>
        <v>56.010546378653117</v>
      </c>
      <c r="Q514" s="2">
        <f t="shared" si="51"/>
        <v>0.54250000000001253</v>
      </c>
      <c r="R514" s="2">
        <f t="shared" si="52"/>
        <v>0.56039008894537512</v>
      </c>
      <c r="S514" s="2">
        <f t="shared" si="53"/>
        <v>-1.7890088945362592E-2</v>
      </c>
    </row>
    <row r="515" spans="2:19" x14ac:dyDescent="0.25">
      <c r="B515" s="1">
        <f t="shared" si="54"/>
        <v>509</v>
      </c>
      <c r="C515" s="1">
        <v>765</v>
      </c>
      <c r="D515" s="13">
        <v>54.3</v>
      </c>
      <c r="E515" s="1" t="s">
        <v>11</v>
      </c>
      <c r="F515" s="2">
        <v>2.94</v>
      </c>
      <c r="G515" s="1" t="s">
        <v>12</v>
      </c>
      <c r="H515" s="1" t="s">
        <v>13</v>
      </c>
      <c r="I515" s="1" t="s">
        <v>14</v>
      </c>
      <c r="J515" s="14">
        <v>0.56960648148148152</v>
      </c>
      <c r="K515" s="15">
        <v>45514</v>
      </c>
      <c r="M515" s="2">
        <v>2.87</v>
      </c>
      <c r="O515" s="2">
        <f t="shared" si="49"/>
        <v>2.8050000000000002</v>
      </c>
      <c r="P515" s="2">
        <f t="shared" si="50"/>
        <v>56.067471410419316</v>
      </c>
      <c r="Q515" s="2">
        <f t="shared" si="51"/>
        <v>0.27124999999999422</v>
      </c>
      <c r="R515" s="2">
        <f t="shared" si="52"/>
        <v>0.28040851334179834</v>
      </c>
      <c r="S515" s="2">
        <f t="shared" si="53"/>
        <v>-9.1585133418041198E-3</v>
      </c>
    </row>
    <row r="516" spans="2:19" x14ac:dyDescent="0.25">
      <c r="B516" s="1">
        <f t="shared" si="54"/>
        <v>510</v>
      </c>
      <c r="C516" s="1">
        <v>766</v>
      </c>
      <c r="D516" s="13">
        <v>54.2</v>
      </c>
      <c r="E516" s="1" t="s">
        <v>11</v>
      </c>
      <c r="F516" s="2">
        <v>2.9449999999999998</v>
      </c>
      <c r="G516" s="1" t="s">
        <v>12</v>
      </c>
      <c r="H516" s="1" t="s">
        <v>13</v>
      </c>
      <c r="I516" s="1" t="s">
        <v>14</v>
      </c>
      <c r="J516" s="14">
        <v>0.56961805555555556</v>
      </c>
      <c r="K516" s="15">
        <v>45514</v>
      </c>
      <c r="M516" s="2">
        <v>2.875</v>
      </c>
      <c r="O516" s="2">
        <f t="shared" si="49"/>
        <v>2.81</v>
      </c>
      <c r="P516" s="2">
        <f t="shared" si="50"/>
        <v>56.095933926302415</v>
      </c>
      <c r="Q516" s="2">
        <f t="shared" si="51"/>
        <v>0.27124999999999422</v>
      </c>
      <c r="R516" s="2">
        <f t="shared" si="52"/>
        <v>0.28055082592121389</v>
      </c>
      <c r="S516" s="2">
        <f t="shared" si="53"/>
        <v>-9.3008259212196687E-3</v>
      </c>
    </row>
    <row r="517" spans="2:19" x14ac:dyDescent="0.25">
      <c r="B517" s="1">
        <f t="shared" si="54"/>
        <v>511</v>
      </c>
      <c r="C517" s="1">
        <v>767</v>
      </c>
      <c r="D517" s="13">
        <v>54.3</v>
      </c>
      <c r="E517" s="1" t="s">
        <v>11</v>
      </c>
      <c r="F517" s="2">
        <v>2.95</v>
      </c>
      <c r="G517" s="1" t="s">
        <v>12</v>
      </c>
      <c r="H517" s="1" t="s">
        <v>13</v>
      </c>
      <c r="I517" s="1" t="s">
        <v>14</v>
      </c>
      <c r="J517" s="14">
        <v>0.56961805555555556</v>
      </c>
      <c r="K517" s="15">
        <v>45514</v>
      </c>
      <c r="M517" s="2">
        <v>2.88</v>
      </c>
      <c r="O517" s="2">
        <f t="shared" si="49"/>
        <v>2.8149999999999999</v>
      </c>
      <c r="P517" s="2">
        <f t="shared" si="50"/>
        <v>56.124396442185514</v>
      </c>
      <c r="Q517" s="2">
        <f t="shared" si="51"/>
        <v>0.27149999999999419</v>
      </c>
      <c r="R517" s="2">
        <f t="shared" si="52"/>
        <v>0.28069313850062932</v>
      </c>
      <c r="S517" s="2">
        <f t="shared" si="53"/>
        <v>-9.193138500635134E-3</v>
      </c>
    </row>
    <row r="518" spans="2:19" x14ac:dyDescent="0.25">
      <c r="B518" s="1">
        <f t="shared" si="54"/>
        <v>512</v>
      </c>
      <c r="C518" s="1">
        <v>769</v>
      </c>
      <c r="D518" s="13">
        <v>54.3</v>
      </c>
      <c r="E518" s="1" t="s">
        <v>11</v>
      </c>
      <c r="F518" s="2">
        <v>2.9550000000000001</v>
      </c>
      <c r="G518" s="1" t="s">
        <v>12</v>
      </c>
      <c r="H518" s="1" t="s">
        <v>13</v>
      </c>
      <c r="I518" s="1" t="s">
        <v>14</v>
      </c>
      <c r="J518" s="14">
        <v>0.56961805555555556</v>
      </c>
      <c r="K518" s="15">
        <v>45514</v>
      </c>
      <c r="M518" s="2">
        <v>2.8849999999999998</v>
      </c>
      <c r="O518" s="2">
        <f t="shared" si="49"/>
        <v>2.82</v>
      </c>
      <c r="P518" s="2">
        <f t="shared" si="50"/>
        <v>56.15285895806862</v>
      </c>
      <c r="Q518" s="2">
        <f t="shared" si="51"/>
        <v>0.27150000000001834</v>
      </c>
      <c r="R518" s="2">
        <f t="shared" si="52"/>
        <v>0.2808354510800698</v>
      </c>
      <c r="S518" s="2">
        <f t="shared" si="53"/>
        <v>-9.3354510800514601E-3</v>
      </c>
    </row>
    <row r="519" spans="2:19" x14ac:dyDescent="0.25">
      <c r="B519" s="1">
        <f t="shared" si="54"/>
        <v>513</v>
      </c>
      <c r="C519" s="1">
        <v>771</v>
      </c>
      <c r="D519" s="13">
        <v>54.3</v>
      </c>
      <c r="E519" s="1" t="s">
        <v>11</v>
      </c>
      <c r="F519" s="2">
        <v>2.96</v>
      </c>
      <c r="G519" s="1" t="s">
        <v>12</v>
      </c>
      <c r="H519" s="1" t="s">
        <v>13</v>
      </c>
      <c r="I519" s="1" t="s">
        <v>14</v>
      </c>
      <c r="J519" s="14">
        <v>0.56961805555555556</v>
      </c>
      <c r="K519" s="15">
        <v>45514</v>
      </c>
      <c r="M519" s="2">
        <v>2.89</v>
      </c>
      <c r="O519" s="2">
        <f t="shared" si="49"/>
        <v>2.8250000000000002</v>
      </c>
      <c r="P519" s="2">
        <f t="shared" si="50"/>
        <v>56.181321473951719</v>
      </c>
      <c r="Q519" s="2">
        <f t="shared" si="51"/>
        <v>0.27174999999999416</v>
      </c>
      <c r="R519" s="2">
        <f t="shared" si="52"/>
        <v>0.28097776365946037</v>
      </c>
      <c r="S519" s="2">
        <f t="shared" si="53"/>
        <v>-9.2277636594662038E-3</v>
      </c>
    </row>
    <row r="520" spans="2:19" x14ac:dyDescent="0.25">
      <c r="B520" s="1">
        <f t="shared" si="54"/>
        <v>514</v>
      </c>
      <c r="C520" s="1">
        <v>773</v>
      </c>
      <c r="D520" s="13">
        <v>54.4</v>
      </c>
      <c r="E520" s="1" t="s">
        <v>11</v>
      </c>
      <c r="F520" s="2">
        <v>2.9649999999999999</v>
      </c>
      <c r="G520" s="1" t="s">
        <v>12</v>
      </c>
      <c r="H520" s="1" t="s">
        <v>13</v>
      </c>
      <c r="I520" s="1" t="s">
        <v>14</v>
      </c>
      <c r="J520" s="14">
        <v>0.56961805555555556</v>
      </c>
      <c r="K520" s="15">
        <v>45514</v>
      </c>
      <c r="M520" s="2">
        <v>2.895</v>
      </c>
      <c r="O520" s="2">
        <f t="shared" ref="O520:O583" si="55">M520-$X$23</f>
        <v>2.83</v>
      </c>
      <c r="P520" s="2">
        <f t="shared" ref="P520:P583" si="56">O520*$AC$21+$Y$23</f>
        <v>56.209783989834818</v>
      </c>
      <c r="Q520" s="2">
        <f t="shared" ref="Q520:Q583" si="57">((D520+D521)/2)*(M521-M520)</f>
        <v>0.27199999999999419</v>
      </c>
      <c r="R520" s="2">
        <f t="shared" ref="R520:R583" si="58">((P520+P521)/2)*(O521-O520)</f>
        <v>0.2811200762388758</v>
      </c>
      <c r="S520" s="2">
        <f t="shared" ref="S520:S583" si="59">Q520-R520</f>
        <v>-9.1200762388816137E-3</v>
      </c>
    </row>
    <row r="521" spans="2:19" x14ac:dyDescent="0.25">
      <c r="B521" s="1">
        <f t="shared" ref="B521:B584" si="60">B520+1</f>
        <v>515</v>
      </c>
      <c r="C521" s="1">
        <v>775</v>
      </c>
      <c r="D521" s="13">
        <v>54.4</v>
      </c>
      <c r="E521" s="1" t="s">
        <v>11</v>
      </c>
      <c r="F521" s="2">
        <v>2.97</v>
      </c>
      <c r="G521" s="1" t="s">
        <v>12</v>
      </c>
      <c r="H521" s="1" t="s">
        <v>13</v>
      </c>
      <c r="I521" s="1" t="s">
        <v>14</v>
      </c>
      <c r="J521" s="14">
        <v>0.56961805555555556</v>
      </c>
      <c r="K521" s="15">
        <v>45514</v>
      </c>
      <c r="M521" s="2">
        <v>2.9</v>
      </c>
      <c r="O521" s="2">
        <f t="shared" si="55"/>
        <v>2.835</v>
      </c>
      <c r="P521" s="2">
        <f t="shared" si="56"/>
        <v>56.238246505717918</v>
      </c>
      <c r="Q521" s="2">
        <f t="shared" si="57"/>
        <v>0.27199999999999419</v>
      </c>
      <c r="R521" s="2">
        <f t="shared" si="58"/>
        <v>0.28126238881829135</v>
      </c>
      <c r="S521" s="2">
        <f t="shared" si="59"/>
        <v>-9.2623888182971625E-3</v>
      </c>
    </row>
    <row r="522" spans="2:19" x14ac:dyDescent="0.25">
      <c r="B522" s="1">
        <f t="shared" si="60"/>
        <v>516</v>
      </c>
      <c r="C522" s="1">
        <v>776</v>
      </c>
      <c r="D522" s="13">
        <v>54.4</v>
      </c>
      <c r="E522" s="1" t="s">
        <v>11</v>
      </c>
      <c r="F522" s="2">
        <v>2.9750000000000001</v>
      </c>
      <c r="G522" s="1" t="s">
        <v>12</v>
      </c>
      <c r="H522" s="1" t="s">
        <v>13</v>
      </c>
      <c r="I522" s="1" t="s">
        <v>14</v>
      </c>
      <c r="J522" s="14">
        <v>0.5696296296296296</v>
      </c>
      <c r="K522" s="15">
        <v>45514</v>
      </c>
      <c r="M522" s="2">
        <v>2.9049999999999998</v>
      </c>
      <c r="O522" s="2">
        <f t="shared" si="55"/>
        <v>2.84</v>
      </c>
      <c r="P522" s="2">
        <f t="shared" si="56"/>
        <v>56.266709021601017</v>
      </c>
      <c r="Q522" s="2">
        <f t="shared" si="57"/>
        <v>0.27225000000001837</v>
      </c>
      <c r="R522" s="2">
        <f t="shared" si="58"/>
        <v>0.28140470139773183</v>
      </c>
      <c r="S522" s="2">
        <f t="shared" si="59"/>
        <v>-9.1547013977134606E-3</v>
      </c>
    </row>
    <row r="523" spans="2:19" x14ac:dyDescent="0.25">
      <c r="B523" s="1">
        <f t="shared" si="60"/>
        <v>517</v>
      </c>
      <c r="C523" s="1">
        <v>778</v>
      </c>
      <c r="D523" s="13">
        <v>54.5</v>
      </c>
      <c r="E523" s="1" t="s">
        <v>11</v>
      </c>
      <c r="F523" s="2">
        <v>2.98</v>
      </c>
      <c r="G523" s="1" t="s">
        <v>12</v>
      </c>
      <c r="H523" s="1" t="s">
        <v>13</v>
      </c>
      <c r="I523" s="1" t="s">
        <v>14</v>
      </c>
      <c r="J523" s="14">
        <v>0.5696296296296296</v>
      </c>
      <c r="K523" s="15">
        <v>45514</v>
      </c>
      <c r="M523" s="2">
        <v>2.91</v>
      </c>
      <c r="O523" s="2">
        <f t="shared" si="55"/>
        <v>2.8450000000000002</v>
      </c>
      <c r="P523" s="2">
        <f t="shared" si="56"/>
        <v>56.295171537484123</v>
      </c>
      <c r="Q523" s="2">
        <f t="shared" si="57"/>
        <v>0.27249999999999419</v>
      </c>
      <c r="R523" s="2">
        <f t="shared" si="58"/>
        <v>0.28154701397712234</v>
      </c>
      <c r="S523" s="2">
        <f t="shared" si="59"/>
        <v>-9.0470139771281488E-3</v>
      </c>
    </row>
    <row r="524" spans="2:19" x14ac:dyDescent="0.25">
      <c r="B524" s="1">
        <f t="shared" si="60"/>
        <v>518</v>
      </c>
      <c r="C524" s="1">
        <v>780</v>
      </c>
      <c r="D524" s="13">
        <v>54.5</v>
      </c>
      <c r="E524" s="1" t="s">
        <v>11</v>
      </c>
      <c r="F524" s="2">
        <v>2.9849999999999999</v>
      </c>
      <c r="G524" s="1" t="s">
        <v>12</v>
      </c>
      <c r="H524" s="1" t="s">
        <v>13</v>
      </c>
      <c r="I524" s="1" t="s">
        <v>14</v>
      </c>
      <c r="J524" s="14">
        <v>0.5696296296296296</v>
      </c>
      <c r="K524" s="15">
        <v>45514</v>
      </c>
      <c r="M524" s="2">
        <v>2.915</v>
      </c>
      <c r="O524" s="2">
        <f t="shared" si="55"/>
        <v>2.85</v>
      </c>
      <c r="P524" s="2">
        <f t="shared" si="56"/>
        <v>56.323634053367215</v>
      </c>
      <c r="Q524" s="2">
        <f t="shared" si="57"/>
        <v>0.27249999999999419</v>
      </c>
      <c r="R524" s="2">
        <f t="shared" si="58"/>
        <v>0.28168932655653783</v>
      </c>
      <c r="S524" s="2">
        <f t="shared" si="59"/>
        <v>-9.1893265565436422E-3</v>
      </c>
    </row>
    <row r="525" spans="2:19" x14ac:dyDescent="0.25">
      <c r="B525" s="1">
        <f t="shared" si="60"/>
        <v>519</v>
      </c>
      <c r="C525" s="1">
        <v>782</v>
      </c>
      <c r="D525" s="13">
        <v>54.5</v>
      </c>
      <c r="E525" s="1" t="s">
        <v>11</v>
      </c>
      <c r="F525" s="2">
        <v>2.99</v>
      </c>
      <c r="G525" s="1" t="s">
        <v>12</v>
      </c>
      <c r="H525" s="1" t="s">
        <v>13</v>
      </c>
      <c r="I525" s="1" t="s">
        <v>14</v>
      </c>
      <c r="J525" s="14">
        <v>0.5696296296296296</v>
      </c>
      <c r="K525" s="15">
        <v>45514</v>
      </c>
      <c r="M525" s="2">
        <v>2.92</v>
      </c>
      <c r="O525" s="2">
        <f t="shared" si="55"/>
        <v>2.855</v>
      </c>
      <c r="P525" s="2">
        <f t="shared" si="56"/>
        <v>56.352096569250321</v>
      </c>
      <c r="Q525" s="2">
        <f t="shared" si="57"/>
        <v>0.27249999999999419</v>
      </c>
      <c r="R525" s="2">
        <f t="shared" si="58"/>
        <v>0.28183163913595333</v>
      </c>
      <c r="S525" s="2">
        <f t="shared" si="59"/>
        <v>-9.3316391359591355E-3</v>
      </c>
    </row>
    <row r="526" spans="2:19" x14ac:dyDescent="0.25">
      <c r="B526" s="1">
        <f t="shared" si="60"/>
        <v>520</v>
      </c>
      <c r="C526" s="1">
        <v>784</v>
      </c>
      <c r="D526" s="13">
        <v>54.5</v>
      </c>
      <c r="E526" s="1" t="s">
        <v>11</v>
      </c>
      <c r="F526" s="2">
        <v>2.9950000000000001</v>
      </c>
      <c r="G526" s="1" t="s">
        <v>12</v>
      </c>
      <c r="H526" s="1" t="s">
        <v>13</v>
      </c>
      <c r="I526" s="1" t="s">
        <v>14</v>
      </c>
      <c r="J526" s="14">
        <v>0.5696296296296296</v>
      </c>
      <c r="K526" s="15">
        <v>45514</v>
      </c>
      <c r="M526" s="2">
        <v>2.9249999999999998</v>
      </c>
      <c r="O526" s="2">
        <f t="shared" si="55"/>
        <v>2.86</v>
      </c>
      <c r="P526" s="2">
        <f t="shared" si="56"/>
        <v>56.38055908513342</v>
      </c>
      <c r="Q526" s="2">
        <f t="shared" si="57"/>
        <v>0.27275000000001842</v>
      </c>
      <c r="R526" s="2">
        <f t="shared" si="58"/>
        <v>0.28197395171539391</v>
      </c>
      <c r="S526" s="2">
        <f t="shared" si="59"/>
        <v>-9.2239517153754891E-3</v>
      </c>
    </row>
    <row r="527" spans="2:19" x14ac:dyDescent="0.25">
      <c r="B527" s="1">
        <f t="shared" si="60"/>
        <v>521</v>
      </c>
      <c r="C527" s="1">
        <v>786</v>
      </c>
      <c r="D527" s="13">
        <v>54.6</v>
      </c>
      <c r="E527" s="1" t="s">
        <v>11</v>
      </c>
      <c r="F527" s="2">
        <v>3</v>
      </c>
      <c r="G527" s="1" t="s">
        <v>12</v>
      </c>
      <c r="H527" s="1" t="s">
        <v>13</v>
      </c>
      <c r="I527" s="1" t="s">
        <v>14</v>
      </c>
      <c r="J527" s="14">
        <v>0.56964120370370375</v>
      </c>
      <c r="K527" s="15">
        <v>45514</v>
      </c>
      <c r="M527" s="2">
        <v>2.93</v>
      </c>
      <c r="O527" s="2">
        <f t="shared" si="55"/>
        <v>2.8650000000000002</v>
      </c>
      <c r="P527" s="2">
        <f t="shared" si="56"/>
        <v>56.409021601016519</v>
      </c>
      <c r="Q527" s="2">
        <f t="shared" si="57"/>
        <v>0.27324999999999422</v>
      </c>
      <c r="R527" s="2">
        <f t="shared" si="58"/>
        <v>0.28211626429478437</v>
      </c>
      <c r="S527" s="2">
        <f t="shared" si="59"/>
        <v>-8.8662642947901493E-3</v>
      </c>
    </row>
    <row r="528" spans="2:19" x14ac:dyDescent="0.25">
      <c r="B528" s="1">
        <f t="shared" si="60"/>
        <v>522</v>
      </c>
      <c r="C528" s="1">
        <v>788</v>
      </c>
      <c r="D528" s="13">
        <v>54.7</v>
      </c>
      <c r="E528" s="1" t="s">
        <v>11</v>
      </c>
      <c r="F528" s="2">
        <v>3.0049999999999999</v>
      </c>
      <c r="G528" s="1" t="s">
        <v>12</v>
      </c>
      <c r="H528" s="1" t="s">
        <v>13</v>
      </c>
      <c r="I528" s="1" t="s">
        <v>14</v>
      </c>
      <c r="J528" s="14">
        <v>0.56964120370370375</v>
      </c>
      <c r="K528" s="15">
        <v>45514</v>
      </c>
      <c r="M528" s="2">
        <v>2.9350000000000001</v>
      </c>
      <c r="O528" s="2">
        <f t="shared" si="55"/>
        <v>2.87</v>
      </c>
      <c r="P528" s="2">
        <f t="shared" si="56"/>
        <v>56.437484116899626</v>
      </c>
      <c r="Q528" s="2">
        <f t="shared" si="57"/>
        <v>0.27349999999999419</v>
      </c>
      <c r="R528" s="2">
        <f t="shared" si="58"/>
        <v>0.28225857687419986</v>
      </c>
      <c r="S528" s="2">
        <f t="shared" si="59"/>
        <v>-8.7585768742056702E-3</v>
      </c>
    </row>
    <row r="529" spans="2:19" x14ac:dyDescent="0.25">
      <c r="B529" s="1">
        <f t="shared" si="60"/>
        <v>523</v>
      </c>
      <c r="C529" s="1">
        <v>789</v>
      </c>
      <c r="D529" s="13">
        <v>54.7</v>
      </c>
      <c r="E529" s="1" t="s">
        <v>11</v>
      </c>
      <c r="F529" s="2">
        <v>3.01</v>
      </c>
      <c r="G529" s="1" t="s">
        <v>12</v>
      </c>
      <c r="H529" s="1" t="s">
        <v>13</v>
      </c>
      <c r="I529" s="1" t="s">
        <v>14</v>
      </c>
      <c r="J529" s="14">
        <v>0.56964120370370375</v>
      </c>
      <c r="K529" s="15">
        <v>45514</v>
      </c>
      <c r="M529" s="2">
        <v>2.94</v>
      </c>
      <c r="O529" s="2">
        <f t="shared" si="55"/>
        <v>2.875</v>
      </c>
      <c r="P529" s="2">
        <f t="shared" si="56"/>
        <v>56.465946632782718</v>
      </c>
      <c r="Q529" s="2">
        <f t="shared" si="57"/>
        <v>0.27349999999999419</v>
      </c>
      <c r="R529" s="2">
        <f t="shared" si="58"/>
        <v>0.28240088945361536</v>
      </c>
      <c r="S529" s="2">
        <f t="shared" si="59"/>
        <v>-8.9008894536211636E-3</v>
      </c>
    </row>
    <row r="530" spans="2:19" x14ac:dyDescent="0.25">
      <c r="B530" s="1">
        <f t="shared" si="60"/>
        <v>524</v>
      </c>
      <c r="C530" s="1">
        <v>791</v>
      </c>
      <c r="D530" s="13">
        <v>54.7</v>
      </c>
      <c r="E530" s="1" t="s">
        <v>11</v>
      </c>
      <c r="F530" s="2">
        <v>3.0150000000000001</v>
      </c>
      <c r="G530" s="1" t="s">
        <v>12</v>
      </c>
      <c r="H530" s="1" t="s">
        <v>13</v>
      </c>
      <c r="I530" s="1" t="s">
        <v>14</v>
      </c>
      <c r="J530" s="14">
        <v>0.56964120370370375</v>
      </c>
      <c r="K530" s="15">
        <v>45514</v>
      </c>
      <c r="M530" s="2">
        <v>2.9449999999999998</v>
      </c>
      <c r="O530" s="2">
        <f t="shared" si="55"/>
        <v>2.88</v>
      </c>
      <c r="P530" s="2">
        <f t="shared" si="56"/>
        <v>56.494409148665824</v>
      </c>
      <c r="Q530" s="2">
        <f t="shared" si="57"/>
        <v>0.27350000000001845</v>
      </c>
      <c r="R530" s="2">
        <f t="shared" si="58"/>
        <v>0.28254320203305594</v>
      </c>
      <c r="S530" s="2">
        <f t="shared" si="59"/>
        <v>-9.0432020330374896E-3</v>
      </c>
    </row>
    <row r="531" spans="2:19" x14ac:dyDescent="0.25">
      <c r="B531" s="1">
        <f t="shared" si="60"/>
        <v>525</v>
      </c>
      <c r="C531" s="1">
        <v>793</v>
      </c>
      <c r="D531" s="13">
        <v>54.7</v>
      </c>
      <c r="E531" s="1" t="s">
        <v>11</v>
      </c>
      <c r="F531" s="2">
        <v>3.02</v>
      </c>
      <c r="G531" s="1" t="s">
        <v>12</v>
      </c>
      <c r="H531" s="1" t="s">
        <v>13</v>
      </c>
      <c r="I531" s="1" t="s">
        <v>14</v>
      </c>
      <c r="J531" s="14">
        <v>0.56964120370370375</v>
      </c>
      <c r="K531" s="15">
        <v>45514</v>
      </c>
      <c r="M531" s="2">
        <v>2.95</v>
      </c>
      <c r="O531" s="2">
        <f t="shared" si="55"/>
        <v>2.8850000000000002</v>
      </c>
      <c r="P531" s="2">
        <f t="shared" si="56"/>
        <v>56.522871664548923</v>
      </c>
      <c r="Q531" s="2">
        <f t="shared" si="57"/>
        <v>0.27374999999999416</v>
      </c>
      <c r="R531" s="2">
        <f t="shared" si="58"/>
        <v>0.28268551461244634</v>
      </c>
      <c r="S531" s="2">
        <f t="shared" si="59"/>
        <v>-8.9355146124521778E-3</v>
      </c>
    </row>
    <row r="532" spans="2:19" x14ac:dyDescent="0.25">
      <c r="B532" s="1">
        <f t="shared" si="60"/>
        <v>526</v>
      </c>
      <c r="C532" s="1">
        <v>794</v>
      </c>
      <c r="D532" s="13">
        <v>54.8</v>
      </c>
      <c r="E532" s="1" t="s">
        <v>11</v>
      </c>
      <c r="F532" s="2">
        <v>3.0249999999999999</v>
      </c>
      <c r="G532" s="1" t="s">
        <v>12</v>
      </c>
      <c r="H532" s="1" t="s">
        <v>13</v>
      </c>
      <c r="I532" s="1" t="s">
        <v>14</v>
      </c>
      <c r="J532" s="14">
        <v>0.56964120370370375</v>
      </c>
      <c r="K532" s="15">
        <v>45514</v>
      </c>
      <c r="M532" s="2">
        <v>2.9550000000000001</v>
      </c>
      <c r="O532" s="2">
        <f t="shared" si="55"/>
        <v>2.89</v>
      </c>
      <c r="P532" s="2">
        <f t="shared" si="56"/>
        <v>56.551334180432022</v>
      </c>
      <c r="Q532" s="2">
        <f t="shared" si="57"/>
        <v>0.27399999999999414</v>
      </c>
      <c r="R532" s="2">
        <f t="shared" si="58"/>
        <v>0.28282782719186184</v>
      </c>
      <c r="S532" s="2">
        <f t="shared" si="59"/>
        <v>-8.8278271918676987E-3</v>
      </c>
    </row>
    <row r="533" spans="2:19" x14ac:dyDescent="0.25">
      <c r="B533" s="1">
        <f t="shared" si="60"/>
        <v>527</v>
      </c>
      <c r="C533" s="1">
        <v>795</v>
      </c>
      <c r="D533" s="13">
        <v>54.8</v>
      </c>
      <c r="E533" s="1" t="s">
        <v>11</v>
      </c>
      <c r="F533" s="2">
        <v>3.03</v>
      </c>
      <c r="G533" s="1" t="s">
        <v>12</v>
      </c>
      <c r="H533" s="1" t="s">
        <v>13</v>
      </c>
      <c r="I533" s="1" t="s">
        <v>14</v>
      </c>
      <c r="J533" s="14">
        <v>0.56964120370370375</v>
      </c>
      <c r="K533" s="15">
        <v>45514</v>
      </c>
      <c r="M533" s="2">
        <v>2.96</v>
      </c>
      <c r="O533" s="2">
        <f t="shared" si="55"/>
        <v>2.895</v>
      </c>
      <c r="P533" s="2">
        <f t="shared" si="56"/>
        <v>56.579796696315121</v>
      </c>
      <c r="Q533" s="2">
        <f t="shared" si="57"/>
        <v>0.27399999999999414</v>
      </c>
      <c r="R533" s="2">
        <f t="shared" si="58"/>
        <v>0.28297013977127733</v>
      </c>
      <c r="S533" s="2">
        <f t="shared" si="59"/>
        <v>-8.9701397712831921E-3</v>
      </c>
    </row>
    <row r="534" spans="2:19" x14ac:dyDescent="0.25">
      <c r="B534" s="1">
        <f t="shared" si="60"/>
        <v>528</v>
      </c>
      <c r="C534" s="1">
        <v>796</v>
      </c>
      <c r="D534" s="13">
        <v>54.8</v>
      </c>
      <c r="E534" s="1" t="s">
        <v>11</v>
      </c>
      <c r="F534" s="2">
        <v>3.0350000000000001</v>
      </c>
      <c r="G534" s="1" t="s">
        <v>12</v>
      </c>
      <c r="H534" s="1" t="s">
        <v>13</v>
      </c>
      <c r="I534" s="1" t="s">
        <v>14</v>
      </c>
      <c r="J534" s="14">
        <v>0.56965277777777779</v>
      </c>
      <c r="K534" s="15">
        <v>45514</v>
      </c>
      <c r="M534" s="2">
        <v>2.9649999999999999</v>
      </c>
      <c r="O534" s="2">
        <f t="shared" si="55"/>
        <v>2.9</v>
      </c>
      <c r="P534" s="2">
        <f t="shared" si="56"/>
        <v>56.60825921219822</v>
      </c>
      <c r="Q534" s="2">
        <f t="shared" si="57"/>
        <v>0.27425000000001848</v>
      </c>
      <c r="R534" s="2">
        <f t="shared" si="58"/>
        <v>0.28311245235071797</v>
      </c>
      <c r="S534" s="2">
        <f t="shared" si="59"/>
        <v>-8.8624523506994901E-3</v>
      </c>
    </row>
    <row r="535" spans="2:19" x14ac:dyDescent="0.25">
      <c r="B535" s="1">
        <f t="shared" si="60"/>
        <v>529</v>
      </c>
      <c r="C535" s="1">
        <v>797</v>
      </c>
      <c r="D535" s="13">
        <v>54.9</v>
      </c>
      <c r="E535" s="1" t="s">
        <v>11</v>
      </c>
      <c r="F535" s="2">
        <v>3.04</v>
      </c>
      <c r="G535" s="1" t="s">
        <v>12</v>
      </c>
      <c r="H535" s="1" t="s">
        <v>13</v>
      </c>
      <c r="I535" s="1" t="s">
        <v>14</v>
      </c>
      <c r="J535" s="14">
        <v>0.56965277777777779</v>
      </c>
      <c r="K535" s="15">
        <v>45514</v>
      </c>
      <c r="M535" s="2">
        <v>2.97</v>
      </c>
      <c r="O535" s="2">
        <f t="shared" si="55"/>
        <v>2.9050000000000002</v>
      </c>
      <c r="P535" s="2">
        <f t="shared" si="56"/>
        <v>56.636721728081326</v>
      </c>
      <c r="Q535" s="2">
        <f t="shared" si="57"/>
        <v>0.27449999999999414</v>
      </c>
      <c r="R535" s="2">
        <f t="shared" si="58"/>
        <v>0.28325476493010832</v>
      </c>
      <c r="S535" s="2">
        <f t="shared" si="59"/>
        <v>-8.7547649301141783E-3</v>
      </c>
    </row>
    <row r="536" spans="2:19" x14ac:dyDescent="0.25">
      <c r="B536" s="1">
        <f t="shared" si="60"/>
        <v>530</v>
      </c>
      <c r="C536" s="1">
        <v>798</v>
      </c>
      <c r="D536" s="13">
        <v>54.9</v>
      </c>
      <c r="E536" s="1" t="s">
        <v>11</v>
      </c>
      <c r="F536" s="2">
        <v>3.0449999999999999</v>
      </c>
      <c r="G536" s="1" t="s">
        <v>12</v>
      </c>
      <c r="H536" s="1" t="s">
        <v>13</v>
      </c>
      <c r="I536" s="1" t="s">
        <v>14</v>
      </c>
      <c r="J536" s="14">
        <v>0.56965277777777779</v>
      </c>
      <c r="K536" s="15">
        <v>45514</v>
      </c>
      <c r="M536" s="2">
        <v>2.9750000000000001</v>
      </c>
      <c r="O536" s="2">
        <f t="shared" si="55"/>
        <v>2.91</v>
      </c>
      <c r="P536" s="2">
        <f t="shared" si="56"/>
        <v>56.665184243964426</v>
      </c>
      <c r="Q536" s="2">
        <f t="shared" si="57"/>
        <v>0.27449999999999414</v>
      </c>
      <c r="R536" s="2">
        <f t="shared" si="58"/>
        <v>0.28339707750952386</v>
      </c>
      <c r="S536" s="2">
        <f t="shared" si="59"/>
        <v>-8.8970775095297272E-3</v>
      </c>
    </row>
    <row r="537" spans="2:19" x14ac:dyDescent="0.25">
      <c r="B537" s="1">
        <f t="shared" si="60"/>
        <v>531</v>
      </c>
      <c r="C537" s="1">
        <v>799</v>
      </c>
      <c r="D537" s="13">
        <v>54.9</v>
      </c>
      <c r="E537" s="1" t="s">
        <v>11</v>
      </c>
      <c r="F537" s="2">
        <v>3.05</v>
      </c>
      <c r="G537" s="1" t="s">
        <v>12</v>
      </c>
      <c r="H537" s="1" t="s">
        <v>13</v>
      </c>
      <c r="I537" s="1" t="s">
        <v>14</v>
      </c>
      <c r="J537" s="14">
        <v>0.56965277777777779</v>
      </c>
      <c r="K537" s="15">
        <v>45514</v>
      </c>
      <c r="M537" s="2">
        <v>2.98</v>
      </c>
      <c r="O537" s="2">
        <f t="shared" si="55"/>
        <v>2.915</v>
      </c>
      <c r="P537" s="2">
        <f t="shared" si="56"/>
        <v>56.693646759847525</v>
      </c>
      <c r="Q537" s="2">
        <f t="shared" si="57"/>
        <v>0.27474999999999417</v>
      </c>
      <c r="R537" s="2">
        <f t="shared" si="58"/>
        <v>0.2835393900889393</v>
      </c>
      <c r="S537" s="2">
        <f t="shared" si="59"/>
        <v>-8.7893900889451371E-3</v>
      </c>
    </row>
    <row r="538" spans="2:19" x14ac:dyDescent="0.25">
      <c r="B538" s="1">
        <f t="shared" si="60"/>
        <v>532</v>
      </c>
      <c r="C538" s="1">
        <v>800</v>
      </c>
      <c r="D538" s="13">
        <v>55</v>
      </c>
      <c r="E538" s="1" t="s">
        <v>11</v>
      </c>
      <c r="F538" s="2">
        <v>3.0550000000000002</v>
      </c>
      <c r="G538" s="1" t="s">
        <v>12</v>
      </c>
      <c r="H538" s="1" t="s">
        <v>13</v>
      </c>
      <c r="I538" s="1" t="s">
        <v>14</v>
      </c>
      <c r="J538" s="14">
        <v>0.56965277777777779</v>
      </c>
      <c r="K538" s="15">
        <v>45514</v>
      </c>
      <c r="M538" s="2">
        <v>2.9849999999999999</v>
      </c>
      <c r="O538" s="2">
        <f t="shared" si="55"/>
        <v>2.92</v>
      </c>
      <c r="P538" s="2">
        <f t="shared" si="56"/>
        <v>56.722109275730624</v>
      </c>
      <c r="Q538" s="2">
        <f t="shared" si="57"/>
        <v>0.27500000000001856</v>
      </c>
      <c r="R538" s="2">
        <f t="shared" si="58"/>
        <v>0.28368170266838005</v>
      </c>
      <c r="S538" s="2">
        <f t="shared" si="59"/>
        <v>-8.6817026683614906E-3</v>
      </c>
    </row>
    <row r="539" spans="2:19" x14ac:dyDescent="0.25">
      <c r="B539" s="1">
        <f t="shared" si="60"/>
        <v>533</v>
      </c>
      <c r="C539" s="1">
        <v>801</v>
      </c>
      <c r="D539" s="13">
        <v>55</v>
      </c>
      <c r="E539" s="1" t="s">
        <v>11</v>
      </c>
      <c r="F539" s="2">
        <v>3.06</v>
      </c>
      <c r="G539" s="1" t="s">
        <v>12</v>
      </c>
      <c r="H539" s="1" t="s">
        <v>13</v>
      </c>
      <c r="I539" s="1" t="s">
        <v>14</v>
      </c>
      <c r="J539" s="14">
        <v>0.56965277777777779</v>
      </c>
      <c r="K539" s="15">
        <v>45514</v>
      </c>
      <c r="M539" s="2">
        <v>2.99</v>
      </c>
      <c r="O539" s="2">
        <f t="shared" si="55"/>
        <v>2.9250000000000003</v>
      </c>
      <c r="P539" s="2">
        <f t="shared" si="56"/>
        <v>56.750571791613723</v>
      </c>
      <c r="Q539" s="2">
        <f t="shared" si="57"/>
        <v>0.27499999999999414</v>
      </c>
      <c r="R539" s="2">
        <f t="shared" si="58"/>
        <v>0.28382401524777034</v>
      </c>
      <c r="S539" s="2">
        <f t="shared" si="59"/>
        <v>-8.8240152477762068E-3</v>
      </c>
    </row>
    <row r="540" spans="2:19" x14ac:dyDescent="0.25">
      <c r="B540" s="1">
        <f t="shared" si="60"/>
        <v>534</v>
      </c>
      <c r="C540" s="1">
        <v>803</v>
      </c>
      <c r="D540" s="13">
        <v>55</v>
      </c>
      <c r="E540" s="1" t="s">
        <v>11</v>
      </c>
      <c r="F540" s="2">
        <v>3.0649999999999999</v>
      </c>
      <c r="G540" s="1" t="s">
        <v>12</v>
      </c>
      <c r="H540" s="1" t="s">
        <v>13</v>
      </c>
      <c r="I540" s="1" t="s">
        <v>14</v>
      </c>
      <c r="J540" s="14">
        <v>0.56965277777777779</v>
      </c>
      <c r="K540" s="15">
        <v>45514</v>
      </c>
      <c r="M540" s="2">
        <v>2.9950000000000001</v>
      </c>
      <c r="O540" s="2">
        <f t="shared" si="55"/>
        <v>2.93</v>
      </c>
      <c r="P540" s="2">
        <f t="shared" si="56"/>
        <v>56.779034307496829</v>
      </c>
      <c r="Q540" s="2">
        <f t="shared" si="57"/>
        <v>0.27499999999999414</v>
      </c>
      <c r="R540" s="2">
        <f t="shared" si="58"/>
        <v>0.28396632782718584</v>
      </c>
      <c r="S540" s="2">
        <f t="shared" si="59"/>
        <v>-8.9663278271917002E-3</v>
      </c>
    </row>
    <row r="541" spans="2:19" x14ac:dyDescent="0.25">
      <c r="B541" s="1">
        <f t="shared" si="60"/>
        <v>535</v>
      </c>
      <c r="C541" s="1">
        <v>804</v>
      </c>
      <c r="D541" s="13">
        <v>55</v>
      </c>
      <c r="E541" s="1" t="s">
        <v>11</v>
      </c>
      <c r="F541" s="2">
        <v>3.07</v>
      </c>
      <c r="G541" s="1" t="s">
        <v>12</v>
      </c>
      <c r="H541" s="1" t="s">
        <v>13</v>
      </c>
      <c r="I541" s="1" t="s">
        <v>14</v>
      </c>
      <c r="J541" s="14">
        <v>0.56965277777777779</v>
      </c>
      <c r="K541" s="15">
        <v>45514</v>
      </c>
      <c r="M541" s="2">
        <v>3</v>
      </c>
      <c r="O541" s="2">
        <f t="shared" si="55"/>
        <v>2.9350000000000001</v>
      </c>
      <c r="P541" s="2">
        <f t="shared" si="56"/>
        <v>56.807496823379921</v>
      </c>
      <c r="Q541" s="2">
        <f t="shared" si="57"/>
        <v>0.27499999999999414</v>
      </c>
      <c r="R541" s="2">
        <f t="shared" si="58"/>
        <v>0.28410864040660133</v>
      </c>
      <c r="S541" s="2">
        <f t="shared" si="59"/>
        <v>-9.1086404066071935E-3</v>
      </c>
    </row>
    <row r="542" spans="2:19" x14ac:dyDescent="0.25">
      <c r="B542" s="1">
        <f t="shared" si="60"/>
        <v>536</v>
      </c>
      <c r="C542" s="1">
        <v>806</v>
      </c>
      <c r="D542" s="13">
        <v>55</v>
      </c>
      <c r="E542" s="1" t="s">
        <v>11</v>
      </c>
      <c r="F542" s="2">
        <v>3.0750000000000002</v>
      </c>
      <c r="G542" s="1" t="s">
        <v>12</v>
      </c>
      <c r="H542" s="1" t="s">
        <v>13</v>
      </c>
      <c r="I542" s="1" t="s">
        <v>14</v>
      </c>
      <c r="J542" s="14">
        <v>0.56966435185185182</v>
      </c>
      <c r="K542" s="15">
        <v>45514</v>
      </c>
      <c r="M542" s="2">
        <v>3.0049999999999999</v>
      </c>
      <c r="O542" s="2">
        <f t="shared" si="55"/>
        <v>2.94</v>
      </c>
      <c r="P542" s="2">
        <f t="shared" si="56"/>
        <v>56.835959339263027</v>
      </c>
      <c r="Q542" s="2">
        <f t="shared" si="57"/>
        <v>0.27524999999999411</v>
      </c>
      <c r="R542" s="2">
        <f t="shared" si="58"/>
        <v>0.28425095298601682</v>
      </c>
      <c r="S542" s="2">
        <f t="shared" si="59"/>
        <v>-9.0009529860227144E-3</v>
      </c>
    </row>
    <row r="543" spans="2:19" x14ac:dyDescent="0.25">
      <c r="B543" s="1">
        <f t="shared" si="60"/>
        <v>537</v>
      </c>
      <c r="C543" s="1">
        <v>808</v>
      </c>
      <c r="D543" s="13">
        <v>55.1</v>
      </c>
      <c r="E543" s="1" t="s">
        <v>11</v>
      </c>
      <c r="F543" s="2">
        <v>3.08</v>
      </c>
      <c r="G543" s="1" t="s">
        <v>12</v>
      </c>
      <c r="H543" s="1" t="s">
        <v>13</v>
      </c>
      <c r="I543" s="1" t="s">
        <v>14</v>
      </c>
      <c r="J543" s="14">
        <v>0.56966435185185182</v>
      </c>
      <c r="K543" s="15">
        <v>45514</v>
      </c>
      <c r="M543" s="2">
        <v>3.01</v>
      </c>
      <c r="O543" s="2">
        <f t="shared" si="55"/>
        <v>2.9449999999999998</v>
      </c>
      <c r="P543" s="2">
        <f t="shared" si="56"/>
        <v>56.864421855146126</v>
      </c>
      <c r="Q543" s="2">
        <f t="shared" si="57"/>
        <v>0.27550000000001862</v>
      </c>
      <c r="R543" s="2">
        <f t="shared" si="58"/>
        <v>0.28439326556545758</v>
      </c>
      <c r="S543" s="2">
        <f t="shared" si="59"/>
        <v>-8.893265565438957E-3</v>
      </c>
    </row>
    <row r="544" spans="2:19" x14ac:dyDescent="0.25">
      <c r="B544" s="1">
        <f t="shared" si="60"/>
        <v>538</v>
      </c>
      <c r="C544" s="1">
        <v>809</v>
      </c>
      <c r="D544" s="13">
        <v>55.1</v>
      </c>
      <c r="E544" s="1" t="s">
        <v>11</v>
      </c>
      <c r="F544" s="2">
        <v>3.085</v>
      </c>
      <c r="G544" s="1" t="s">
        <v>12</v>
      </c>
      <c r="H544" s="1" t="s">
        <v>13</v>
      </c>
      <c r="I544" s="1" t="s">
        <v>14</v>
      </c>
      <c r="J544" s="14">
        <v>0.56966435185185182</v>
      </c>
      <c r="K544" s="15">
        <v>45514</v>
      </c>
      <c r="M544" s="2">
        <v>3.0150000000000001</v>
      </c>
      <c r="O544" s="2">
        <f t="shared" si="55"/>
        <v>2.95</v>
      </c>
      <c r="P544" s="2">
        <f t="shared" si="56"/>
        <v>56.892884371029226</v>
      </c>
      <c r="Q544" s="2">
        <f t="shared" si="57"/>
        <v>0.27549999999999414</v>
      </c>
      <c r="R544" s="2">
        <f t="shared" si="58"/>
        <v>0.28453557814484781</v>
      </c>
      <c r="S544" s="2">
        <f t="shared" si="59"/>
        <v>-9.0355781448536732E-3</v>
      </c>
    </row>
    <row r="545" spans="2:19" x14ac:dyDescent="0.25">
      <c r="B545" s="1">
        <f t="shared" si="60"/>
        <v>539</v>
      </c>
      <c r="C545" s="1">
        <v>811</v>
      </c>
      <c r="D545" s="13">
        <v>55.1</v>
      </c>
      <c r="E545" s="1" t="s">
        <v>11</v>
      </c>
      <c r="F545" s="2">
        <v>3.09</v>
      </c>
      <c r="G545" s="1" t="s">
        <v>12</v>
      </c>
      <c r="H545" s="1" t="s">
        <v>13</v>
      </c>
      <c r="I545" s="1" t="s">
        <v>14</v>
      </c>
      <c r="J545" s="14">
        <v>0.56966435185185182</v>
      </c>
      <c r="K545" s="15">
        <v>45514</v>
      </c>
      <c r="M545" s="2">
        <v>3.02</v>
      </c>
      <c r="O545" s="2">
        <f t="shared" si="55"/>
        <v>2.9550000000000001</v>
      </c>
      <c r="P545" s="2">
        <f t="shared" si="56"/>
        <v>56.921346886912332</v>
      </c>
      <c r="Q545" s="2">
        <f t="shared" si="57"/>
        <v>0.27574999999999417</v>
      </c>
      <c r="R545" s="2">
        <f t="shared" si="58"/>
        <v>0.2846778907242633</v>
      </c>
      <c r="S545" s="2">
        <f t="shared" si="59"/>
        <v>-8.9278907242691385E-3</v>
      </c>
    </row>
    <row r="546" spans="2:19" x14ac:dyDescent="0.25">
      <c r="B546" s="1">
        <f t="shared" si="60"/>
        <v>540</v>
      </c>
      <c r="C546" s="1">
        <v>813</v>
      </c>
      <c r="D546" s="13">
        <v>55.2</v>
      </c>
      <c r="E546" s="1" t="s">
        <v>11</v>
      </c>
      <c r="F546" s="2">
        <v>3.0950000000000002</v>
      </c>
      <c r="G546" s="1" t="s">
        <v>12</v>
      </c>
      <c r="H546" s="1" t="s">
        <v>13</v>
      </c>
      <c r="I546" s="1" t="s">
        <v>14</v>
      </c>
      <c r="J546" s="14">
        <v>0.56966435185185182</v>
      </c>
      <c r="K546" s="15">
        <v>45514</v>
      </c>
      <c r="M546" s="2">
        <v>3.0249999999999999</v>
      </c>
      <c r="O546" s="2">
        <f t="shared" si="55"/>
        <v>2.96</v>
      </c>
      <c r="P546" s="2">
        <f t="shared" si="56"/>
        <v>56.949809402795424</v>
      </c>
      <c r="Q546" s="2">
        <f t="shared" si="57"/>
        <v>0.27599999999999414</v>
      </c>
      <c r="R546" s="2">
        <f t="shared" si="58"/>
        <v>0.2848202033036788</v>
      </c>
      <c r="S546" s="2">
        <f t="shared" si="59"/>
        <v>-8.8202033036846594E-3</v>
      </c>
    </row>
    <row r="547" spans="2:19" x14ac:dyDescent="0.25">
      <c r="B547" s="1">
        <f t="shared" si="60"/>
        <v>541</v>
      </c>
      <c r="C547" s="1">
        <v>814</v>
      </c>
      <c r="D547" s="13">
        <v>55.2</v>
      </c>
      <c r="E547" s="1" t="s">
        <v>11</v>
      </c>
      <c r="F547" s="2">
        <v>3.1</v>
      </c>
      <c r="G547" s="1" t="s">
        <v>12</v>
      </c>
      <c r="H547" s="1" t="s">
        <v>13</v>
      </c>
      <c r="I547" s="1" t="s">
        <v>14</v>
      </c>
      <c r="J547" s="14">
        <v>0.56966435185185182</v>
      </c>
      <c r="K547" s="15">
        <v>45514</v>
      </c>
      <c r="M547" s="2">
        <v>3.03</v>
      </c>
      <c r="O547" s="2">
        <f t="shared" si="55"/>
        <v>2.9649999999999999</v>
      </c>
      <c r="P547" s="2">
        <f t="shared" si="56"/>
        <v>56.97827191867853</v>
      </c>
      <c r="Q547" s="2">
        <f t="shared" si="57"/>
        <v>0.27600000000001862</v>
      </c>
      <c r="R547" s="2">
        <f t="shared" si="58"/>
        <v>0.2849625158831196</v>
      </c>
      <c r="S547" s="2">
        <f t="shared" si="59"/>
        <v>-8.9625158831009855E-3</v>
      </c>
    </row>
    <row r="548" spans="2:19" x14ac:dyDescent="0.25">
      <c r="B548" s="1">
        <f t="shared" si="60"/>
        <v>542</v>
      </c>
      <c r="C548" s="1">
        <v>816</v>
      </c>
      <c r="D548" s="13">
        <v>55.2</v>
      </c>
      <c r="E548" s="1" t="s">
        <v>11</v>
      </c>
      <c r="F548" s="2">
        <v>3.105</v>
      </c>
      <c r="G548" s="1" t="s">
        <v>12</v>
      </c>
      <c r="H548" s="1" t="s">
        <v>13</v>
      </c>
      <c r="I548" s="1" t="s">
        <v>14</v>
      </c>
      <c r="J548" s="14">
        <v>0.56967592592592597</v>
      </c>
      <c r="K548" s="15">
        <v>45514</v>
      </c>
      <c r="M548" s="2">
        <v>3.0350000000000001</v>
      </c>
      <c r="O548" s="2">
        <f t="shared" si="55"/>
        <v>2.97</v>
      </c>
      <c r="P548" s="2">
        <f t="shared" si="56"/>
        <v>57.006734434561629</v>
      </c>
      <c r="Q548" s="2">
        <f t="shared" si="57"/>
        <v>0.27624999999999411</v>
      </c>
      <c r="R548" s="2">
        <f t="shared" si="58"/>
        <v>0.28510482846250984</v>
      </c>
      <c r="S548" s="2">
        <f t="shared" si="59"/>
        <v>-8.8548284625157292E-3</v>
      </c>
    </row>
    <row r="549" spans="2:19" x14ac:dyDescent="0.25">
      <c r="B549" s="1">
        <f t="shared" si="60"/>
        <v>543</v>
      </c>
      <c r="C549" s="1">
        <v>818</v>
      </c>
      <c r="D549" s="13">
        <v>55.3</v>
      </c>
      <c r="E549" s="1" t="s">
        <v>11</v>
      </c>
      <c r="F549" s="2">
        <v>3.11</v>
      </c>
      <c r="G549" s="1" t="s">
        <v>12</v>
      </c>
      <c r="H549" s="1" t="s">
        <v>13</v>
      </c>
      <c r="I549" s="1" t="s">
        <v>14</v>
      </c>
      <c r="J549" s="14">
        <v>0.56967592592592597</v>
      </c>
      <c r="K549" s="15">
        <v>45514</v>
      </c>
      <c r="M549" s="2">
        <v>3.04</v>
      </c>
      <c r="O549" s="2">
        <f t="shared" si="55"/>
        <v>2.9750000000000001</v>
      </c>
      <c r="P549" s="2">
        <f t="shared" si="56"/>
        <v>57.035196950444728</v>
      </c>
      <c r="Q549" s="2">
        <f t="shared" si="57"/>
        <v>0.27649999999999408</v>
      </c>
      <c r="R549" s="2">
        <f t="shared" si="58"/>
        <v>0.28524714104192528</v>
      </c>
      <c r="S549" s="2">
        <f t="shared" si="59"/>
        <v>-8.7471410419311946E-3</v>
      </c>
    </row>
    <row r="550" spans="2:19" x14ac:dyDescent="0.25">
      <c r="B550" s="1">
        <f t="shared" si="60"/>
        <v>544</v>
      </c>
      <c r="C550" s="1">
        <v>820</v>
      </c>
      <c r="D550" s="13">
        <v>55.3</v>
      </c>
      <c r="E550" s="1" t="s">
        <v>11</v>
      </c>
      <c r="F550" s="2">
        <v>3.1150000000000002</v>
      </c>
      <c r="G550" s="1" t="s">
        <v>12</v>
      </c>
      <c r="H550" s="1" t="s">
        <v>13</v>
      </c>
      <c r="I550" s="1" t="s">
        <v>14</v>
      </c>
      <c r="J550" s="14">
        <v>0.56967592592592597</v>
      </c>
      <c r="K550" s="15">
        <v>45514</v>
      </c>
      <c r="M550" s="2">
        <v>3.0449999999999999</v>
      </c>
      <c r="O550" s="2">
        <f t="shared" si="55"/>
        <v>2.98</v>
      </c>
      <c r="P550" s="2">
        <f t="shared" si="56"/>
        <v>57.063659466327827</v>
      </c>
      <c r="Q550" s="2">
        <f t="shared" si="57"/>
        <v>0.27649999999999408</v>
      </c>
      <c r="R550" s="2">
        <f t="shared" si="58"/>
        <v>0.28538945362134083</v>
      </c>
      <c r="S550" s="2">
        <f t="shared" si="59"/>
        <v>-8.8894536213467434E-3</v>
      </c>
    </row>
    <row r="551" spans="2:19" x14ac:dyDescent="0.25">
      <c r="B551" s="1">
        <f t="shared" si="60"/>
        <v>545</v>
      </c>
      <c r="C551" s="1">
        <v>821</v>
      </c>
      <c r="D551" s="13">
        <v>55.3</v>
      </c>
      <c r="E551" s="1" t="s">
        <v>11</v>
      </c>
      <c r="F551" s="2">
        <v>3.12</v>
      </c>
      <c r="G551" s="1" t="s">
        <v>12</v>
      </c>
      <c r="H551" s="1" t="s">
        <v>13</v>
      </c>
      <c r="I551" s="1" t="s">
        <v>14</v>
      </c>
      <c r="J551" s="14">
        <v>0.56967592592592597</v>
      </c>
      <c r="K551" s="15">
        <v>45514</v>
      </c>
      <c r="M551" s="2">
        <v>3.05</v>
      </c>
      <c r="O551" s="2">
        <f t="shared" si="55"/>
        <v>2.9849999999999999</v>
      </c>
      <c r="P551" s="2">
        <f t="shared" si="56"/>
        <v>57.092121982210926</v>
      </c>
      <c r="Q551" s="2">
        <f t="shared" si="57"/>
        <v>0.27675000000001865</v>
      </c>
      <c r="R551" s="2">
        <f t="shared" si="58"/>
        <v>0.28553176620078169</v>
      </c>
      <c r="S551" s="2">
        <f t="shared" si="59"/>
        <v>-8.7817662007630415E-3</v>
      </c>
    </row>
    <row r="552" spans="2:19" x14ac:dyDescent="0.25">
      <c r="B552" s="1">
        <f t="shared" si="60"/>
        <v>546</v>
      </c>
      <c r="C552" s="1">
        <v>823</v>
      </c>
      <c r="D552" s="13">
        <v>55.4</v>
      </c>
      <c r="E552" s="1" t="s">
        <v>11</v>
      </c>
      <c r="F552" s="2">
        <v>3.125</v>
      </c>
      <c r="G552" s="1" t="s">
        <v>12</v>
      </c>
      <c r="H552" s="1" t="s">
        <v>13</v>
      </c>
      <c r="I552" s="1" t="s">
        <v>14</v>
      </c>
      <c r="J552" s="14">
        <v>0.56967592592592597</v>
      </c>
      <c r="K552" s="15">
        <v>45514</v>
      </c>
      <c r="M552" s="2">
        <v>3.0550000000000002</v>
      </c>
      <c r="O552" s="2">
        <f t="shared" si="55"/>
        <v>2.99</v>
      </c>
      <c r="P552" s="2">
        <f t="shared" si="56"/>
        <v>57.120584498094033</v>
      </c>
      <c r="Q552" s="2">
        <f t="shared" si="57"/>
        <v>0.27699999999999408</v>
      </c>
      <c r="R552" s="2">
        <f t="shared" si="58"/>
        <v>0.28567407878017181</v>
      </c>
      <c r="S552" s="2">
        <f t="shared" si="59"/>
        <v>-8.6740787801777297E-3</v>
      </c>
    </row>
    <row r="553" spans="2:19" x14ac:dyDescent="0.25">
      <c r="B553" s="1">
        <f t="shared" si="60"/>
        <v>547</v>
      </c>
      <c r="C553" s="1">
        <v>824</v>
      </c>
      <c r="D553" s="13">
        <v>55.4</v>
      </c>
      <c r="E553" s="1" t="s">
        <v>11</v>
      </c>
      <c r="F553" s="2">
        <v>3.13</v>
      </c>
      <c r="G553" s="1" t="s">
        <v>12</v>
      </c>
      <c r="H553" s="1" t="s">
        <v>13</v>
      </c>
      <c r="I553" s="1" t="s">
        <v>14</v>
      </c>
      <c r="J553" s="14">
        <v>0.56967592592592597</v>
      </c>
      <c r="K553" s="15">
        <v>45514</v>
      </c>
      <c r="M553" s="2">
        <v>3.06</v>
      </c>
      <c r="O553" s="2">
        <f t="shared" si="55"/>
        <v>2.9950000000000001</v>
      </c>
      <c r="P553" s="2">
        <f t="shared" si="56"/>
        <v>57.149047013977132</v>
      </c>
      <c r="Q553" s="2">
        <f t="shared" si="57"/>
        <v>0.27699999999999408</v>
      </c>
      <c r="R553" s="2">
        <f t="shared" si="58"/>
        <v>0.28581639135958731</v>
      </c>
      <c r="S553" s="2">
        <f t="shared" si="59"/>
        <v>-8.8163913595932231E-3</v>
      </c>
    </row>
    <row r="554" spans="2:19" x14ac:dyDescent="0.25">
      <c r="B554" s="1">
        <f t="shared" si="60"/>
        <v>548</v>
      </c>
      <c r="C554" s="1">
        <v>825</v>
      </c>
      <c r="D554" s="13">
        <v>55.4</v>
      </c>
      <c r="E554" s="1" t="s">
        <v>11</v>
      </c>
      <c r="F554" s="2">
        <v>3.1349999999999998</v>
      </c>
      <c r="G554" s="1" t="s">
        <v>12</v>
      </c>
      <c r="H554" s="1" t="s">
        <v>13</v>
      </c>
      <c r="I554" s="1" t="s">
        <v>14</v>
      </c>
      <c r="J554" s="14">
        <v>0.56967592592592597</v>
      </c>
      <c r="K554" s="15">
        <v>45514</v>
      </c>
      <c r="M554" s="2">
        <v>3.0649999999999999</v>
      </c>
      <c r="O554" s="2">
        <f t="shared" si="55"/>
        <v>3</v>
      </c>
      <c r="P554" s="2">
        <f t="shared" si="56"/>
        <v>57.177509529860231</v>
      </c>
      <c r="Q554" s="2">
        <f t="shared" si="57"/>
        <v>0.27724999999999411</v>
      </c>
      <c r="R554" s="2">
        <f t="shared" si="58"/>
        <v>0.2859587039390028</v>
      </c>
      <c r="S554" s="2">
        <f t="shared" si="59"/>
        <v>-8.7087039390086884E-3</v>
      </c>
    </row>
    <row r="555" spans="2:19" x14ac:dyDescent="0.25">
      <c r="B555" s="1">
        <f t="shared" si="60"/>
        <v>549</v>
      </c>
      <c r="C555" s="1">
        <v>827</v>
      </c>
      <c r="D555" s="13">
        <v>55.5</v>
      </c>
      <c r="E555" s="1" t="s">
        <v>11</v>
      </c>
      <c r="F555" s="2">
        <v>3.14</v>
      </c>
      <c r="G555" s="1" t="s">
        <v>12</v>
      </c>
      <c r="H555" s="1" t="s">
        <v>13</v>
      </c>
      <c r="I555" s="1" t="s">
        <v>14</v>
      </c>
      <c r="J555" s="14">
        <v>0.56968750000000001</v>
      </c>
      <c r="K555" s="15">
        <v>45514</v>
      </c>
      <c r="M555" s="2">
        <v>3.07</v>
      </c>
      <c r="O555" s="2">
        <f t="shared" si="55"/>
        <v>3.0049999999999999</v>
      </c>
      <c r="P555" s="2">
        <f t="shared" si="56"/>
        <v>57.20597204574333</v>
      </c>
      <c r="Q555" s="2">
        <f t="shared" si="57"/>
        <v>0.27750000000001873</v>
      </c>
      <c r="R555" s="2">
        <f t="shared" si="58"/>
        <v>0.28610101651844372</v>
      </c>
      <c r="S555" s="2">
        <f t="shared" si="59"/>
        <v>-8.6010165184249865E-3</v>
      </c>
    </row>
    <row r="556" spans="2:19" x14ac:dyDescent="0.25">
      <c r="B556" s="1">
        <f t="shared" si="60"/>
        <v>550</v>
      </c>
      <c r="C556" s="1">
        <v>828</v>
      </c>
      <c r="D556" s="13">
        <v>55.5</v>
      </c>
      <c r="E556" s="1" t="s">
        <v>11</v>
      </c>
      <c r="F556" s="2">
        <v>3.145</v>
      </c>
      <c r="G556" s="1" t="s">
        <v>12</v>
      </c>
      <c r="H556" s="1" t="s">
        <v>13</v>
      </c>
      <c r="I556" s="1" t="s">
        <v>14</v>
      </c>
      <c r="J556" s="14">
        <v>0.56968750000000001</v>
      </c>
      <c r="K556" s="15">
        <v>45514</v>
      </c>
      <c r="M556" s="2">
        <v>3.0750000000000002</v>
      </c>
      <c r="O556" s="2">
        <f t="shared" si="55"/>
        <v>3.0100000000000002</v>
      </c>
      <c r="P556" s="2">
        <f t="shared" si="56"/>
        <v>57.234434561626429</v>
      </c>
      <c r="Q556" s="2">
        <f t="shared" si="57"/>
        <v>0.27774999999999406</v>
      </c>
      <c r="R556" s="2">
        <f t="shared" si="58"/>
        <v>0.28624332909783379</v>
      </c>
      <c r="S556" s="2">
        <f t="shared" si="59"/>
        <v>-8.4933290978397302E-3</v>
      </c>
    </row>
    <row r="557" spans="2:19" x14ac:dyDescent="0.25">
      <c r="B557" s="1">
        <f t="shared" si="60"/>
        <v>551</v>
      </c>
      <c r="C557" s="1">
        <v>830</v>
      </c>
      <c r="D557" s="13">
        <v>55.6</v>
      </c>
      <c r="E557" s="1" t="s">
        <v>11</v>
      </c>
      <c r="F557" s="2">
        <v>3.15</v>
      </c>
      <c r="G557" s="1" t="s">
        <v>12</v>
      </c>
      <c r="H557" s="1" t="s">
        <v>13</v>
      </c>
      <c r="I557" s="1" t="s">
        <v>14</v>
      </c>
      <c r="J557" s="14">
        <v>0.56968750000000001</v>
      </c>
      <c r="K557" s="15">
        <v>45514</v>
      </c>
      <c r="M557" s="2">
        <v>3.08</v>
      </c>
      <c r="O557" s="2">
        <f t="shared" si="55"/>
        <v>3.0150000000000001</v>
      </c>
      <c r="P557" s="2">
        <f t="shared" si="56"/>
        <v>57.262897077509535</v>
      </c>
      <c r="Q557" s="2">
        <f t="shared" si="57"/>
        <v>0.27799999999999409</v>
      </c>
      <c r="R557" s="2">
        <f t="shared" si="58"/>
        <v>0.28638564167724928</v>
      </c>
      <c r="S557" s="2">
        <f t="shared" si="59"/>
        <v>-8.3856416772551956E-3</v>
      </c>
    </row>
    <row r="558" spans="2:19" x14ac:dyDescent="0.25">
      <c r="B558" s="1">
        <f t="shared" si="60"/>
        <v>552</v>
      </c>
      <c r="C558" s="1">
        <v>832</v>
      </c>
      <c r="D558" s="13">
        <v>55.6</v>
      </c>
      <c r="E558" s="1" t="s">
        <v>11</v>
      </c>
      <c r="F558" s="2">
        <v>3.1549999999999998</v>
      </c>
      <c r="G558" s="1" t="s">
        <v>12</v>
      </c>
      <c r="H558" s="1" t="s">
        <v>13</v>
      </c>
      <c r="I558" s="1" t="s">
        <v>14</v>
      </c>
      <c r="J558" s="14">
        <v>0.56968750000000001</v>
      </c>
      <c r="K558" s="15">
        <v>45514</v>
      </c>
      <c r="M558" s="2">
        <v>3.085</v>
      </c>
      <c r="O558" s="2">
        <f t="shared" si="55"/>
        <v>3.02</v>
      </c>
      <c r="P558" s="2">
        <f t="shared" si="56"/>
        <v>57.291359593392627</v>
      </c>
      <c r="Q558" s="2">
        <f t="shared" si="57"/>
        <v>0.27799999999999409</v>
      </c>
      <c r="R558" s="2">
        <f t="shared" si="58"/>
        <v>0.28652795425666477</v>
      </c>
      <c r="S558" s="2">
        <f t="shared" si="59"/>
        <v>-8.527954256670689E-3</v>
      </c>
    </row>
    <row r="559" spans="2:19" x14ac:dyDescent="0.25">
      <c r="B559" s="1">
        <f t="shared" si="60"/>
        <v>553</v>
      </c>
      <c r="C559" s="1">
        <v>833</v>
      </c>
      <c r="D559" s="13">
        <v>55.6</v>
      </c>
      <c r="E559" s="1" t="s">
        <v>11</v>
      </c>
      <c r="F559" s="2">
        <v>3.16</v>
      </c>
      <c r="G559" s="1" t="s">
        <v>12</v>
      </c>
      <c r="H559" s="1" t="s">
        <v>13</v>
      </c>
      <c r="I559" s="1" t="s">
        <v>14</v>
      </c>
      <c r="J559" s="14">
        <v>0.56968750000000001</v>
      </c>
      <c r="K559" s="15">
        <v>45514</v>
      </c>
      <c r="M559" s="2">
        <v>3.09</v>
      </c>
      <c r="O559" s="2">
        <f t="shared" si="55"/>
        <v>3.0249999999999999</v>
      </c>
      <c r="P559" s="2">
        <f t="shared" si="56"/>
        <v>57.319822109275734</v>
      </c>
      <c r="Q559" s="2">
        <f t="shared" si="57"/>
        <v>0.27800000000001879</v>
      </c>
      <c r="R559" s="2">
        <f t="shared" si="58"/>
        <v>0.28667026683610575</v>
      </c>
      <c r="S559" s="2">
        <f t="shared" si="59"/>
        <v>-8.6702668360869595E-3</v>
      </c>
    </row>
    <row r="560" spans="2:19" x14ac:dyDescent="0.25">
      <c r="B560" s="1">
        <f t="shared" si="60"/>
        <v>554</v>
      </c>
      <c r="C560" s="1">
        <v>835</v>
      </c>
      <c r="D560" s="13">
        <v>55.6</v>
      </c>
      <c r="E560" s="1" t="s">
        <v>11</v>
      </c>
      <c r="F560" s="2">
        <v>3.165</v>
      </c>
      <c r="G560" s="1" t="s">
        <v>12</v>
      </c>
      <c r="H560" s="1" t="s">
        <v>13</v>
      </c>
      <c r="I560" s="1" t="s">
        <v>14</v>
      </c>
      <c r="J560" s="14">
        <v>0.56968750000000001</v>
      </c>
      <c r="K560" s="15">
        <v>45514</v>
      </c>
      <c r="M560" s="2">
        <v>3.0950000000000002</v>
      </c>
      <c r="O560" s="2">
        <f t="shared" si="55"/>
        <v>3.0300000000000002</v>
      </c>
      <c r="P560" s="2">
        <f t="shared" si="56"/>
        <v>57.348284625158833</v>
      </c>
      <c r="Q560" s="2">
        <f t="shared" si="57"/>
        <v>0.27799999999999409</v>
      </c>
      <c r="R560" s="2">
        <f t="shared" si="58"/>
        <v>0.28681257941549582</v>
      </c>
      <c r="S560" s="2">
        <f t="shared" si="59"/>
        <v>-8.8125794155017312E-3</v>
      </c>
    </row>
    <row r="561" spans="2:19" x14ac:dyDescent="0.25">
      <c r="B561" s="1">
        <f t="shared" si="60"/>
        <v>555</v>
      </c>
      <c r="C561" s="1">
        <v>837</v>
      </c>
      <c r="D561" s="13">
        <v>55.6</v>
      </c>
      <c r="E561" s="1" t="s">
        <v>11</v>
      </c>
      <c r="F561" s="2">
        <v>3.17</v>
      </c>
      <c r="G561" s="1" t="s">
        <v>12</v>
      </c>
      <c r="H561" s="1" t="s">
        <v>13</v>
      </c>
      <c r="I561" s="1" t="s">
        <v>14</v>
      </c>
      <c r="J561" s="14">
        <v>0.56969907407407405</v>
      </c>
      <c r="K561" s="15">
        <v>45514</v>
      </c>
      <c r="M561" s="2">
        <v>3.1</v>
      </c>
      <c r="O561" s="2">
        <f t="shared" si="55"/>
        <v>3.0350000000000001</v>
      </c>
      <c r="P561" s="2">
        <f t="shared" si="56"/>
        <v>57.376747141041932</v>
      </c>
      <c r="Q561" s="2">
        <f t="shared" si="57"/>
        <v>0.27824999999999411</v>
      </c>
      <c r="R561" s="2">
        <f t="shared" si="58"/>
        <v>0.28695489199491131</v>
      </c>
      <c r="S561" s="2">
        <f t="shared" si="59"/>
        <v>-8.7048919949171966E-3</v>
      </c>
    </row>
    <row r="562" spans="2:19" x14ac:dyDescent="0.25">
      <c r="B562" s="1">
        <f t="shared" si="60"/>
        <v>556</v>
      </c>
      <c r="C562" s="1">
        <v>840</v>
      </c>
      <c r="D562" s="13">
        <v>55.7</v>
      </c>
      <c r="E562" s="1" t="s">
        <v>11</v>
      </c>
      <c r="F562" s="2">
        <v>3.1749999999999998</v>
      </c>
      <c r="G562" s="1" t="s">
        <v>12</v>
      </c>
      <c r="H562" s="1" t="s">
        <v>13</v>
      </c>
      <c r="I562" s="1" t="s">
        <v>14</v>
      </c>
      <c r="J562" s="14">
        <v>0.56969907407407405</v>
      </c>
      <c r="K562" s="15">
        <v>45514</v>
      </c>
      <c r="M562" s="2">
        <v>3.105</v>
      </c>
      <c r="O562" s="2">
        <f t="shared" si="55"/>
        <v>3.04</v>
      </c>
      <c r="P562" s="2">
        <f t="shared" si="56"/>
        <v>57.405209656925038</v>
      </c>
      <c r="Q562" s="2">
        <f t="shared" si="57"/>
        <v>0.27849999999999409</v>
      </c>
      <c r="R562" s="2">
        <f t="shared" si="58"/>
        <v>0.2870972045743268</v>
      </c>
      <c r="S562" s="2">
        <f t="shared" si="59"/>
        <v>-8.5972045743327175E-3</v>
      </c>
    </row>
    <row r="563" spans="2:19" x14ac:dyDescent="0.25">
      <c r="B563" s="1">
        <f t="shared" si="60"/>
        <v>557</v>
      </c>
      <c r="C563" s="1">
        <v>844</v>
      </c>
      <c r="D563" s="13">
        <v>55.7</v>
      </c>
      <c r="E563" s="1" t="s">
        <v>11</v>
      </c>
      <c r="F563" s="2">
        <v>3.18</v>
      </c>
      <c r="G563" s="1" t="s">
        <v>12</v>
      </c>
      <c r="H563" s="1" t="s">
        <v>13</v>
      </c>
      <c r="I563" s="1" t="s">
        <v>14</v>
      </c>
      <c r="J563" s="14">
        <v>0.56969907407407405</v>
      </c>
      <c r="K563" s="15">
        <v>45514</v>
      </c>
      <c r="M563" s="2">
        <v>3.11</v>
      </c>
      <c r="O563" s="2">
        <f t="shared" si="55"/>
        <v>3.0449999999999999</v>
      </c>
      <c r="P563" s="2">
        <f t="shared" si="56"/>
        <v>57.43367217280813</v>
      </c>
      <c r="Q563" s="2">
        <f t="shared" si="57"/>
        <v>0.27850000000001879</v>
      </c>
      <c r="R563" s="2">
        <f t="shared" si="58"/>
        <v>0.28723951715376783</v>
      </c>
      <c r="S563" s="2">
        <f t="shared" si="59"/>
        <v>-8.7395171537490435E-3</v>
      </c>
    </row>
    <row r="564" spans="2:19" x14ac:dyDescent="0.25">
      <c r="B564" s="1">
        <f t="shared" si="60"/>
        <v>558</v>
      </c>
      <c r="C564" s="1">
        <v>846</v>
      </c>
      <c r="D564" s="13">
        <v>55.7</v>
      </c>
      <c r="E564" s="1" t="s">
        <v>11</v>
      </c>
      <c r="F564" s="2">
        <v>3.1850000000000001</v>
      </c>
      <c r="G564" s="1" t="s">
        <v>12</v>
      </c>
      <c r="H564" s="1" t="s">
        <v>13</v>
      </c>
      <c r="I564" s="1" t="s">
        <v>14</v>
      </c>
      <c r="J564" s="14">
        <v>0.5697106481481482</v>
      </c>
      <c r="K564" s="15">
        <v>45514</v>
      </c>
      <c r="M564" s="2">
        <v>3.1150000000000002</v>
      </c>
      <c r="O564" s="2">
        <f t="shared" si="55"/>
        <v>3.0500000000000003</v>
      </c>
      <c r="P564" s="2">
        <f t="shared" si="56"/>
        <v>57.462134688691236</v>
      </c>
      <c r="Q564" s="2">
        <f t="shared" si="57"/>
        <v>0.27874999999999406</v>
      </c>
      <c r="R564" s="2">
        <f t="shared" si="58"/>
        <v>0.28738182973315779</v>
      </c>
      <c r="S564" s="2">
        <f t="shared" si="59"/>
        <v>-8.6318297331637317E-3</v>
      </c>
    </row>
    <row r="565" spans="2:19" x14ac:dyDescent="0.25">
      <c r="B565" s="1">
        <f t="shared" si="60"/>
        <v>559</v>
      </c>
      <c r="C565" s="1">
        <v>848</v>
      </c>
      <c r="D565" s="13">
        <v>55.8</v>
      </c>
      <c r="E565" s="1" t="s">
        <v>11</v>
      </c>
      <c r="F565" s="2">
        <v>3.19</v>
      </c>
      <c r="G565" s="1" t="s">
        <v>12</v>
      </c>
      <c r="H565" s="1" t="s">
        <v>13</v>
      </c>
      <c r="I565" s="1" t="s">
        <v>14</v>
      </c>
      <c r="J565" s="14">
        <v>0.5697106481481482</v>
      </c>
      <c r="K565" s="15">
        <v>45514</v>
      </c>
      <c r="M565" s="2">
        <v>3.12</v>
      </c>
      <c r="O565" s="2">
        <f t="shared" si="55"/>
        <v>3.0550000000000002</v>
      </c>
      <c r="P565" s="2">
        <f t="shared" si="56"/>
        <v>57.490597204574335</v>
      </c>
      <c r="Q565" s="2">
        <f t="shared" si="57"/>
        <v>0.27899999999999403</v>
      </c>
      <c r="R565" s="2">
        <f t="shared" si="58"/>
        <v>0.28752414231257334</v>
      </c>
      <c r="S565" s="2">
        <f t="shared" si="59"/>
        <v>-8.5241423125793081E-3</v>
      </c>
    </row>
    <row r="566" spans="2:19" x14ac:dyDescent="0.25">
      <c r="B566" s="1">
        <f t="shared" si="60"/>
        <v>560</v>
      </c>
      <c r="C566" s="1">
        <v>852</v>
      </c>
      <c r="D566" s="13">
        <v>55.8</v>
      </c>
      <c r="E566" s="1" t="s">
        <v>11</v>
      </c>
      <c r="F566" s="2">
        <v>3.1949999999999998</v>
      </c>
      <c r="G566" s="1" t="s">
        <v>12</v>
      </c>
      <c r="H566" s="1" t="s">
        <v>13</v>
      </c>
      <c r="I566" s="1" t="s">
        <v>14</v>
      </c>
      <c r="J566" s="14">
        <v>0.5697106481481482</v>
      </c>
      <c r="K566" s="15">
        <v>45514</v>
      </c>
      <c r="M566" s="2">
        <v>3.125</v>
      </c>
      <c r="O566" s="2">
        <f t="shared" si="55"/>
        <v>3.06</v>
      </c>
      <c r="P566" s="2">
        <f t="shared" si="56"/>
        <v>57.519059720457435</v>
      </c>
      <c r="Q566" s="2">
        <f t="shared" si="57"/>
        <v>0.279249999999994</v>
      </c>
      <c r="R566" s="2">
        <f t="shared" si="58"/>
        <v>0.28766645489198878</v>
      </c>
      <c r="S566" s="2">
        <f t="shared" si="59"/>
        <v>-8.4164548919947735E-3</v>
      </c>
    </row>
    <row r="567" spans="2:19" x14ac:dyDescent="0.25">
      <c r="B567" s="1">
        <f t="shared" si="60"/>
        <v>561</v>
      </c>
      <c r="C567" s="1">
        <v>854</v>
      </c>
      <c r="D567" s="13">
        <v>55.9</v>
      </c>
      <c r="E567" s="1" t="s">
        <v>11</v>
      </c>
      <c r="F567" s="2">
        <v>3.2</v>
      </c>
      <c r="G567" s="1" t="s">
        <v>12</v>
      </c>
      <c r="H567" s="1" t="s">
        <v>13</v>
      </c>
      <c r="I567" s="1" t="s">
        <v>14</v>
      </c>
      <c r="J567" s="14">
        <v>0.5697106481481482</v>
      </c>
      <c r="K567" s="15">
        <v>45514</v>
      </c>
      <c r="M567" s="2">
        <v>3.13</v>
      </c>
      <c r="O567" s="2">
        <f t="shared" si="55"/>
        <v>3.0649999999999999</v>
      </c>
      <c r="P567" s="2">
        <f t="shared" si="56"/>
        <v>57.547522236340534</v>
      </c>
      <c r="Q567" s="2">
        <f t="shared" si="57"/>
        <v>0.27949999999999403</v>
      </c>
      <c r="R567" s="2">
        <f t="shared" si="58"/>
        <v>0.28780876747140433</v>
      </c>
      <c r="S567" s="2">
        <f t="shared" si="59"/>
        <v>-8.3087674714102944E-3</v>
      </c>
    </row>
    <row r="568" spans="2:19" x14ac:dyDescent="0.25">
      <c r="B568" s="1">
        <f t="shared" si="60"/>
        <v>562</v>
      </c>
      <c r="C568" s="1">
        <v>856</v>
      </c>
      <c r="D568" s="13">
        <v>55.9</v>
      </c>
      <c r="E568" s="1" t="s">
        <v>11</v>
      </c>
      <c r="F568" s="2">
        <v>3.2050000000000001</v>
      </c>
      <c r="G568" s="1" t="s">
        <v>12</v>
      </c>
      <c r="H568" s="1" t="s">
        <v>13</v>
      </c>
      <c r="I568" s="1" t="s">
        <v>14</v>
      </c>
      <c r="J568" s="14">
        <v>0.56972222222222224</v>
      </c>
      <c r="K568" s="15">
        <v>45514</v>
      </c>
      <c r="M568" s="2">
        <v>3.1349999999999998</v>
      </c>
      <c r="O568" s="2">
        <f t="shared" si="55"/>
        <v>3.07</v>
      </c>
      <c r="P568" s="2">
        <f t="shared" si="56"/>
        <v>57.575984752223633</v>
      </c>
      <c r="Q568" s="2">
        <f t="shared" si="57"/>
        <v>0.27950000000001884</v>
      </c>
      <c r="R568" s="2">
        <f t="shared" si="58"/>
        <v>0.28795108005084535</v>
      </c>
      <c r="S568" s="2">
        <f t="shared" si="59"/>
        <v>-8.4510800508265094E-3</v>
      </c>
    </row>
    <row r="569" spans="2:19" x14ac:dyDescent="0.25">
      <c r="B569" s="1">
        <f t="shared" si="60"/>
        <v>563</v>
      </c>
      <c r="C569" s="1">
        <v>858</v>
      </c>
      <c r="D569" s="13">
        <v>55.9</v>
      </c>
      <c r="E569" s="1" t="s">
        <v>11</v>
      </c>
      <c r="F569" s="2">
        <v>3.21</v>
      </c>
      <c r="G569" s="1" t="s">
        <v>12</v>
      </c>
      <c r="H569" s="1" t="s">
        <v>13</v>
      </c>
      <c r="I569" s="1" t="s">
        <v>14</v>
      </c>
      <c r="J569" s="14">
        <v>0.56972222222222224</v>
      </c>
      <c r="K569" s="15">
        <v>45514</v>
      </c>
      <c r="M569" s="2">
        <v>3.14</v>
      </c>
      <c r="O569" s="2">
        <f t="shared" si="55"/>
        <v>3.0750000000000002</v>
      </c>
      <c r="P569" s="2">
        <f t="shared" si="56"/>
        <v>57.604447268106739</v>
      </c>
      <c r="Q569" s="2">
        <f t="shared" si="57"/>
        <v>0.55949999999998812</v>
      </c>
      <c r="R569" s="2">
        <f t="shared" si="58"/>
        <v>0.57632909783988606</v>
      </c>
      <c r="S569" s="2">
        <f t="shared" si="59"/>
        <v>-1.6829097839897944E-2</v>
      </c>
    </row>
    <row r="570" spans="2:19" x14ac:dyDescent="0.25">
      <c r="B570" s="1">
        <f t="shared" si="60"/>
        <v>564</v>
      </c>
      <c r="C570" s="1">
        <v>860</v>
      </c>
      <c r="D570" s="13">
        <v>56</v>
      </c>
      <c r="E570" s="1" t="s">
        <v>11</v>
      </c>
      <c r="F570" s="2">
        <v>3.22</v>
      </c>
      <c r="G570" s="1" t="s">
        <v>12</v>
      </c>
      <c r="H570" s="1" t="s">
        <v>13</v>
      </c>
      <c r="I570" s="1" t="s">
        <v>14</v>
      </c>
      <c r="J570" s="14">
        <v>0.56972222222222224</v>
      </c>
      <c r="K570" s="15">
        <v>45514</v>
      </c>
      <c r="M570" s="2">
        <v>3.15</v>
      </c>
      <c r="O570" s="2">
        <f t="shared" si="55"/>
        <v>3.085</v>
      </c>
      <c r="P570" s="2">
        <f t="shared" si="56"/>
        <v>57.661372299872937</v>
      </c>
      <c r="Q570" s="2">
        <f t="shared" si="57"/>
        <v>0.27999999999999403</v>
      </c>
      <c r="R570" s="2">
        <f t="shared" si="58"/>
        <v>0.28837801778906624</v>
      </c>
      <c r="S570" s="2">
        <f t="shared" si="59"/>
        <v>-8.3780177890722118E-3</v>
      </c>
    </row>
    <row r="571" spans="2:19" x14ac:dyDescent="0.25">
      <c r="B571" s="1">
        <f t="shared" si="60"/>
        <v>565</v>
      </c>
      <c r="C571" s="1">
        <v>862</v>
      </c>
      <c r="D571" s="13">
        <v>56</v>
      </c>
      <c r="E571" s="1" t="s">
        <v>11</v>
      </c>
      <c r="F571" s="2">
        <v>3.2250000000000001</v>
      </c>
      <c r="G571" s="1" t="s">
        <v>12</v>
      </c>
      <c r="H571" s="1" t="s">
        <v>13</v>
      </c>
      <c r="I571" s="1" t="s">
        <v>14</v>
      </c>
      <c r="J571" s="14">
        <v>0.56972222222222224</v>
      </c>
      <c r="K571" s="15">
        <v>45514</v>
      </c>
      <c r="M571" s="2">
        <v>3.1549999999999998</v>
      </c>
      <c r="O571" s="2">
        <f t="shared" si="55"/>
        <v>3.09</v>
      </c>
      <c r="P571" s="2">
        <f t="shared" si="56"/>
        <v>57.689834815756036</v>
      </c>
      <c r="Q571" s="2">
        <f t="shared" si="57"/>
        <v>0.2800000000000189</v>
      </c>
      <c r="R571" s="2">
        <f t="shared" si="58"/>
        <v>0.28852033036850744</v>
      </c>
      <c r="S571" s="2">
        <f t="shared" si="59"/>
        <v>-8.5203303684885379E-3</v>
      </c>
    </row>
    <row r="572" spans="2:19" x14ac:dyDescent="0.25">
      <c r="B572" s="1">
        <f t="shared" si="60"/>
        <v>566</v>
      </c>
      <c r="C572" s="1">
        <v>864</v>
      </c>
      <c r="D572" s="13">
        <v>56</v>
      </c>
      <c r="E572" s="1" t="s">
        <v>11</v>
      </c>
      <c r="F572" s="2">
        <v>3.23</v>
      </c>
      <c r="G572" s="1" t="s">
        <v>12</v>
      </c>
      <c r="H572" s="1" t="s">
        <v>13</v>
      </c>
      <c r="I572" s="1" t="s">
        <v>14</v>
      </c>
      <c r="J572" s="14">
        <v>0.56972222222222224</v>
      </c>
      <c r="K572" s="15">
        <v>45514</v>
      </c>
      <c r="M572" s="2">
        <v>3.16</v>
      </c>
      <c r="O572" s="2">
        <f t="shared" si="55"/>
        <v>3.0950000000000002</v>
      </c>
      <c r="P572" s="2">
        <f t="shared" si="56"/>
        <v>57.718297331639135</v>
      </c>
      <c r="Q572" s="2">
        <f t="shared" si="57"/>
        <v>0.27999999999999403</v>
      </c>
      <c r="R572" s="2">
        <f t="shared" si="58"/>
        <v>0.28866264294789729</v>
      </c>
      <c r="S572" s="2">
        <f t="shared" si="59"/>
        <v>-8.6626429479032541E-3</v>
      </c>
    </row>
    <row r="573" spans="2:19" x14ac:dyDescent="0.25">
      <c r="B573" s="1">
        <f t="shared" si="60"/>
        <v>567</v>
      </c>
      <c r="C573" s="1">
        <v>872</v>
      </c>
      <c r="D573" s="13">
        <v>56</v>
      </c>
      <c r="E573" s="1" t="s">
        <v>11</v>
      </c>
      <c r="F573" s="2">
        <v>3.2349999999999999</v>
      </c>
      <c r="G573" s="1" t="s">
        <v>12</v>
      </c>
      <c r="H573" s="1" t="s">
        <v>13</v>
      </c>
      <c r="I573" s="1" t="s">
        <v>14</v>
      </c>
      <c r="J573" s="14">
        <v>0.56973379629629628</v>
      </c>
      <c r="K573" s="15">
        <v>45514</v>
      </c>
      <c r="M573" s="2">
        <v>3.165</v>
      </c>
      <c r="O573" s="2">
        <f t="shared" si="55"/>
        <v>3.1</v>
      </c>
      <c r="P573" s="2">
        <f t="shared" si="56"/>
        <v>57.746759847522242</v>
      </c>
      <c r="Q573" s="2">
        <f t="shared" si="57"/>
        <v>0.280249999999994</v>
      </c>
      <c r="R573" s="2">
        <f t="shared" si="58"/>
        <v>0.28880495552731278</v>
      </c>
      <c r="S573" s="2">
        <f t="shared" si="59"/>
        <v>-8.554955527318775E-3</v>
      </c>
    </row>
    <row r="574" spans="2:19" x14ac:dyDescent="0.25">
      <c r="B574" s="1">
        <f t="shared" si="60"/>
        <v>568</v>
      </c>
      <c r="C574" s="1">
        <v>880</v>
      </c>
      <c r="D574" s="13">
        <v>56.1</v>
      </c>
      <c r="E574" s="1" t="s">
        <v>11</v>
      </c>
      <c r="F574" s="2">
        <v>3.24</v>
      </c>
      <c r="G574" s="1" t="s">
        <v>12</v>
      </c>
      <c r="H574" s="1" t="s">
        <v>13</v>
      </c>
      <c r="I574" s="1" t="s">
        <v>14</v>
      </c>
      <c r="J574" s="14">
        <v>0.56974537037037032</v>
      </c>
      <c r="K574" s="15">
        <v>45514</v>
      </c>
      <c r="M574" s="2">
        <v>3.17</v>
      </c>
      <c r="O574" s="2">
        <f t="shared" si="55"/>
        <v>3.105</v>
      </c>
      <c r="P574" s="2">
        <f t="shared" si="56"/>
        <v>57.775222363405334</v>
      </c>
      <c r="Q574" s="2">
        <f t="shared" si="57"/>
        <v>0.28049999999999403</v>
      </c>
      <c r="R574" s="2">
        <f t="shared" si="58"/>
        <v>0.28894726810672827</v>
      </c>
      <c r="S574" s="2">
        <f t="shared" si="59"/>
        <v>-8.4472681067342403E-3</v>
      </c>
    </row>
    <row r="575" spans="2:19" x14ac:dyDescent="0.25">
      <c r="B575" s="1">
        <f t="shared" si="60"/>
        <v>569</v>
      </c>
      <c r="C575" s="1">
        <v>887</v>
      </c>
      <c r="D575" s="13">
        <v>56.1</v>
      </c>
      <c r="E575" s="1" t="s">
        <v>11</v>
      </c>
      <c r="F575" s="2">
        <v>3.2450000000000001</v>
      </c>
      <c r="G575" s="1" t="s">
        <v>12</v>
      </c>
      <c r="H575" s="1" t="s">
        <v>13</v>
      </c>
      <c r="I575" s="1" t="s">
        <v>14</v>
      </c>
      <c r="J575" s="14">
        <v>0.56975694444444447</v>
      </c>
      <c r="K575" s="15">
        <v>45514</v>
      </c>
      <c r="M575" s="2">
        <v>3.1749999999999998</v>
      </c>
      <c r="O575" s="2">
        <f t="shared" si="55"/>
        <v>3.11</v>
      </c>
      <c r="P575" s="2">
        <f t="shared" si="56"/>
        <v>57.80368487928844</v>
      </c>
      <c r="Q575" s="2">
        <f t="shared" si="57"/>
        <v>0.28050000000001896</v>
      </c>
      <c r="R575" s="2">
        <f t="shared" si="58"/>
        <v>0.28908958068616947</v>
      </c>
      <c r="S575" s="2">
        <f t="shared" si="59"/>
        <v>-8.5895806861505108E-3</v>
      </c>
    </row>
    <row r="576" spans="2:19" x14ac:dyDescent="0.25">
      <c r="B576" s="1">
        <f t="shared" si="60"/>
        <v>570</v>
      </c>
      <c r="C576" s="1">
        <v>890</v>
      </c>
      <c r="D576" s="13">
        <v>56.1</v>
      </c>
      <c r="E576" s="1" t="s">
        <v>11</v>
      </c>
      <c r="F576" s="2">
        <v>3.25</v>
      </c>
      <c r="G576" s="1" t="s">
        <v>12</v>
      </c>
      <c r="H576" s="1" t="s">
        <v>13</v>
      </c>
      <c r="I576" s="1" t="s">
        <v>14</v>
      </c>
      <c r="J576" s="14">
        <v>0.56975694444444447</v>
      </c>
      <c r="K576" s="15">
        <v>45514</v>
      </c>
      <c r="M576" s="2">
        <v>3.18</v>
      </c>
      <c r="O576" s="2">
        <f t="shared" si="55"/>
        <v>3.1150000000000002</v>
      </c>
      <c r="P576" s="2">
        <f t="shared" si="56"/>
        <v>57.832147395171539</v>
      </c>
      <c r="Q576" s="2">
        <f t="shared" si="57"/>
        <v>0.28074999999999406</v>
      </c>
      <c r="R576" s="2">
        <f t="shared" si="58"/>
        <v>0.28923189326555931</v>
      </c>
      <c r="S576" s="2">
        <f t="shared" si="59"/>
        <v>-8.4818932655652546E-3</v>
      </c>
    </row>
    <row r="577" spans="2:19" x14ac:dyDescent="0.25">
      <c r="B577" s="1">
        <f t="shared" si="60"/>
        <v>571</v>
      </c>
      <c r="C577" s="1">
        <v>892</v>
      </c>
      <c r="D577" s="13">
        <v>56.2</v>
      </c>
      <c r="E577" s="1" t="s">
        <v>11</v>
      </c>
      <c r="F577" s="2">
        <v>3.2549999999999999</v>
      </c>
      <c r="G577" s="1" t="s">
        <v>12</v>
      </c>
      <c r="H577" s="1" t="s">
        <v>13</v>
      </c>
      <c r="I577" s="1" t="s">
        <v>14</v>
      </c>
      <c r="J577" s="14">
        <v>0.56975694444444447</v>
      </c>
      <c r="K577" s="15">
        <v>45514</v>
      </c>
      <c r="M577" s="2">
        <v>3.1850000000000001</v>
      </c>
      <c r="O577" s="2">
        <f t="shared" si="55"/>
        <v>3.12</v>
      </c>
      <c r="P577" s="2">
        <f t="shared" si="56"/>
        <v>57.860609911054638</v>
      </c>
      <c r="Q577" s="2">
        <f t="shared" si="57"/>
        <v>0.28099999999999403</v>
      </c>
      <c r="R577" s="2">
        <f t="shared" si="58"/>
        <v>0.28937420584497481</v>
      </c>
      <c r="S577" s="2">
        <f t="shared" si="59"/>
        <v>-8.3742058449807755E-3</v>
      </c>
    </row>
    <row r="578" spans="2:19" x14ac:dyDescent="0.25">
      <c r="B578" s="1">
        <f t="shared" si="60"/>
        <v>572</v>
      </c>
      <c r="C578" s="1">
        <v>894</v>
      </c>
      <c r="D578" s="13">
        <v>56.2</v>
      </c>
      <c r="E578" s="1" t="s">
        <v>11</v>
      </c>
      <c r="F578" s="2">
        <v>3.26</v>
      </c>
      <c r="G578" s="1" t="s">
        <v>12</v>
      </c>
      <c r="H578" s="1" t="s">
        <v>13</v>
      </c>
      <c r="I578" s="1" t="s">
        <v>14</v>
      </c>
      <c r="J578" s="14">
        <v>0.56975694444444447</v>
      </c>
      <c r="K578" s="15">
        <v>45514</v>
      </c>
      <c r="M578" s="2">
        <v>3.19</v>
      </c>
      <c r="O578" s="2">
        <f t="shared" si="55"/>
        <v>3.125</v>
      </c>
      <c r="P578" s="2">
        <f t="shared" si="56"/>
        <v>57.889072426937744</v>
      </c>
      <c r="Q578" s="2">
        <f t="shared" si="57"/>
        <v>0.28099999999999403</v>
      </c>
      <c r="R578" s="2">
        <f t="shared" si="58"/>
        <v>0.2895165184243903</v>
      </c>
      <c r="S578" s="2">
        <f t="shared" si="59"/>
        <v>-8.5165184243962688E-3</v>
      </c>
    </row>
    <row r="579" spans="2:19" x14ac:dyDescent="0.25">
      <c r="B579" s="1">
        <f t="shared" si="60"/>
        <v>573</v>
      </c>
      <c r="C579" s="1">
        <v>897</v>
      </c>
      <c r="D579" s="13">
        <v>56.2</v>
      </c>
      <c r="E579" s="1" t="s">
        <v>11</v>
      </c>
      <c r="F579" s="2">
        <v>3.2650000000000001</v>
      </c>
      <c r="G579" s="1" t="s">
        <v>12</v>
      </c>
      <c r="H579" s="1" t="s">
        <v>13</v>
      </c>
      <c r="I579" s="1" t="s">
        <v>14</v>
      </c>
      <c r="J579" s="14">
        <v>0.56976851851851851</v>
      </c>
      <c r="K579" s="15">
        <v>45514</v>
      </c>
      <c r="M579" s="2">
        <v>3.1949999999999998</v>
      </c>
      <c r="O579" s="2">
        <f t="shared" si="55"/>
        <v>3.13</v>
      </c>
      <c r="P579" s="2">
        <f t="shared" si="56"/>
        <v>57.917534942820836</v>
      </c>
      <c r="Q579" s="2">
        <f t="shared" si="57"/>
        <v>0.28100000000001896</v>
      </c>
      <c r="R579" s="2">
        <f t="shared" si="58"/>
        <v>0.2896588310038315</v>
      </c>
      <c r="S579" s="2">
        <f t="shared" si="59"/>
        <v>-8.6588310038125393E-3</v>
      </c>
    </row>
    <row r="580" spans="2:19" x14ac:dyDescent="0.25">
      <c r="B580" s="1">
        <f t="shared" si="60"/>
        <v>574</v>
      </c>
      <c r="C580" s="1">
        <v>901</v>
      </c>
      <c r="D580" s="13">
        <v>56.2</v>
      </c>
      <c r="E580" s="1" t="s">
        <v>11</v>
      </c>
      <c r="F580" s="2">
        <v>3.27</v>
      </c>
      <c r="G580" s="1" t="s">
        <v>12</v>
      </c>
      <c r="H580" s="1" t="s">
        <v>13</v>
      </c>
      <c r="I580" s="1" t="s">
        <v>14</v>
      </c>
      <c r="J580" s="14">
        <v>0.56976851851851851</v>
      </c>
      <c r="K580" s="15">
        <v>45514</v>
      </c>
      <c r="M580" s="2">
        <v>3.2</v>
      </c>
      <c r="O580" s="2">
        <f t="shared" si="55"/>
        <v>3.1350000000000002</v>
      </c>
      <c r="P580" s="2">
        <f t="shared" si="56"/>
        <v>57.945997458703943</v>
      </c>
      <c r="Q580" s="2">
        <f t="shared" si="57"/>
        <v>0.281249999999994</v>
      </c>
      <c r="R580" s="2">
        <f t="shared" si="58"/>
        <v>0.28980114358322129</v>
      </c>
      <c r="S580" s="2">
        <f t="shared" si="59"/>
        <v>-8.5511435832272831E-3</v>
      </c>
    </row>
    <row r="581" spans="2:19" x14ac:dyDescent="0.25">
      <c r="B581" s="1">
        <f t="shared" si="60"/>
        <v>575</v>
      </c>
      <c r="C581" s="1">
        <v>904</v>
      </c>
      <c r="D581" s="13">
        <v>56.3</v>
      </c>
      <c r="E581" s="1" t="s">
        <v>11</v>
      </c>
      <c r="F581" s="2">
        <v>3.2749999999999999</v>
      </c>
      <c r="G581" s="1" t="s">
        <v>12</v>
      </c>
      <c r="H581" s="1" t="s">
        <v>13</v>
      </c>
      <c r="I581" s="1" t="s">
        <v>14</v>
      </c>
      <c r="J581" s="14">
        <v>0.56976851851851851</v>
      </c>
      <c r="K581" s="15">
        <v>45514</v>
      </c>
      <c r="M581" s="2">
        <v>3.2050000000000001</v>
      </c>
      <c r="O581" s="2">
        <f t="shared" si="55"/>
        <v>3.14</v>
      </c>
      <c r="P581" s="2">
        <f t="shared" si="56"/>
        <v>57.974459974587042</v>
      </c>
      <c r="Q581" s="2">
        <f t="shared" si="57"/>
        <v>0.28149999999999398</v>
      </c>
      <c r="R581" s="2">
        <f t="shared" si="58"/>
        <v>0.28994345616263678</v>
      </c>
      <c r="S581" s="2">
        <f t="shared" si="59"/>
        <v>-8.443456162642804E-3</v>
      </c>
    </row>
    <row r="582" spans="2:19" x14ac:dyDescent="0.25">
      <c r="B582" s="1">
        <f t="shared" si="60"/>
        <v>576</v>
      </c>
      <c r="C582" s="1">
        <v>908</v>
      </c>
      <c r="D582" s="13">
        <v>56.3</v>
      </c>
      <c r="E582" s="1" t="s">
        <v>11</v>
      </c>
      <c r="F582" s="2">
        <v>3.28</v>
      </c>
      <c r="G582" s="1" t="s">
        <v>12</v>
      </c>
      <c r="H582" s="1" t="s">
        <v>13</v>
      </c>
      <c r="I582" s="1" t="s">
        <v>14</v>
      </c>
      <c r="J582" s="14">
        <v>0.56978009259259255</v>
      </c>
      <c r="K582" s="15">
        <v>45514</v>
      </c>
      <c r="M582" s="2">
        <v>3.21</v>
      </c>
      <c r="O582" s="2">
        <f t="shared" si="55"/>
        <v>3.145</v>
      </c>
      <c r="P582" s="2">
        <f t="shared" si="56"/>
        <v>58.002922490470141</v>
      </c>
      <c r="Q582" s="2">
        <f t="shared" si="57"/>
        <v>0.28149999999999398</v>
      </c>
      <c r="R582" s="2">
        <f t="shared" si="58"/>
        <v>0.29008576874205227</v>
      </c>
      <c r="S582" s="2">
        <f t="shared" si="59"/>
        <v>-8.5857687420582973E-3</v>
      </c>
    </row>
    <row r="583" spans="2:19" x14ac:dyDescent="0.25">
      <c r="B583" s="1">
        <f t="shared" si="60"/>
        <v>577</v>
      </c>
      <c r="C583" s="1">
        <v>917</v>
      </c>
      <c r="D583" s="13">
        <v>56.3</v>
      </c>
      <c r="E583" s="1" t="s">
        <v>11</v>
      </c>
      <c r="F583" s="2">
        <v>3.2850000000000001</v>
      </c>
      <c r="G583" s="1" t="s">
        <v>12</v>
      </c>
      <c r="H583" s="1" t="s">
        <v>13</v>
      </c>
      <c r="I583" s="1" t="s">
        <v>14</v>
      </c>
      <c r="J583" s="14">
        <v>0.5697916666666667</v>
      </c>
      <c r="K583" s="15">
        <v>45514</v>
      </c>
      <c r="M583" s="2">
        <v>3.2149999999999999</v>
      </c>
      <c r="O583" s="2">
        <f t="shared" si="55"/>
        <v>3.15</v>
      </c>
      <c r="P583" s="2">
        <f t="shared" si="56"/>
        <v>58.03138500635324</v>
      </c>
      <c r="Q583" s="2">
        <f t="shared" si="57"/>
        <v>0.28150000000001901</v>
      </c>
      <c r="R583" s="2">
        <f t="shared" si="58"/>
        <v>0.29022808132149358</v>
      </c>
      <c r="S583" s="2">
        <f t="shared" si="59"/>
        <v>-8.7280813214745678E-3</v>
      </c>
    </row>
    <row r="584" spans="2:19" x14ac:dyDescent="0.25">
      <c r="B584" s="1">
        <f t="shared" si="60"/>
        <v>578</v>
      </c>
      <c r="C584" s="1">
        <v>923</v>
      </c>
      <c r="D584" s="13">
        <v>56.3</v>
      </c>
      <c r="E584" s="1" t="s">
        <v>11</v>
      </c>
      <c r="F584" s="2">
        <v>3.29</v>
      </c>
      <c r="G584" s="1" t="s">
        <v>12</v>
      </c>
      <c r="H584" s="1" t="s">
        <v>13</v>
      </c>
      <c r="I584" s="1" t="s">
        <v>14</v>
      </c>
      <c r="J584" s="14">
        <v>0.5697916666666667</v>
      </c>
      <c r="K584" s="15">
        <v>45514</v>
      </c>
      <c r="M584" s="2">
        <v>3.22</v>
      </c>
      <c r="O584" s="2">
        <f t="shared" ref="O584:O647" si="61">M584-$X$23</f>
        <v>3.1550000000000002</v>
      </c>
      <c r="P584" s="2">
        <f t="shared" ref="P584:P647" si="62">O584*$AC$21+$Y$23</f>
        <v>58.059847522236339</v>
      </c>
      <c r="Q584" s="2">
        <f t="shared" ref="Q584:Q647" si="63">((D584+D585)/2)*(M585-M584)</f>
        <v>0.28174999999999395</v>
      </c>
      <c r="R584" s="2">
        <f t="shared" ref="R584:R647" si="64">((P584+P585)/2)*(O585-O584)</f>
        <v>0.29037039390088326</v>
      </c>
      <c r="S584" s="2">
        <f t="shared" ref="S584:S647" si="65">Q584-R584</f>
        <v>-8.6203939008893116E-3</v>
      </c>
    </row>
    <row r="585" spans="2:19" x14ac:dyDescent="0.25">
      <c r="B585" s="1">
        <f t="shared" ref="B585:B648" si="66">B584+1</f>
        <v>579</v>
      </c>
      <c r="C585" s="1">
        <v>927</v>
      </c>
      <c r="D585" s="13">
        <v>56.4</v>
      </c>
      <c r="E585" s="1" t="s">
        <v>11</v>
      </c>
      <c r="F585" s="2">
        <v>3.2949999999999999</v>
      </c>
      <c r="G585" s="1" t="s">
        <v>12</v>
      </c>
      <c r="H585" s="1" t="s">
        <v>13</v>
      </c>
      <c r="I585" s="1" t="s">
        <v>14</v>
      </c>
      <c r="J585" s="14">
        <v>0.56980324074074074</v>
      </c>
      <c r="K585" s="15">
        <v>45514</v>
      </c>
      <c r="M585" s="2">
        <v>3.2250000000000001</v>
      </c>
      <c r="O585" s="2">
        <f t="shared" si="61"/>
        <v>3.16</v>
      </c>
      <c r="P585" s="2">
        <f t="shared" si="62"/>
        <v>58.088310038119445</v>
      </c>
      <c r="Q585" s="2">
        <f t="shared" si="63"/>
        <v>0.28199999999999398</v>
      </c>
      <c r="R585" s="2">
        <f t="shared" si="64"/>
        <v>0.29051270648029875</v>
      </c>
      <c r="S585" s="2">
        <f t="shared" si="65"/>
        <v>-8.5127064803047769E-3</v>
      </c>
    </row>
    <row r="586" spans="2:19" x14ac:dyDescent="0.25">
      <c r="B586" s="1">
        <f t="shared" si="66"/>
        <v>580</v>
      </c>
      <c r="C586" s="1">
        <v>929</v>
      </c>
      <c r="D586" s="13">
        <v>56.4</v>
      </c>
      <c r="E586" s="1" t="s">
        <v>11</v>
      </c>
      <c r="F586" s="2">
        <v>3.3</v>
      </c>
      <c r="G586" s="1" t="s">
        <v>12</v>
      </c>
      <c r="H586" s="1" t="s">
        <v>13</v>
      </c>
      <c r="I586" s="1" t="s">
        <v>14</v>
      </c>
      <c r="J586" s="14">
        <v>0.56980324074074074</v>
      </c>
      <c r="K586" s="15">
        <v>45514</v>
      </c>
      <c r="M586" s="2">
        <v>3.23</v>
      </c>
      <c r="O586" s="2">
        <f t="shared" si="61"/>
        <v>3.165</v>
      </c>
      <c r="P586" s="2">
        <f t="shared" si="62"/>
        <v>58.116772554002544</v>
      </c>
      <c r="Q586" s="2">
        <f t="shared" si="63"/>
        <v>0.28199999999999398</v>
      </c>
      <c r="R586" s="2">
        <f t="shared" si="64"/>
        <v>0.2906550190597143</v>
      </c>
      <c r="S586" s="2">
        <f t="shared" si="65"/>
        <v>-8.6550190597203258E-3</v>
      </c>
    </row>
    <row r="587" spans="2:19" x14ac:dyDescent="0.25">
      <c r="B587" s="1">
        <f t="shared" si="66"/>
        <v>581</v>
      </c>
      <c r="C587" s="1">
        <v>931</v>
      </c>
      <c r="D587" s="13">
        <v>56.4</v>
      </c>
      <c r="E587" s="1" t="s">
        <v>11</v>
      </c>
      <c r="F587" s="2">
        <v>3.3050000000000002</v>
      </c>
      <c r="G587" s="1" t="s">
        <v>12</v>
      </c>
      <c r="H587" s="1" t="s">
        <v>13</v>
      </c>
      <c r="I587" s="1" t="s">
        <v>14</v>
      </c>
      <c r="J587" s="14">
        <v>0.56980324074074074</v>
      </c>
      <c r="K587" s="15">
        <v>45514</v>
      </c>
      <c r="M587" s="2">
        <v>3.2349999999999999</v>
      </c>
      <c r="O587" s="2">
        <f t="shared" si="61"/>
        <v>3.17</v>
      </c>
      <c r="P587" s="2">
        <f t="shared" si="62"/>
        <v>58.145235069885643</v>
      </c>
      <c r="Q587" s="2">
        <f t="shared" si="63"/>
        <v>0.28225000000001904</v>
      </c>
      <c r="R587" s="2">
        <f t="shared" si="64"/>
        <v>0.29079733163915561</v>
      </c>
      <c r="S587" s="2">
        <f t="shared" si="65"/>
        <v>-8.5473316391365683E-3</v>
      </c>
    </row>
    <row r="588" spans="2:19" x14ac:dyDescent="0.25">
      <c r="B588" s="1">
        <f t="shared" si="66"/>
        <v>582</v>
      </c>
      <c r="C588" s="1">
        <v>932</v>
      </c>
      <c r="D588" s="13">
        <v>56.5</v>
      </c>
      <c r="E588" s="1" t="s">
        <v>11</v>
      </c>
      <c r="F588" s="2">
        <v>3.31</v>
      </c>
      <c r="G588" s="1" t="s">
        <v>12</v>
      </c>
      <c r="H588" s="1" t="s">
        <v>13</v>
      </c>
      <c r="I588" s="1" t="s">
        <v>14</v>
      </c>
      <c r="J588" s="14">
        <v>0.56980324074074074</v>
      </c>
      <c r="K588" s="15">
        <v>45514</v>
      </c>
      <c r="M588" s="2">
        <v>3.24</v>
      </c>
      <c r="O588" s="2">
        <f t="shared" si="61"/>
        <v>3.1750000000000003</v>
      </c>
      <c r="P588" s="2">
        <f t="shared" si="62"/>
        <v>58.17369758576875</v>
      </c>
      <c r="Q588" s="2">
        <f t="shared" si="63"/>
        <v>0.28249999999999398</v>
      </c>
      <c r="R588" s="2">
        <f t="shared" si="64"/>
        <v>0.29093964421854529</v>
      </c>
      <c r="S588" s="2">
        <f t="shared" si="65"/>
        <v>-8.4396442185513121E-3</v>
      </c>
    </row>
    <row r="589" spans="2:19" x14ac:dyDescent="0.25">
      <c r="B589" s="1">
        <f t="shared" si="66"/>
        <v>583</v>
      </c>
      <c r="C589" s="1">
        <v>933</v>
      </c>
      <c r="D589" s="13">
        <v>56.5</v>
      </c>
      <c r="E589" s="1" t="s">
        <v>11</v>
      </c>
      <c r="F589" s="2">
        <v>3.3149999999999999</v>
      </c>
      <c r="G589" s="1" t="s">
        <v>12</v>
      </c>
      <c r="H589" s="1" t="s">
        <v>13</v>
      </c>
      <c r="I589" s="1" t="s">
        <v>14</v>
      </c>
      <c r="J589" s="14">
        <v>0.56980324074074074</v>
      </c>
      <c r="K589" s="15">
        <v>45514</v>
      </c>
      <c r="M589" s="2">
        <v>3.2450000000000001</v>
      </c>
      <c r="O589" s="2">
        <f t="shared" si="61"/>
        <v>3.18</v>
      </c>
      <c r="P589" s="2">
        <f t="shared" si="62"/>
        <v>58.202160101651842</v>
      </c>
      <c r="Q589" s="2">
        <f t="shared" si="63"/>
        <v>0.28249999999999398</v>
      </c>
      <c r="R589" s="2">
        <f t="shared" si="64"/>
        <v>0.29108195679796078</v>
      </c>
      <c r="S589" s="2">
        <f t="shared" si="65"/>
        <v>-8.5819567979668054E-3</v>
      </c>
    </row>
    <row r="590" spans="2:19" x14ac:dyDescent="0.25">
      <c r="B590" s="1">
        <f t="shared" si="66"/>
        <v>584</v>
      </c>
      <c r="C590" s="1">
        <v>934</v>
      </c>
      <c r="D590" s="13">
        <v>56.5</v>
      </c>
      <c r="E590" s="1" t="s">
        <v>11</v>
      </c>
      <c r="F590" s="2">
        <v>3.32</v>
      </c>
      <c r="G590" s="1" t="s">
        <v>12</v>
      </c>
      <c r="H590" s="1" t="s">
        <v>13</v>
      </c>
      <c r="I590" s="1" t="s">
        <v>14</v>
      </c>
      <c r="J590" s="14">
        <v>0.56980324074074074</v>
      </c>
      <c r="K590" s="15">
        <v>45514</v>
      </c>
      <c r="M590" s="2">
        <v>3.25</v>
      </c>
      <c r="O590" s="2">
        <f t="shared" si="61"/>
        <v>3.1850000000000001</v>
      </c>
      <c r="P590" s="2">
        <f t="shared" si="62"/>
        <v>58.230622617534948</v>
      </c>
      <c r="Q590" s="2">
        <f t="shared" si="63"/>
        <v>0.28274999999999395</v>
      </c>
      <c r="R590" s="2">
        <f t="shared" si="64"/>
        <v>0.29122426937737628</v>
      </c>
      <c r="S590" s="2">
        <f t="shared" si="65"/>
        <v>-8.4742693773823263E-3</v>
      </c>
    </row>
    <row r="591" spans="2:19" x14ac:dyDescent="0.25">
      <c r="B591" s="1">
        <f t="shared" si="66"/>
        <v>585</v>
      </c>
      <c r="C591" s="1">
        <v>935</v>
      </c>
      <c r="D591" s="13">
        <v>56.6</v>
      </c>
      <c r="E591" s="1" t="s">
        <v>11</v>
      </c>
      <c r="F591" s="2">
        <v>3.3250000000000002</v>
      </c>
      <c r="G591" s="1" t="s">
        <v>12</v>
      </c>
      <c r="H591" s="1" t="s">
        <v>13</v>
      </c>
      <c r="I591" s="1" t="s">
        <v>14</v>
      </c>
      <c r="J591" s="14">
        <v>0.56980324074074074</v>
      </c>
      <c r="K591" s="15">
        <v>45514</v>
      </c>
      <c r="M591" s="2">
        <v>3.2549999999999999</v>
      </c>
      <c r="O591" s="2">
        <f t="shared" si="61"/>
        <v>3.19</v>
      </c>
      <c r="P591" s="2">
        <f t="shared" si="62"/>
        <v>58.25908513341804</v>
      </c>
      <c r="Q591" s="2">
        <f t="shared" si="63"/>
        <v>0.28299999999999398</v>
      </c>
      <c r="R591" s="2">
        <f t="shared" si="64"/>
        <v>0.29136658195679177</v>
      </c>
      <c r="S591" s="2">
        <f t="shared" si="65"/>
        <v>-8.3665819567977917E-3</v>
      </c>
    </row>
    <row r="592" spans="2:19" x14ac:dyDescent="0.25">
      <c r="B592" s="1">
        <f t="shared" si="66"/>
        <v>586</v>
      </c>
      <c r="C592" s="1">
        <v>936</v>
      </c>
      <c r="D592" s="13">
        <v>56.6</v>
      </c>
      <c r="E592" s="1" t="s">
        <v>11</v>
      </c>
      <c r="F592" s="2">
        <v>3.33</v>
      </c>
      <c r="G592" s="1" t="s">
        <v>12</v>
      </c>
      <c r="H592" s="1" t="s">
        <v>13</v>
      </c>
      <c r="I592" s="1" t="s">
        <v>14</v>
      </c>
      <c r="J592" s="14">
        <v>0.56981481481481477</v>
      </c>
      <c r="K592" s="15">
        <v>45514</v>
      </c>
      <c r="M592" s="2">
        <v>3.26</v>
      </c>
      <c r="O592" s="2">
        <f t="shared" si="61"/>
        <v>3.1949999999999998</v>
      </c>
      <c r="P592" s="2">
        <f t="shared" si="62"/>
        <v>58.287547649301146</v>
      </c>
      <c r="Q592" s="2">
        <f t="shared" si="63"/>
        <v>0.28300000000001913</v>
      </c>
      <c r="R592" s="2">
        <f t="shared" si="64"/>
        <v>0.29150889453623313</v>
      </c>
      <c r="S592" s="2">
        <f t="shared" si="65"/>
        <v>-8.5088945362140067E-3</v>
      </c>
    </row>
    <row r="593" spans="2:19" x14ac:dyDescent="0.25">
      <c r="B593" s="1">
        <f t="shared" si="66"/>
        <v>587</v>
      </c>
      <c r="C593" s="1">
        <v>937</v>
      </c>
      <c r="D593" s="13">
        <v>56.6</v>
      </c>
      <c r="E593" s="1" t="s">
        <v>11</v>
      </c>
      <c r="F593" s="2">
        <v>3.335</v>
      </c>
      <c r="G593" s="1" t="s">
        <v>12</v>
      </c>
      <c r="H593" s="1" t="s">
        <v>13</v>
      </c>
      <c r="I593" s="1" t="s">
        <v>14</v>
      </c>
      <c r="J593" s="14">
        <v>0.56981481481481477</v>
      </c>
      <c r="K593" s="15">
        <v>45514</v>
      </c>
      <c r="M593" s="2">
        <v>3.2650000000000001</v>
      </c>
      <c r="O593" s="2">
        <f t="shared" si="61"/>
        <v>3.2</v>
      </c>
      <c r="P593" s="2">
        <f t="shared" si="62"/>
        <v>58.316010165184245</v>
      </c>
      <c r="Q593" s="2">
        <f t="shared" si="63"/>
        <v>0.28324999999999401</v>
      </c>
      <c r="R593" s="2">
        <f t="shared" si="64"/>
        <v>0.29165120711562276</v>
      </c>
      <c r="S593" s="2">
        <f t="shared" si="65"/>
        <v>-8.4012071156287504E-3</v>
      </c>
    </row>
    <row r="594" spans="2:19" x14ac:dyDescent="0.25">
      <c r="B594" s="1">
        <f t="shared" si="66"/>
        <v>588</v>
      </c>
      <c r="C594" s="1">
        <v>938</v>
      </c>
      <c r="D594" s="13">
        <v>56.7</v>
      </c>
      <c r="E594" s="1" t="s">
        <v>11</v>
      </c>
      <c r="F594" s="2">
        <v>3.34</v>
      </c>
      <c r="G594" s="1" t="s">
        <v>12</v>
      </c>
      <c r="H594" s="1" t="s">
        <v>13</v>
      </c>
      <c r="I594" s="1" t="s">
        <v>14</v>
      </c>
      <c r="J594" s="14">
        <v>0.56981481481481477</v>
      </c>
      <c r="K594" s="15">
        <v>45514</v>
      </c>
      <c r="M594" s="2">
        <v>3.27</v>
      </c>
      <c r="O594" s="2">
        <f t="shared" si="61"/>
        <v>3.2050000000000001</v>
      </c>
      <c r="P594" s="2">
        <f t="shared" si="62"/>
        <v>58.344472681067344</v>
      </c>
      <c r="Q594" s="2">
        <f t="shared" si="63"/>
        <v>0.28349999999999398</v>
      </c>
      <c r="R594" s="2">
        <f t="shared" si="64"/>
        <v>0.29179351969503825</v>
      </c>
      <c r="S594" s="2">
        <f t="shared" si="65"/>
        <v>-8.2935196950442713E-3</v>
      </c>
    </row>
    <row r="595" spans="2:19" x14ac:dyDescent="0.25">
      <c r="B595" s="1">
        <f t="shared" si="66"/>
        <v>589</v>
      </c>
      <c r="C595" s="1">
        <v>939</v>
      </c>
      <c r="D595" s="13">
        <v>56.7</v>
      </c>
      <c r="E595" s="1" t="s">
        <v>11</v>
      </c>
      <c r="F595" s="2">
        <v>3.3450000000000002</v>
      </c>
      <c r="G595" s="1" t="s">
        <v>12</v>
      </c>
      <c r="H595" s="1" t="s">
        <v>13</v>
      </c>
      <c r="I595" s="1" t="s">
        <v>14</v>
      </c>
      <c r="J595" s="14">
        <v>0.56981481481481477</v>
      </c>
      <c r="K595" s="15">
        <v>45514</v>
      </c>
      <c r="M595" s="2">
        <v>3.2749999999999999</v>
      </c>
      <c r="O595" s="2">
        <f t="shared" si="61"/>
        <v>3.21</v>
      </c>
      <c r="P595" s="2">
        <f t="shared" si="62"/>
        <v>58.372935196950451</v>
      </c>
      <c r="Q595" s="2">
        <f t="shared" si="63"/>
        <v>0.28349999999999398</v>
      </c>
      <c r="R595" s="2">
        <f t="shared" si="64"/>
        <v>0.29193583227445374</v>
      </c>
      <c r="S595" s="2">
        <f t="shared" si="65"/>
        <v>-8.4358322744597647E-3</v>
      </c>
    </row>
    <row r="596" spans="2:19" x14ac:dyDescent="0.25">
      <c r="B596" s="1">
        <f t="shared" si="66"/>
        <v>590</v>
      </c>
      <c r="C596" s="1">
        <v>941</v>
      </c>
      <c r="D596" s="13">
        <v>56.7</v>
      </c>
      <c r="E596" s="1" t="s">
        <v>11</v>
      </c>
      <c r="F596" s="2">
        <v>3.35</v>
      </c>
      <c r="G596" s="1" t="s">
        <v>12</v>
      </c>
      <c r="H596" s="1" t="s">
        <v>13</v>
      </c>
      <c r="I596" s="1" t="s">
        <v>14</v>
      </c>
      <c r="J596" s="14">
        <v>0.56981481481481477</v>
      </c>
      <c r="K596" s="15">
        <v>45514</v>
      </c>
      <c r="M596" s="2">
        <v>3.28</v>
      </c>
      <c r="O596" s="2">
        <f t="shared" si="61"/>
        <v>3.2149999999999999</v>
      </c>
      <c r="P596" s="2">
        <f t="shared" si="62"/>
        <v>58.401397712833543</v>
      </c>
      <c r="Q596" s="2">
        <f t="shared" si="63"/>
        <v>0.28350000000001913</v>
      </c>
      <c r="R596" s="2">
        <f t="shared" si="64"/>
        <v>0.29207814485389522</v>
      </c>
      <c r="S596" s="2">
        <f t="shared" si="65"/>
        <v>-8.5781448538760907E-3</v>
      </c>
    </row>
    <row r="597" spans="2:19" x14ac:dyDescent="0.25">
      <c r="B597" s="1">
        <f t="shared" si="66"/>
        <v>591</v>
      </c>
      <c r="C597" s="1">
        <v>942</v>
      </c>
      <c r="D597" s="13">
        <v>56.7</v>
      </c>
      <c r="E597" s="1" t="s">
        <v>11</v>
      </c>
      <c r="F597" s="2">
        <v>3.355</v>
      </c>
      <c r="G597" s="1" t="s">
        <v>12</v>
      </c>
      <c r="H597" s="1" t="s">
        <v>13</v>
      </c>
      <c r="I597" s="1" t="s">
        <v>14</v>
      </c>
      <c r="J597" s="14">
        <v>0.56981481481481477</v>
      </c>
      <c r="K597" s="15">
        <v>45514</v>
      </c>
      <c r="M597" s="2">
        <v>3.2850000000000001</v>
      </c>
      <c r="O597" s="2">
        <f t="shared" si="61"/>
        <v>3.22</v>
      </c>
      <c r="P597" s="2">
        <f t="shared" si="62"/>
        <v>58.429860228716649</v>
      </c>
      <c r="Q597" s="2">
        <f t="shared" si="63"/>
        <v>0.28374999999999395</v>
      </c>
      <c r="R597" s="2">
        <f t="shared" si="64"/>
        <v>0.29222045743328473</v>
      </c>
      <c r="S597" s="2">
        <f t="shared" si="65"/>
        <v>-8.4704574332907789E-3</v>
      </c>
    </row>
    <row r="598" spans="2:19" x14ac:dyDescent="0.25">
      <c r="B598" s="1">
        <f t="shared" si="66"/>
        <v>592</v>
      </c>
      <c r="C598" s="1">
        <v>944</v>
      </c>
      <c r="D598" s="13">
        <v>56.8</v>
      </c>
      <c r="E598" s="1" t="s">
        <v>11</v>
      </c>
      <c r="F598" s="2">
        <v>3.36</v>
      </c>
      <c r="G598" s="1" t="s">
        <v>12</v>
      </c>
      <c r="H598" s="1" t="s">
        <v>13</v>
      </c>
      <c r="I598" s="1" t="s">
        <v>14</v>
      </c>
      <c r="J598" s="14">
        <v>0.56981481481481477</v>
      </c>
      <c r="K598" s="15">
        <v>45514</v>
      </c>
      <c r="M598" s="2">
        <v>3.29</v>
      </c>
      <c r="O598" s="2">
        <f t="shared" si="61"/>
        <v>3.2250000000000001</v>
      </c>
      <c r="P598" s="2">
        <f t="shared" si="62"/>
        <v>58.458322744599748</v>
      </c>
      <c r="Q598" s="2">
        <f t="shared" si="63"/>
        <v>0.2842499999999939</v>
      </c>
      <c r="R598" s="2">
        <f t="shared" si="64"/>
        <v>0.29236277001270028</v>
      </c>
      <c r="S598" s="2">
        <f t="shared" si="65"/>
        <v>-8.1127700127063829E-3</v>
      </c>
    </row>
    <row r="599" spans="2:19" x14ac:dyDescent="0.25">
      <c r="B599" s="1">
        <f t="shared" si="66"/>
        <v>593</v>
      </c>
      <c r="C599" s="1">
        <v>945</v>
      </c>
      <c r="D599" s="13">
        <v>56.9</v>
      </c>
      <c r="E599" s="1" t="s">
        <v>11</v>
      </c>
      <c r="F599" s="2">
        <v>3.3650000000000002</v>
      </c>
      <c r="G599" s="1" t="s">
        <v>12</v>
      </c>
      <c r="H599" s="1" t="s">
        <v>13</v>
      </c>
      <c r="I599" s="1" t="s">
        <v>14</v>
      </c>
      <c r="J599" s="14">
        <v>0.56981481481481477</v>
      </c>
      <c r="K599" s="15">
        <v>45514</v>
      </c>
      <c r="M599" s="2">
        <v>3.2949999999999999</v>
      </c>
      <c r="O599" s="2">
        <f t="shared" si="61"/>
        <v>3.23</v>
      </c>
      <c r="P599" s="2">
        <f t="shared" si="62"/>
        <v>58.486785260482847</v>
      </c>
      <c r="Q599" s="2">
        <f t="shared" si="63"/>
        <v>0.28449999999999392</v>
      </c>
      <c r="R599" s="2">
        <f t="shared" si="64"/>
        <v>0.29250508259211572</v>
      </c>
      <c r="S599" s="2">
        <f t="shared" si="65"/>
        <v>-8.0050825921217927E-3</v>
      </c>
    </row>
    <row r="600" spans="2:19" x14ac:dyDescent="0.25">
      <c r="B600" s="1">
        <f t="shared" si="66"/>
        <v>594</v>
      </c>
      <c r="C600" s="1">
        <v>946</v>
      </c>
      <c r="D600" s="13">
        <v>56.9</v>
      </c>
      <c r="E600" s="1" t="s">
        <v>11</v>
      </c>
      <c r="F600" s="2">
        <v>3.37</v>
      </c>
      <c r="G600" s="1" t="s">
        <v>12</v>
      </c>
      <c r="H600" s="1" t="s">
        <v>13</v>
      </c>
      <c r="I600" s="1" t="s">
        <v>14</v>
      </c>
      <c r="J600" s="14">
        <v>0.56982638888888892</v>
      </c>
      <c r="K600" s="15">
        <v>45514</v>
      </c>
      <c r="M600" s="2">
        <v>3.3</v>
      </c>
      <c r="O600" s="2">
        <f t="shared" si="61"/>
        <v>3.2349999999999999</v>
      </c>
      <c r="P600" s="2">
        <f t="shared" si="62"/>
        <v>58.515247776365946</v>
      </c>
      <c r="Q600" s="2">
        <f t="shared" si="63"/>
        <v>0.28500000000001924</v>
      </c>
      <c r="R600" s="2">
        <f t="shared" si="64"/>
        <v>0.29264739517155725</v>
      </c>
      <c r="S600" s="2">
        <f t="shared" si="65"/>
        <v>-7.6473951715380073E-3</v>
      </c>
    </row>
    <row r="601" spans="2:19" x14ac:dyDescent="0.25">
      <c r="B601" s="1">
        <f t="shared" si="66"/>
        <v>595</v>
      </c>
      <c r="C601" s="1">
        <v>948</v>
      </c>
      <c r="D601" s="13">
        <v>57.1</v>
      </c>
      <c r="E601" s="1" t="s">
        <v>11</v>
      </c>
      <c r="F601" s="2">
        <v>3.375</v>
      </c>
      <c r="G601" s="1" t="s">
        <v>12</v>
      </c>
      <c r="H601" s="1" t="s">
        <v>13</v>
      </c>
      <c r="I601" s="1" t="s">
        <v>14</v>
      </c>
      <c r="J601" s="14">
        <v>0.56982638888888892</v>
      </c>
      <c r="K601" s="15">
        <v>45514</v>
      </c>
      <c r="M601" s="2">
        <v>3.3050000000000002</v>
      </c>
      <c r="O601" s="2">
        <f t="shared" si="61"/>
        <v>3.24</v>
      </c>
      <c r="P601" s="2">
        <f t="shared" si="62"/>
        <v>58.543710292249045</v>
      </c>
      <c r="Q601" s="2">
        <f t="shared" si="63"/>
        <v>0.28549999999999393</v>
      </c>
      <c r="R601" s="2">
        <f t="shared" si="64"/>
        <v>0.29278970775094676</v>
      </c>
      <c r="S601" s="2">
        <f t="shared" si="65"/>
        <v>-7.2897077509528341E-3</v>
      </c>
    </row>
    <row r="602" spans="2:19" x14ac:dyDescent="0.25">
      <c r="B602" s="1">
        <f t="shared" si="66"/>
        <v>596</v>
      </c>
      <c r="C602" s="1">
        <v>949</v>
      </c>
      <c r="D602" s="13">
        <v>57.1</v>
      </c>
      <c r="E602" s="1" t="s">
        <v>11</v>
      </c>
      <c r="F602" s="2">
        <v>3.38</v>
      </c>
      <c r="G602" s="1" t="s">
        <v>12</v>
      </c>
      <c r="H602" s="1" t="s">
        <v>13</v>
      </c>
      <c r="I602" s="1" t="s">
        <v>14</v>
      </c>
      <c r="J602" s="14">
        <v>0.56982638888888892</v>
      </c>
      <c r="K602" s="15">
        <v>45514</v>
      </c>
      <c r="M602" s="2">
        <v>3.31</v>
      </c>
      <c r="O602" s="2">
        <f t="shared" si="61"/>
        <v>3.2450000000000001</v>
      </c>
      <c r="P602" s="2">
        <f t="shared" si="62"/>
        <v>58.572172808132152</v>
      </c>
      <c r="Q602" s="2">
        <f t="shared" si="63"/>
        <v>0.28549999999999393</v>
      </c>
      <c r="R602" s="2">
        <f t="shared" si="64"/>
        <v>0.29293202033036225</v>
      </c>
      <c r="S602" s="2">
        <f t="shared" si="65"/>
        <v>-7.4320203303683274E-3</v>
      </c>
    </row>
    <row r="603" spans="2:19" x14ac:dyDescent="0.25">
      <c r="B603" s="1">
        <f t="shared" si="66"/>
        <v>597</v>
      </c>
      <c r="C603" s="1">
        <v>950</v>
      </c>
      <c r="D603" s="13">
        <v>57.1</v>
      </c>
      <c r="E603" s="1" t="s">
        <v>11</v>
      </c>
      <c r="F603" s="2">
        <v>3.3849999999999998</v>
      </c>
      <c r="G603" s="1" t="s">
        <v>12</v>
      </c>
      <c r="H603" s="1" t="s">
        <v>13</v>
      </c>
      <c r="I603" s="1" t="s">
        <v>14</v>
      </c>
      <c r="J603" s="14">
        <v>0.56982638888888892</v>
      </c>
      <c r="K603" s="15">
        <v>45514</v>
      </c>
      <c r="M603" s="2">
        <v>3.3149999999999999</v>
      </c>
      <c r="O603" s="2">
        <f t="shared" si="61"/>
        <v>3.25</v>
      </c>
      <c r="P603" s="2">
        <f t="shared" si="62"/>
        <v>58.600635324015251</v>
      </c>
      <c r="Q603" s="2">
        <f t="shared" si="63"/>
        <v>0.28574999999999395</v>
      </c>
      <c r="R603" s="2">
        <f t="shared" si="64"/>
        <v>0.29307433290977775</v>
      </c>
      <c r="S603" s="2">
        <f t="shared" si="65"/>
        <v>-7.3243329097837928E-3</v>
      </c>
    </row>
    <row r="604" spans="2:19" x14ac:dyDescent="0.25">
      <c r="B604" s="1">
        <f t="shared" si="66"/>
        <v>598</v>
      </c>
      <c r="C604" s="1">
        <v>951</v>
      </c>
      <c r="D604" s="13">
        <v>57.2</v>
      </c>
      <c r="E604" s="1" t="s">
        <v>11</v>
      </c>
      <c r="F604" s="2">
        <v>3.39</v>
      </c>
      <c r="G604" s="1" t="s">
        <v>12</v>
      </c>
      <c r="H604" s="1" t="s">
        <v>13</v>
      </c>
      <c r="I604" s="1" t="s">
        <v>14</v>
      </c>
      <c r="J604" s="14">
        <v>0.56982638888888892</v>
      </c>
      <c r="K604" s="15">
        <v>45514</v>
      </c>
      <c r="M604" s="2">
        <v>3.32</v>
      </c>
      <c r="O604" s="2">
        <f t="shared" si="61"/>
        <v>3.2549999999999999</v>
      </c>
      <c r="P604" s="2">
        <f t="shared" si="62"/>
        <v>58.62909783989835</v>
      </c>
      <c r="Q604" s="2">
        <f t="shared" si="63"/>
        <v>0.28625000000001932</v>
      </c>
      <c r="R604" s="2">
        <f t="shared" si="64"/>
        <v>0.29321664548921933</v>
      </c>
      <c r="S604" s="2">
        <f t="shared" si="65"/>
        <v>-6.9666454892000074E-3</v>
      </c>
    </row>
    <row r="605" spans="2:19" x14ac:dyDescent="0.25">
      <c r="B605" s="1">
        <f t="shared" si="66"/>
        <v>599</v>
      </c>
      <c r="C605" s="1">
        <v>952</v>
      </c>
      <c r="D605" s="13">
        <v>57.3</v>
      </c>
      <c r="E605" s="1" t="s">
        <v>11</v>
      </c>
      <c r="F605" s="2">
        <v>3.395</v>
      </c>
      <c r="G605" s="1" t="s">
        <v>12</v>
      </c>
      <c r="H605" s="1" t="s">
        <v>13</v>
      </c>
      <c r="I605" s="1" t="s">
        <v>14</v>
      </c>
      <c r="J605" s="14">
        <v>0.56982638888888892</v>
      </c>
      <c r="K605" s="15">
        <v>45514</v>
      </c>
      <c r="M605" s="2">
        <v>3.3250000000000002</v>
      </c>
      <c r="O605" s="2">
        <f t="shared" si="61"/>
        <v>3.2600000000000002</v>
      </c>
      <c r="P605" s="2">
        <f t="shared" si="62"/>
        <v>58.657560355781456</v>
      </c>
      <c r="Q605" s="2">
        <f t="shared" si="63"/>
        <v>0.28649999999999387</v>
      </c>
      <c r="R605" s="2">
        <f t="shared" si="64"/>
        <v>0.29335895806860873</v>
      </c>
      <c r="S605" s="2">
        <f t="shared" si="65"/>
        <v>-6.8589580686148621E-3</v>
      </c>
    </row>
    <row r="606" spans="2:19" x14ac:dyDescent="0.25">
      <c r="B606" s="1">
        <f t="shared" si="66"/>
        <v>600</v>
      </c>
      <c r="C606" s="1">
        <v>953</v>
      </c>
      <c r="D606" s="13">
        <v>57.3</v>
      </c>
      <c r="E606" s="1" t="s">
        <v>11</v>
      </c>
      <c r="F606" s="2">
        <v>3.4</v>
      </c>
      <c r="G606" s="1" t="s">
        <v>12</v>
      </c>
      <c r="H606" s="1" t="s">
        <v>13</v>
      </c>
      <c r="I606" s="1" t="s">
        <v>14</v>
      </c>
      <c r="J606" s="14">
        <v>0.56982638888888892</v>
      </c>
      <c r="K606" s="15">
        <v>45514</v>
      </c>
      <c r="M606" s="2">
        <v>3.33</v>
      </c>
      <c r="O606" s="2">
        <f t="shared" si="61"/>
        <v>3.2650000000000001</v>
      </c>
      <c r="P606" s="2">
        <f t="shared" si="62"/>
        <v>58.686022871664548</v>
      </c>
      <c r="Q606" s="2">
        <f t="shared" si="63"/>
        <v>0.28674999999999384</v>
      </c>
      <c r="R606" s="2">
        <f t="shared" si="64"/>
        <v>0.29350127064802423</v>
      </c>
      <c r="S606" s="2">
        <f t="shared" si="65"/>
        <v>-6.751270648030383E-3</v>
      </c>
    </row>
    <row r="607" spans="2:19" x14ac:dyDescent="0.25">
      <c r="B607" s="1">
        <f t="shared" si="66"/>
        <v>601</v>
      </c>
      <c r="C607" s="1">
        <v>954</v>
      </c>
      <c r="D607" s="13">
        <v>57.4</v>
      </c>
      <c r="E607" s="1" t="s">
        <v>11</v>
      </c>
      <c r="F607" s="2">
        <v>3.4049999999999998</v>
      </c>
      <c r="G607" s="1" t="s">
        <v>12</v>
      </c>
      <c r="H607" s="1" t="s">
        <v>13</v>
      </c>
      <c r="I607" s="1" t="s">
        <v>14</v>
      </c>
      <c r="J607" s="14">
        <v>0.56982638888888892</v>
      </c>
      <c r="K607" s="15">
        <v>45514</v>
      </c>
      <c r="M607" s="2">
        <v>3.335</v>
      </c>
      <c r="O607" s="2">
        <f t="shared" si="61"/>
        <v>3.27</v>
      </c>
      <c r="P607" s="2">
        <f t="shared" si="62"/>
        <v>58.714485387547654</v>
      </c>
      <c r="Q607" s="2">
        <f t="shared" si="63"/>
        <v>0.28699999999999387</v>
      </c>
      <c r="R607" s="2">
        <f t="shared" si="64"/>
        <v>0.29364358322743972</v>
      </c>
      <c r="S607" s="2">
        <f t="shared" si="65"/>
        <v>-6.6435832274458484E-3</v>
      </c>
    </row>
    <row r="608" spans="2:19" x14ac:dyDescent="0.25">
      <c r="B608" s="1">
        <f t="shared" si="66"/>
        <v>602</v>
      </c>
      <c r="C608" s="1">
        <v>955</v>
      </c>
      <c r="D608" s="13">
        <v>57.4</v>
      </c>
      <c r="E608" s="1" t="s">
        <v>11</v>
      </c>
      <c r="F608" s="2">
        <v>3.41</v>
      </c>
      <c r="G608" s="1" t="s">
        <v>12</v>
      </c>
      <c r="H608" s="1" t="s">
        <v>13</v>
      </c>
      <c r="I608" s="1" t="s">
        <v>14</v>
      </c>
      <c r="J608" s="14">
        <v>0.56982638888888892</v>
      </c>
      <c r="K608" s="15">
        <v>45514</v>
      </c>
      <c r="M608" s="2">
        <v>3.34</v>
      </c>
      <c r="O608" s="2">
        <f t="shared" si="61"/>
        <v>3.2749999999999999</v>
      </c>
      <c r="P608" s="2">
        <f t="shared" si="62"/>
        <v>58.742947903430746</v>
      </c>
      <c r="Q608" s="2">
        <f t="shared" si="63"/>
        <v>0.57450000000001333</v>
      </c>
      <c r="R608" s="2">
        <f t="shared" si="64"/>
        <v>0.58771410419315206</v>
      </c>
      <c r="S608" s="2">
        <f t="shared" si="65"/>
        <v>-1.3214104193138732E-2</v>
      </c>
    </row>
    <row r="609" spans="2:19" x14ac:dyDescent="0.25">
      <c r="B609" s="1">
        <f t="shared" si="66"/>
        <v>603</v>
      </c>
      <c r="C609" s="1">
        <v>956</v>
      </c>
      <c r="D609" s="13">
        <v>57.5</v>
      </c>
      <c r="E609" s="1" t="s">
        <v>11</v>
      </c>
      <c r="F609" s="2">
        <v>3.42</v>
      </c>
      <c r="G609" s="1" t="s">
        <v>12</v>
      </c>
      <c r="H609" s="1" t="s">
        <v>13</v>
      </c>
      <c r="I609" s="1" t="s">
        <v>14</v>
      </c>
      <c r="J609" s="14">
        <v>0.56983796296296296</v>
      </c>
      <c r="K609" s="15">
        <v>45514</v>
      </c>
      <c r="M609" s="2">
        <v>3.35</v>
      </c>
      <c r="O609" s="2">
        <f t="shared" si="61"/>
        <v>3.2850000000000001</v>
      </c>
      <c r="P609" s="2">
        <f t="shared" si="62"/>
        <v>58.799872935196952</v>
      </c>
      <c r="Q609" s="2">
        <f t="shared" si="63"/>
        <v>0.28774999999999384</v>
      </c>
      <c r="R609" s="2">
        <f t="shared" si="64"/>
        <v>0.29407052096568626</v>
      </c>
      <c r="S609" s="2">
        <f t="shared" si="65"/>
        <v>-6.3205209656924111E-3</v>
      </c>
    </row>
    <row r="610" spans="2:19" x14ac:dyDescent="0.25">
      <c r="B610" s="1">
        <f t="shared" si="66"/>
        <v>604</v>
      </c>
      <c r="C610" s="1">
        <v>957</v>
      </c>
      <c r="D610" s="13">
        <v>57.6</v>
      </c>
      <c r="E610" s="1" t="s">
        <v>11</v>
      </c>
      <c r="F610" s="2">
        <v>3.4249999999999998</v>
      </c>
      <c r="G610" s="1" t="s">
        <v>12</v>
      </c>
      <c r="H610" s="1" t="s">
        <v>13</v>
      </c>
      <c r="I610" s="1" t="s">
        <v>14</v>
      </c>
      <c r="J610" s="14">
        <v>0.56983796296296296</v>
      </c>
      <c r="K610" s="15">
        <v>45514</v>
      </c>
      <c r="M610" s="2">
        <v>3.355</v>
      </c>
      <c r="O610" s="2">
        <f t="shared" si="61"/>
        <v>3.29</v>
      </c>
      <c r="P610" s="2">
        <f t="shared" si="62"/>
        <v>58.828335451080051</v>
      </c>
      <c r="Q610" s="2">
        <f t="shared" si="63"/>
        <v>0.57600000000001328</v>
      </c>
      <c r="R610" s="2">
        <f t="shared" si="64"/>
        <v>0.58856797966964514</v>
      </c>
      <c r="S610" s="2">
        <f t="shared" si="65"/>
        <v>-1.2567979669631857E-2</v>
      </c>
    </row>
    <row r="611" spans="2:19" x14ac:dyDescent="0.25">
      <c r="B611" s="1">
        <f t="shared" si="66"/>
        <v>605</v>
      </c>
      <c r="C611" s="1">
        <v>958</v>
      </c>
      <c r="D611" s="13">
        <v>57.6</v>
      </c>
      <c r="E611" s="1" t="s">
        <v>11</v>
      </c>
      <c r="F611" s="2">
        <v>3.4350000000000001</v>
      </c>
      <c r="G611" s="1" t="s">
        <v>12</v>
      </c>
      <c r="H611" s="1" t="s">
        <v>13</v>
      </c>
      <c r="I611" s="1" t="s">
        <v>14</v>
      </c>
      <c r="J611" s="14">
        <v>0.56983796296296296</v>
      </c>
      <c r="K611" s="15">
        <v>45514</v>
      </c>
      <c r="M611" s="2">
        <v>3.3650000000000002</v>
      </c>
      <c r="O611" s="2">
        <f t="shared" si="61"/>
        <v>3.3000000000000003</v>
      </c>
      <c r="P611" s="2">
        <f t="shared" si="62"/>
        <v>58.885260482846256</v>
      </c>
      <c r="Q611" s="2">
        <f t="shared" si="63"/>
        <v>0.5764999999999878</v>
      </c>
      <c r="R611" s="2">
        <f t="shared" si="64"/>
        <v>0.58913722998728102</v>
      </c>
      <c r="S611" s="2">
        <f t="shared" si="65"/>
        <v>-1.2637229987293219E-2</v>
      </c>
    </row>
    <row r="612" spans="2:19" x14ac:dyDescent="0.25">
      <c r="B612" s="1">
        <f t="shared" si="66"/>
        <v>606</v>
      </c>
      <c r="C612" s="1">
        <v>959</v>
      </c>
      <c r="D612" s="13">
        <v>57.7</v>
      </c>
      <c r="E612" s="1" t="s">
        <v>11</v>
      </c>
      <c r="F612" s="2">
        <v>3.4449999999999998</v>
      </c>
      <c r="G612" s="1" t="s">
        <v>12</v>
      </c>
      <c r="H612" s="1" t="s">
        <v>13</v>
      </c>
      <c r="I612" s="1" t="s">
        <v>14</v>
      </c>
      <c r="J612" s="14">
        <v>0.56983796296296296</v>
      </c>
      <c r="K612" s="15">
        <v>45514</v>
      </c>
      <c r="M612" s="2">
        <v>3.375</v>
      </c>
      <c r="O612" s="2">
        <f t="shared" si="61"/>
        <v>3.31</v>
      </c>
      <c r="P612" s="2">
        <f t="shared" si="62"/>
        <v>58.942185514612454</v>
      </c>
      <c r="Q612" s="2">
        <f t="shared" si="63"/>
        <v>0.28874999999999384</v>
      </c>
      <c r="R612" s="2">
        <f t="shared" si="64"/>
        <v>0.29478208386276378</v>
      </c>
      <c r="S612" s="2">
        <f t="shared" si="65"/>
        <v>-6.0320838627699325E-3</v>
      </c>
    </row>
    <row r="613" spans="2:19" x14ac:dyDescent="0.25">
      <c r="B613" s="1">
        <f t="shared" si="66"/>
        <v>607</v>
      </c>
      <c r="C613" s="1">
        <v>960</v>
      </c>
      <c r="D613" s="13">
        <v>57.8</v>
      </c>
      <c r="E613" s="1" t="s">
        <v>11</v>
      </c>
      <c r="F613" s="2">
        <v>3.45</v>
      </c>
      <c r="G613" s="1" t="s">
        <v>12</v>
      </c>
      <c r="H613" s="1" t="s">
        <v>13</v>
      </c>
      <c r="I613" s="1" t="s">
        <v>14</v>
      </c>
      <c r="J613" s="14">
        <v>0.56983796296296296</v>
      </c>
      <c r="K613" s="15">
        <v>45514</v>
      </c>
      <c r="M613" s="2">
        <v>3.38</v>
      </c>
      <c r="O613" s="2">
        <f t="shared" si="61"/>
        <v>3.3149999999999999</v>
      </c>
      <c r="P613" s="2">
        <f t="shared" si="62"/>
        <v>58.970648030495553</v>
      </c>
      <c r="Q613" s="2">
        <f t="shared" si="63"/>
        <v>0.57800000000001328</v>
      </c>
      <c r="R613" s="2">
        <f t="shared" si="64"/>
        <v>0.58999110546380018</v>
      </c>
      <c r="S613" s="2">
        <f t="shared" si="65"/>
        <v>-1.19911054637869E-2</v>
      </c>
    </row>
    <row r="614" spans="2:19" x14ac:dyDescent="0.25">
      <c r="B614" s="1">
        <f t="shared" si="66"/>
        <v>608</v>
      </c>
      <c r="C614" s="1">
        <v>961</v>
      </c>
      <c r="D614" s="13">
        <v>57.8</v>
      </c>
      <c r="E614" s="1" t="s">
        <v>11</v>
      </c>
      <c r="F614" s="2">
        <v>3.46</v>
      </c>
      <c r="G614" s="1" t="s">
        <v>12</v>
      </c>
      <c r="H614" s="1" t="s">
        <v>13</v>
      </c>
      <c r="I614" s="1" t="s">
        <v>14</v>
      </c>
      <c r="J614" s="14">
        <v>0.56983796296296296</v>
      </c>
      <c r="K614" s="15">
        <v>45514</v>
      </c>
      <c r="M614" s="2">
        <v>3.39</v>
      </c>
      <c r="O614" s="2">
        <f t="shared" si="61"/>
        <v>3.3250000000000002</v>
      </c>
      <c r="P614" s="2">
        <f t="shared" si="62"/>
        <v>59.027573062261752</v>
      </c>
      <c r="Q614" s="2">
        <f t="shared" si="63"/>
        <v>0.28924999999999379</v>
      </c>
      <c r="R614" s="2">
        <f t="shared" si="64"/>
        <v>0.29520902160101026</v>
      </c>
      <c r="S614" s="2">
        <f t="shared" si="65"/>
        <v>-5.9590216010164676E-3</v>
      </c>
    </row>
    <row r="615" spans="2:19" x14ac:dyDescent="0.25">
      <c r="B615" s="1">
        <f t="shared" si="66"/>
        <v>609</v>
      </c>
      <c r="C615" s="1">
        <v>962</v>
      </c>
      <c r="D615" s="13">
        <v>57.9</v>
      </c>
      <c r="E615" s="1" t="s">
        <v>11</v>
      </c>
      <c r="F615" s="2">
        <v>3.4649999999999999</v>
      </c>
      <c r="G615" s="1" t="s">
        <v>12</v>
      </c>
      <c r="H615" s="1" t="s">
        <v>13</v>
      </c>
      <c r="I615" s="1" t="s">
        <v>14</v>
      </c>
      <c r="J615" s="14">
        <v>0.56983796296296296</v>
      </c>
      <c r="K615" s="15">
        <v>45514</v>
      </c>
      <c r="M615" s="2">
        <v>3.395</v>
      </c>
      <c r="O615" s="2">
        <f t="shared" si="61"/>
        <v>3.33</v>
      </c>
      <c r="P615" s="2">
        <f t="shared" si="62"/>
        <v>59.056035578144858</v>
      </c>
      <c r="Q615" s="2">
        <f t="shared" si="63"/>
        <v>0.28949999999999382</v>
      </c>
      <c r="R615" s="2">
        <f t="shared" si="64"/>
        <v>0.29535133418042575</v>
      </c>
      <c r="S615" s="2">
        <f t="shared" si="65"/>
        <v>-5.851334180431933E-3</v>
      </c>
    </row>
    <row r="616" spans="2:19" x14ac:dyDescent="0.25">
      <c r="B616" s="1">
        <f t="shared" si="66"/>
        <v>610</v>
      </c>
      <c r="C616" s="1">
        <v>963</v>
      </c>
      <c r="D616" s="13">
        <v>57.9</v>
      </c>
      <c r="E616" s="1" t="s">
        <v>11</v>
      </c>
      <c r="F616" s="2">
        <v>3.47</v>
      </c>
      <c r="G616" s="1" t="s">
        <v>12</v>
      </c>
      <c r="H616" s="1" t="s">
        <v>13</v>
      </c>
      <c r="I616" s="1" t="s">
        <v>14</v>
      </c>
      <c r="J616" s="14">
        <v>0.56983796296296296</v>
      </c>
      <c r="K616" s="15">
        <v>45514</v>
      </c>
      <c r="M616" s="2">
        <v>3.4</v>
      </c>
      <c r="O616" s="2">
        <f t="shared" si="61"/>
        <v>3.335</v>
      </c>
      <c r="P616" s="2">
        <f t="shared" si="62"/>
        <v>59.084498094027957</v>
      </c>
      <c r="Q616" s="2">
        <f t="shared" si="63"/>
        <v>0.57900000000001339</v>
      </c>
      <c r="R616" s="2">
        <f t="shared" si="64"/>
        <v>0.59112960609912424</v>
      </c>
      <c r="S616" s="2">
        <f t="shared" si="65"/>
        <v>-1.2129606099110846E-2</v>
      </c>
    </row>
    <row r="617" spans="2:19" x14ac:dyDescent="0.25">
      <c r="B617" s="1">
        <f t="shared" si="66"/>
        <v>611</v>
      </c>
      <c r="C617" s="1">
        <v>964</v>
      </c>
      <c r="D617" s="13">
        <v>57.9</v>
      </c>
      <c r="E617" s="1" t="s">
        <v>11</v>
      </c>
      <c r="F617" s="2">
        <v>3.48</v>
      </c>
      <c r="G617" s="1" t="s">
        <v>12</v>
      </c>
      <c r="H617" s="1" t="s">
        <v>13</v>
      </c>
      <c r="I617" s="1" t="s">
        <v>14</v>
      </c>
      <c r="J617" s="14">
        <v>0.56983796296296296</v>
      </c>
      <c r="K617" s="15">
        <v>45514</v>
      </c>
      <c r="M617" s="2">
        <v>3.41</v>
      </c>
      <c r="O617" s="2">
        <f t="shared" si="61"/>
        <v>3.3450000000000002</v>
      </c>
      <c r="P617" s="2">
        <f t="shared" si="62"/>
        <v>59.141423125794162</v>
      </c>
      <c r="Q617" s="2">
        <f t="shared" si="63"/>
        <v>0.28974999999999385</v>
      </c>
      <c r="R617" s="2">
        <f t="shared" si="64"/>
        <v>0.29577827191867223</v>
      </c>
      <c r="S617" s="2">
        <f t="shared" si="65"/>
        <v>-6.0282719186783851E-3</v>
      </c>
    </row>
    <row r="618" spans="2:19" x14ac:dyDescent="0.25">
      <c r="B618" s="1">
        <f t="shared" si="66"/>
        <v>612</v>
      </c>
      <c r="C618" s="1">
        <v>965</v>
      </c>
      <c r="D618" s="13">
        <v>58</v>
      </c>
      <c r="E618" s="1" t="s">
        <v>11</v>
      </c>
      <c r="F618" s="2">
        <v>3.4849999999999999</v>
      </c>
      <c r="G618" s="1" t="s">
        <v>12</v>
      </c>
      <c r="H618" s="1" t="s">
        <v>13</v>
      </c>
      <c r="I618" s="1" t="s">
        <v>14</v>
      </c>
      <c r="J618" s="14">
        <v>0.56983796296296296</v>
      </c>
      <c r="K618" s="15">
        <v>45514</v>
      </c>
      <c r="M618" s="2">
        <v>3.415</v>
      </c>
      <c r="O618" s="2">
        <f t="shared" si="61"/>
        <v>3.35</v>
      </c>
      <c r="P618" s="2">
        <f t="shared" si="62"/>
        <v>59.169885641677254</v>
      </c>
      <c r="Q618" s="2">
        <f t="shared" si="63"/>
        <v>0.28999999999999382</v>
      </c>
      <c r="R618" s="2">
        <f t="shared" si="64"/>
        <v>0.29592058449808772</v>
      </c>
      <c r="S618" s="2">
        <f t="shared" si="65"/>
        <v>-5.920584498093906E-3</v>
      </c>
    </row>
    <row r="619" spans="2:19" x14ac:dyDescent="0.25">
      <c r="B619" s="1">
        <f t="shared" si="66"/>
        <v>613</v>
      </c>
      <c r="C619" s="1">
        <v>966</v>
      </c>
      <c r="D619" s="13">
        <v>58</v>
      </c>
      <c r="E619" s="1" t="s">
        <v>11</v>
      </c>
      <c r="F619" s="2">
        <v>3.49</v>
      </c>
      <c r="G619" s="1" t="s">
        <v>12</v>
      </c>
      <c r="H619" s="1" t="s">
        <v>13</v>
      </c>
      <c r="I619" s="1" t="s">
        <v>14</v>
      </c>
      <c r="J619" s="14">
        <v>0.569849537037037</v>
      </c>
      <c r="K619" s="15">
        <v>45514</v>
      </c>
      <c r="M619" s="2">
        <v>3.42</v>
      </c>
      <c r="O619" s="2">
        <f t="shared" si="61"/>
        <v>3.355</v>
      </c>
      <c r="P619" s="2">
        <f t="shared" si="62"/>
        <v>59.198348157560361</v>
      </c>
      <c r="Q619" s="2">
        <f t="shared" si="63"/>
        <v>0.28999999999999382</v>
      </c>
      <c r="R619" s="2">
        <f t="shared" si="64"/>
        <v>0.29606289707750322</v>
      </c>
      <c r="S619" s="2">
        <f t="shared" si="65"/>
        <v>-6.0628970775093993E-3</v>
      </c>
    </row>
    <row r="620" spans="2:19" x14ac:dyDescent="0.25">
      <c r="B620" s="1">
        <f t="shared" si="66"/>
        <v>614</v>
      </c>
      <c r="C620" s="1">
        <v>967</v>
      </c>
      <c r="D620" s="13">
        <v>58</v>
      </c>
      <c r="E620" s="1" t="s">
        <v>11</v>
      </c>
      <c r="F620" s="2">
        <v>3.4950000000000001</v>
      </c>
      <c r="G620" s="1" t="s">
        <v>12</v>
      </c>
      <c r="H620" s="1" t="s">
        <v>13</v>
      </c>
      <c r="I620" s="1" t="s">
        <v>14</v>
      </c>
      <c r="J620" s="14">
        <v>0.569849537037037</v>
      </c>
      <c r="K620" s="15">
        <v>45514</v>
      </c>
      <c r="M620" s="2">
        <v>3.4249999999999998</v>
      </c>
      <c r="O620" s="2">
        <f t="shared" si="61"/>
        <v>3.36</v>
      </c>
      <c r="P620" s="2">
        <f t="shared" si="62"/>
        <v>59.226810673443453</v>
      </c>
      <c r="Q620" s="2">
        <f t="shared" si="63"/>
        <v>0.2902500000000196</v>
      </c>
      <c r="R620" s="2">
        <f t="shared" si="64"/>
        <v>0.29620520965694502</v>
      </c>
      <c r="S620" s="2">
        <f t="shared" si="65"/>
        <v>-5.9552096569254198E-3</v>
      </c>
    </row>
    <row r="621" spans="2:19" x14ac:dyDescent="0.25">
      <c r="B621" s="1">
        <f t="shared" si="66"/>
        <v>615</v>
      </c>
      <c r="C621" s="1">
        <v>969</v>
      </c>
      <c r="D621" s="13">
        <v>58.1</v>
      </c>
      <c r="E621" s="1" t="s">
        <v>11</v>
      </c>
      <c r="F621" s="2">
        <v>3.5</v>
      </c>
      <c r="G621" s="1" t="s">
        <v>12</v>
      </c>
      <c r="H621" s="1" t="s">
        <v>13</v>
      </c>
      <c r="I621" s="1" t="s">
        <v>14</v>
      </c>
      <c r="J621" s="14">
        <v>0.569849537037037</v>
      </c>
      <c r="K621" s="15">
        <v>45514</v>
      </c>
      <c r="M621" s="2">
        <v>3.43</v>
      </c>
      <c r="O621" s="2">
        <f t="shared" si="61"/>
        <v>3.3650000000000002</v>
      </c>
      <c r="P621" s="2">
        <f t="shared" si="62"/>
        <v>59.255273189326559</v>
      </c>
      <c r="Q621" s="2">
        <f t="shared" si="63"/>
        <v>0.29074999999999385</v>
      </c>
      <c r="R621" s="2">
        <f t="shared" si="64"/>
        <v>0.2963475222363342</v>
      </c>
      <c r="S621" s="2">
        <f t="shared" si="65"/>
        <v>-5.5975222363403576E-3</v>
      </c>
    </row>
    <row r="622" spans="2:19" x14ac:dyDescent="0.25">
      <c r="B622" s="1">
        <f t="shared" si="66"/>
        <v>616</v>
      </c>
      <c r="C622" s="1">
        <v>970</v>
      </c>
      <c r="D622" s="13">
        <v>58.2</v>
      </c>
      <c r="E622" s="1" t="s">
        <v>11</v>
      </c>
      <c r="F622" s="2">
        <v>3.5049999999999999</v>
      </c>
      <c r="G622" s="1" t="s">
        <v>12</v>
      </c>
      <c r="H622" s="1" t="s">
        <v>13</v>
      </c>
      <c r="I622" s="1" t="s">
        <v>14</v>
      </c>
      <c r="J622" s="14">
        <v>0.569849537037037</v>
      </c>
      <c r="K622" s="15">
        <v>45514</v>
      </c>
      <c r="M622" s="2">
        <v>3.4350000000000001</v>
      </c>
      <c r="O622" s="2">
        <f t="shared" si="61"/>
        <v>3.37</v>
      </c>
      <c r="P622" s="2">
        <f t="shared" si="62"/>
        <v>59.283735705209658</v>
      </c>
      <c r="Q622" s="2">
        <f t="shared" si="63"/>
        <v>0.29099999999999382</v>
      </c>
      <c r="R622" s="2">
        <f t="shared" si="64"/>
        <v>0.29648983481574975</v>
      </c>
      <c r="S622" s="2">
        <f t="shared" si="65"/>
        <v>-5.489834815755934E-3</v>
      </c>
    </row>
    <row r="623" spans="2:19" x14ac:dyDescent="0.25">
      <c r="B623" s="1">
        <f t="shared" si="66"/>
        <v>617</v>
      </c>
      <c r="C623" s="1">
        <v>971</v>
      </c>
      <c r="D623" s="13">
        <v>58.2</v>
      </c>
      <c r="E623" s="1" t="s">
        <v>11</v>
      </c>
      <c r="F623" s="2">
        <v>3.51</v>
      </c>
      <c r="G623" s="1" t="s">
        <v>12</v>
      </c>
      <c r="H623" s="1" t="s">
        <v>13</v>
      </c>
      <c r="I623" s="1" t="s">
        <v>14</v>
      </c>
      <c r="J623" s="14">
        <v>0.569849537037037</v>
      </c>
      <c r="K623" s="15">
        <v>45514</v>
      </c>
      <c r="M623" s="2">
        <v>3.44</v>
      </c>
      <c r="O623" s="2">
        <f t="shared" si="61"/>
        <v>3.375</v>
      </c>
      <c r="P623" s="2">
        <f t="shared" si="62"/>
        <v>59.312198221092757</v>
      </c>
      <c r="Q623" s="2">
        <f t="shared" si="63"/>
        <v>0.29099999999999382</v>
      </c>
      <c r="R623" s="2">
        <f t="shared" si="64"/>
        <v>0.29663214739516525</v>
      </c>
      <c r="S623" s="2">
        <f t="shared" si="65"/>
        <v>-5.6321473951714274E-3</v>
      </c>
    </row>
    <row r="624" spans="2:19" x14ac:dyDescent="0.25">
      <c r="B624" s="1">
        <f t="shared" si="66"/>
        <v>618</v>
      </c>
      <c r="C624" s="1">
        <v>972</v>
      </c>
      <c r="D624" s="13">
        <v>58.2</v>
      </c>
      <c r="E624" s="1" t="s">
        <v>11</v>
      </c>
      <c r="F624" s="2">
        <v>3.5150000000000001</v>
      </c>
      <c r="G624" s="1" t="s">
        <v>12</v>
      </c>
      <c r="H624" s="1" t="s">
        <v>13</v>
      </c>
      <c r="I624" s="1" t="s">
        <v>14</v>
      </c>
      <c r="J624" s="14">
        <v>0.569849537037037</v>
      </c>
      <c r="K624" s="15">
        <v>45514</v>
      </c>
      <c r="M624" s="2">
        <v>3.4449999999999998</v>
      </c>
      <c r="O624" s="2">
        <f t="shared" si="61"/>
        <v>3.38</v>
      </c>
      <c r="P624" s="2">
        <f t="shared" si="62"/>
        <v>59.340660736975863</v>
      </c>
      <c r="Q624" s="2">
        <f t="shared" si="63"/>
        <v>0.29100000000001963</v>
      </c>
      <c r="R624" s="2">
        <f t="shared" si="64"/>
        <v>0.29677445997460705</v>
      </c>
      <c r="S624" s="2">
        <f t="shared" si="65"/>
        <v>-5.7744599745874203E-3</v>
      </c>
    </row>
    <row r="625" spans="2:19" x14ac:dyDescent="0.25">
      <c r="B625" s="1">
        <f t="shared" si="66"/>
        <v>619</v>
      </c>
      <c r="C625" s="1">
        <v>973</v>
      </c>
      <c r="D625" s="13">
        <v>58.2</v>
      </c>
      <c r="E625" s="1" t="s">
        <v>11</v>
      </c>
      <c r="F625" s="2">
        <v>3.52</v>
      </c>
      <c r="G625" s="1" t="s">
        <v>12</v>
      </c>
      <c r="H625" s="1" t="s">
        <v>13</v>
      </c>
      <c r="I625" s="1" t="s">
        <v>14</v>
      </c>
      <c r="J625" s="14">
        <v>0.569849537037037</v>
      </c>
      <c r="K625" s="15">
        <v>45514</v>
      </c>
      <c r="M625" s="2">
        <v>3.45</v>
      </c>
      <c r="O625" s="2">
        <f t="shared" si="61"/>
        <v>3.3850000000000002</v>
      </c>
      <c r="P625" s="2">
        <f t="shared" si="62"/>
        <v>59.369123252858962</v>
      </c>
      <c r="Q625" s="2">
        <f t="shared" si="63"/>
        <v>0.29099999999999382</v>
      </c>
      <c r="R625" s="2">
        <f t="shared" si="64"/>
        <v>0.29691677255399623</v>
      </c>
      <c r="S625" s="2">
        <f t="shared" si="65"/>
        <v>-5.9167725540024141E-3</v>
      </c>
    </row>
    <row r="626" spans="2:19" x14ac:dyDescent="0.25">
      <c r="B626" s="1">
        <f t="shared" si="66"/>
        <v>620</v>
      </c>
      <c r="C626" s="1">
        <v>974</v>
      </c>
      <c r="D626" s="13">
        <v>58.2</v>
      </c>
      <c r="E626" s="1" t="s">
        <v>11</v>
      </c>
      <c r="F626" s="2">
        <v>3.5249999999999999</v>
      </c>
      <c r="G626" s="1" t="s">
        <v>12</v>
      </c>
      <c r="H626" s="1" t="s">
        <v>13</v>
      </c>
      <c r="I626" s="1" t="s">
        <v>14</v>
      </c>
      <c r="J626" s="14">
        <v>0.569849537037037</v>
      </c>
      <c r="K626" s="15">
        <v>45514</v>
      </c>
      <c r="M626" s="2">
        <v>3.4550000000000001</v>
      </c>
      <c r="O626" s="2">
        <f t="shared" si="61"/>
        <v>3.39</v>
      </c>
      <c r="P626" s="2">
        <f t="shared" si="62"/>
        <v>59.397585768742061</v>
      </c>
      <c r="Q626" s="2">
        <f t="shared" si="63"/>
        <v>0.29124999999999379</v>
      </c>
      <c r="R626" s="2">
        <f t="shared" si="64"/>
        <v>0.29705908513341173</v>
      </c>
      <c r="S626" s="2">
        <f t="shared" si="65"/>
        <v>-5.809085133417935E-3</v>
      </c>
    </row>
    <row r="627" spans="2:19" x14ac:dyDescent="0.25">
      <c r="B627" s="1">
        <f t="shared" si="66"/>
        <v>621</v>
      </c>
      <c r="C627" s="1">
        <v>976</v>
      </c>
      <c r="D627" s="13">
        <v>58.3</v>
      </c>
      <c r="E627" s="1" t="s">
        <v>11</v>
      </c>
      <c r="F627" s="2">
        <v>3.53</v>
      </c>
      <c r="G627" s="1" t="s">
        <v>12</v>
      </c>
      <c r="H627" s="1" t="s">
        <v>13</v>
      </c>
      <c r="I627" s="1" t="s">
        <v>14</v>
      </c>
      <c r="J627" s="14">
        <v>0.56986111111111115</v>
      </c>
      <c r="K627" s="15">
        <v>45514</v>
      </c>
      <c r="M627" s="2">
        <v>3.46</v>
      </c>
      <c r="O627" s="2">
        <f t="shared" si="61"/>
        <v>3.395</v>
      </c>
      <c r="P627" s="2">
        <f t="shared" si="62"/>
        <v>59.426048284625161</v>
      </c>
      <c r="Q627" s="2">
        <f t="shared" si="63"/>
        <v>0.29149999999999376</v>
      </c>
      <c r="R627" s="2">
        <f t="shared" si="64"/>
        <v>0.29720139771282722</v>
      </c>
      <c r="S627" s="2">
        <f t="shared" si="65"/>
        <v>-5.7013977128334559E-3</v>
      </c>
    </row>
    <row r="628" spans="2:19" x14ac:dyDescent="0.25">
      <c r="B628" s="1">
        <f t="shared" si="66"/>
        <v>622</v>
      </c>
      <c r="C628" s="1">
        <v>978</v>
      </c>
      <c r="D628" s="13">
        <v>58.3</v>
      </c>
      <c r="E628" s="1" t="s">
        <v>11</v>
      </c>
      <c r="F628" s="2">
        <v>3.5350000000000001</v>
      </c>
      <c r="G628" s="1" t="s">
        <v>12</v>
      </c>
      <c r="H628" s="1" t="s">
        <v>13</v>
      </c>
      <c r="I628" s="1" t="s">
        <v>14</v>
      </c>
      <c r="J628" s="14">
        <v>0.56986111111111115</v>
      </c>
      <c r="K628" s="15">
        <v>45514</v>
      </c>
      <c r="M628" s="2">
        <v>3.4649999999999999</v>
      </c>
      <c r="O628" s="2">
        <f t="shared" si="61"/>
        <v>3.4</v>
      </c>
      <c r="P628" s="2">
        <f t="shared" si="62"/>
        <v>59.45451080050826</v>
      </c>
      <c r="Q628" s="2">
        <f t="shared" si="63"/>
        <v>0.29150000000001969</v>
      </c>
      <c r="R628" s="2">
        <f t="shared" si="64"/>
        <v>0.29734371029226914</v>
      </c>
      <c r="S628" s="2">
        <f t="shared" si="65"/>
        <v>-5.8437102922494488E-3</v>
      </c>
    </row>
    <row r="629" spans="2:19" x14ac:dyDescent="0.25">
      <c r="B629" s="1">
        <f t="shared" si="66"/>
        <v>623</v>
      </c>
      <c r="C629" s="1">
        <v>979</v>
      </c>
      <c r="D629" s="13">
        <v>58.3</v>
      </c>
      <c r="E629" s="1" t="s">
        <v>11</v>
      </c>
      <c r="F629" s="2">
        <v>3.54</v>
      </c>
      <c r="G629" s="1" t="s">
        <v>12</v>
      </c>
      <c r="H629" s="1" t="s">
        <v>13</v>
      </c>
      <c r="I629" s="1" t="s">
        <v>14</v>
      </c>
      <c r="J629" s="14">
        <v>0.56986111111111115</v>
      </c>
      <c r="K629" s="15">
        <v>45514</v>
      </c>
      <c r="M629" s="2">
        <v>3.47</v>
      </c>
      <c r="O629" s="2">
        <f t="shared" si="61"/>
        <v>3.4050000000000002</v>
      </c>
      <c r="P629" s="2">
        <f t="shared" si="62"/>
        <v>59.482973316391366</v>
      </c>
      <c r="Q629" s="2">
        <f t="shared" si="63"/>
        <v>0.29174999999999374</v>
      </c>
      <c r="R629" s="2">
        <f t="shared" si="64"/>
        <v>0.29748602287165821</v>
      </c>
      <c r="S629" s="2">
        <f t="shared" si="65"/>
        <v>-5.7360228716644701E-3</v>
      </c>
    </row>
    <row r="630" spans="2:19" x14ac:dyDescent="0.25">
      <c r="B630" s="1">
        <f t="shared" si="66"/>
        <v>624</v>
      </c>
      <c r="C630" s="1">
        <v>981</v>
      </c>
      <c r="D630" s="13">
        <v>58.4</v>
      </c>
      <c r="E630" s="1" t="s">
        <v>11</v>
      </c>
      <c r="F630" s="2">
        <v>3.5449999999999999</v>
      </c>
      <c r="G630" s="1" t="s">
        <v>12</v>
      </c>
      <c r="H630" s="1" t="s">
        <v>13</v>
      </c>
      <c r="I630" s="1" t="s">
        <v>14</v>
      </c>
      <c r="J630" s="14">
        <v>0.56986111111111115</v>
      </c>
      <c r="K630" s="15">
        <v>45514</v>
      </c>
      <c r="M630" s="2">
        <v>3.4750000000000001</v>
      </c>
      <c r="O630" s="2">
        <f t="shared" si="61"/>
        <v>3.41</v>
      </c>
      <c r="P630" s="2">
        <f t="shared" si="62"/>
        <v>59.511435832274458</v>
      </c>
      <c r="Q630" s="2">
        <f t="shared" si="63"/>
        <v>0.29199999999999376</v>
      </c>
      <c r="R630" s="2">
        <f t="shared" si="64"/>
        <v>0.2976283354510737</v>
      </c>
      <c r="S630" s="2">
        <f t="shared" si="65"/>
        <v>-5.6283354510799355E-3</v>
      </c>
    </row>
    <row r="631" spans="2:19" x14ac:dyDescent="0.25">
      <c r="B631" s="1">
        <f t="shared" si="66"/>
        <v>625</v>
      </c>
      <c r="C631" s="1">
        <v>984</v>
      </c>
      <c r="D631" s="13">
        <v>58.4</v>
      </c>
      <c r="E631" s="1" t="s">
        <v>11</v>
      </c>
      <c r="F631" s="2">
        <v>3.55</v>
      </c>
      <c r="G631" s="1" t="s">
        <v>12</v>
      </c>
      <c r="H631" s="1" t="s">
        <v>13</v>
      </c>
      <c r="I631" s="1" t="s">
        <v>14</v>
      </c>
      <c r="J631" s="14">
        <v>0.56986111111111115</v>
      </c>
      <c r="K631" s="15">
        <v>45514</v>
      </c>
      <c r="M631" s="2">
        <v>3.48</v>
      </c>
      <c r="O631" s="2">
        <f t="shared" si="61"/>
        <v>3.415</v>
      </c>
      <c r="P631" s="2">
        <f t="shared" si="62"/>
        <v>59.539898348157564</v>
      </c>
      <c r="Q631" s="2">
        <f t="shared" si="63"/>
        <v>0.29199999999999376</v>
      </c>
      <c r="R631" s="2">
        <f t="shared" si="64"/>
        <v>0.29777064803048919</v>
      </c>
      <c r="S631" s="2">
        <f t="shared" si="65"/>
        <v>-5.7706480304954288E-3</v>
      </c>
    </row>
    <row r="632" spans="2:19" x14ac:dyDescent="0.25">
      <c r="B632" s="1">
        <f t="shared" si="66"/>
        <v>626</v>
      </c>
      <c r="C632" s="1">
        <v>989</v>
      </c>
      <c r="D632" s="13">
        <v>58.4</v>
      </c>
      <c r="E632" s="1" t="s">
        <v>11</v>
      </c>
      <c r="F632" s="2">
        <v>3.5550000000000002</v>
      </c>
      <c r="G632" s="1" t="s">
        <v>12</v>
      </c>
      <c r="H632" s="1" t="s">
        <v>13</v>
      </c>
      <c r="I632" s="1" t="s">
        <v>14</v>
      </c>
      <c r="J632" s="14">
        <v>0.56987268518518519</v>
      </c>
      <c r="K632" s="15">
        <v>45514</v>
      </c>
      <c r="M632" s="2">
        <v>3.4849999999999999</v>
      </c>
      <c r="O632" s="2">
        <f t="shared" si="61"/>
        <v>3.42</v>
      </c>
      <c r="P632" s="2">
        <f t="shared" si="62"/>
        <v>59.568360864040663</v>
      </c>
      <c r="Q632" s="2">
        <f t="shared" si="63"/>
        <v>0.29225000000001972</v>
      </c>
      <c r="R632" s="2">
        <f t="shared" si="64"/>
        <v>0.29791296060993117</v>
      </c>
      <c r="S632" s="2">
        <f t="shared" si="65"/>
        <v>-5.6629606099114493E-3</v>
      </c>
    </row>
    <row r="633" spans="2:19" x14ac:dyDescent="0.25">
      <c r="B633" s="1">
        <f t="shared" si="66"/>
        <v>627</v>
      </c>
      <c r="C633" s="1">
        <v>996</v>
      </c>
      <c r="D633" s="13">
        <v>58.5</v>
      </c>
      <c r="E633" s="1" t="s">
        <v>11</v>
      </c>
      <c r="F633" s="2">
        <v>3.56</v>
      </c>
      <c r="G633" s="1" t="s">
        <v>12</v>
      </c>
      <c r="H633" s="1" t="s">
        <v>13</v>
      </c>
      <c r="I633" s="1" t="s">
        <v>14</v>
      </c>
      <c r="J633" s="14">
        <v>0.56988425925925923</v>
      </c>
      <c r="K633" s="15">
        <v>45514</v>
      </c>
      <c r="M633" s="2">
        <v>3.49</v>
      </c>
      <c r="O633" s="2">
        <f t="shared" si="61"/>
        <v>3.4250000000000003</v>
      </c>
      <c r="P633" s="2">
        <f t="shared" si="62"/>
        <v>59.596823379923762</v>
      </c>
      <c r="Q633" s="2">
        <f t="shared" si="63"/>
        <v>0.29274999999999374</v>
      </c>
      <c r="R633" s="2">
        <f t="shared" si="64"/>
        <v>0.29805527318932024</v>
      </c>
      <c r="S633" s="2">
        <f t="shared" si="65"/>
        <v>-5.3052731893264982E-3</v>
      </c>
    </row>
    <row r="634" spans="2:19" x14ac:dyDescent="0.25">
      <c r="B634" s="1">
        <f t="shared" si="66"/>
        <v>628</v>
      </c>
      <c r="C634" s="1">
        <v>999</v>
      </c>
      <c r="D634" s="13">
        <v>58.6</v>
      </c>
      <c r="E634" s="1" t="s">
        <v>11</v>
      </c>
      <c r="F634" s="2">
        <v>3.5649999999999999</v>
      </c>
      <c r="G634" s="1" t="s">
        <v>12</v>
      </c>
      <c r="H634" s="1" t="s">
        <v>13</v>
      </c>
      <c r="I634" s="1" t="s">
        <v>14</v>
      </c>
      <c r="J634" s="14">
        <v>0.56988425925925923</v>
      </c>
      <c r="K634" s="15">
        <v>45514</v>
      </c>
      <c r="M634" s="2">
        <v>3.4950000000000001</v>
      </c>
      <c r="O634" s="2">
        <f t="shared" si="61"/>
        <v>3.43</v>
      </c>
      <c r="P634" s="2">
        <f t="shared" si="62"/>
        <v>59.625285895806869</v>
      </c>
      <c r="Q634" s="2">
        <f t="shared" si="63"/>
        <v>0.29324999999999379</v>
      </c>
      <c r="R634" s="2">
        <f t="shared" si="64"/>
        <v>0.29819758576873573</v>
      </c>
      <c r="S634" s="2">
        <f t="shared" si="65"/>
        <v>-4.9475857687419356E-3</v>
      </c>
    </row>
    <row r="635" spans="2:19" x14ac:dyDescent="0.25">
      <c r="B635" s="1">
        <f t="shared" si="66"/>
        <v>629</v>
      </c>
      <c r="C635" s="1">
        <v>1001</v>
      </c>
      <c r="D635" s="13">
        <v>58.7</v>
      </c>
      <c r="E635" s="1" t="s">
        <v>11</v>
      </c>
      <c r="F635" s="2">
        <v>3.57</v>
      </c>
      <c r="G635" s="1" t="s">
        <v>12</v>
      </c>
      <c r="H635" s="1" t="s">
        <v>13</v>
      </c>
      <c r="I635" s="1" t="s">
        <v>14</v>
      </c>
      <c r="J635" s="14">
        <v>0.56988425925925923</v>
      </c>
      <c r="K635" s="15">
        <v>45514</v>
      </c>
      <c r="M635" s="2">
        <v>3.5</v>
      </c>
      <c r="O635" s="2">
        <f t="shared" si="61"/>
        <v>3.4350000000000001</v>
      </c>
      <c r="P635" s="2">
        <f t="shared" si="62"/>
        <v>59.653748411689961</v>
      </c>
      <c r="Q635" s="2">
        <f t="shared" si="63"/>
        <v>0.29349999999999377</v>
      </c>
      <c r="R635" s="2">
        <f t="shared" si="64"/>
        <v>0.29833989834815122</v>
      </c>
      <c r="S635" s="2">
        <f t="shared" si="65"/>
        <v>-4.8398983481574565E-3</v>
      </c>
    </row>
    <row r="636" spans="2:19" x14ac:dyDescent="0.25">
      <c r="B636" s="1">
        <f t="shared" si="66"/>
        <v>630</v>
      </c>
      <c r="C636" s="1">
        <v>1002</v>
      </c>
      <c r="D636" s="13">
        <v>58.7</v>
      </c>
      <c r="E636" s="1" t="s">
        <v>11</v>
      </c>
      <c r="F636" s="2">
        <v>3.5750000000000002</v>
      </c>
      <c r="G636" s="1" t="s">
        <v>12</v>
      </c>
      <c r="H636" s="1" t="s">
        <v>13</v>
      </c>
      <c r="I636" s="1" t="s">
        <v>14</v>
      </c>
      <c r="J636" s="14">
        <v>0.56988425925925923</v>
      </c>
      <c r="K636" s="15">
        <v>45514</v>
      </c>
      <c r="M636" s="2">
        <v>3.5049999999999999</v>
      </c>
      <c r="O636" s="2">
        <f t="shared" si="61"/>
        <v>3.44</v>
      </c>
      <c r="P636" s="2">
        <f t="shared" si="62"/>
        <v>59.682210927573067</v>
      </c>
      <c r="Q636" s="2">
        <f t="shared" si="63"/>
        <v>0.58700000000001362</v>
      </c>
      <c r="R636" s="2">
        <f t="shared" si="64"/>
        <v>0.5971067344345754</v>
      </c>
      <c r="S636" s="2">
        <f t="shared" si="65"/>
        <v>-1.0106734434561782E-2</v>
      </c>
    </row>
    <row r="637" spans="2:19" x14ac:dyDescent="0.25">
      <c r="B637" s="1">
        <f t="shared" si="66"/>
        <v>631</v>
      </c>
      <c r="C637" s="1">
        <v>1003</v>
      </c>
      <c r="D637" s="13">
        <v>58.7</v>
      </c>
      <c r="E637" s="1" t="s">
        <v>11</v>
      </c>
      <c r="F637" s="2">
        <v>3.585</v>
      </c>
      <c r="G637" s="1" t="s">
        <v>12</v>
      </c>
      <c r="H637" s="1" t="s">
        <v>13</v>
      </c>
      <c r="I637" s="1" t="s">
        <v>14</v>
      </c>
      <c r="J637" s="14">
        <v>0.56988425925925923</v>
      </c>
      <c r="K637" s="15">
        <v>45514</v>
      </c>
      <c r="M637" s="2">
        <v>3.5150000000000001</v>
      </c>
      <c r="O637" s="2">
        <f t="shared" si="61"/>
        <v>3.45</v>
      </c>
      <c r="P637" s="2">
        <f t="shared" si="62"/>
        <v>59.739135959339265</v>
      </c>
      <c r="Q637" s="2">
        <f t="shared" si="63"/>
        <v>0.29374999999999374</v>
      </c>
      <c r="R637" s="2">
        <f t="shared" si="64"/>
        <v>0.2987668360863977</v>
      </c>
      <c r="S637" s="2">
        <f t="shared" si="65"/>
        <v>-5.0168360864039641E-3</v>
      </c>
    </row>
    <row r="638" spans="2:19" x14ac:dyDescent="0.25">
      <c r="B638" s="1">
        <f t="shared" si="66"/>
        <v>632</v>
      </c>
      <c r="C638" s="1">
        <v>1006</v>
      </c>
      <c r="D638" s="13">
        <v>58.8</v>
      </c>
      <c r="E638" s="1" t="s">
        <v>11</v>
      </c>
      <c r="F638" s="2">
        <v>3.59</v>
      </c>
      <c r="G638" s="1" t="s">
        <v>12</v>
      </c>
      <c r="H638" s="1" t="s">
        <v>13</v>
      </c>
      <c r="I638" s="1" t="s">
        <v>14</v>
      </c>
      <c r="J638" s="14">
        <v>0.56989583333333338</v>
      </c>
      <c r="K638" s="15">
        <v>45514</v>
      </c>
      <c r="M638" s="2">
        <v>3.52</v>
      </c>
      <c r="O638" s="2">
        <f t="shared" si="61"/>
        <v>3.4550000000000001</v>
      </c>
      <c r="P638" s="2">
        <f t="shared" si="62"/>
        <v>59.767598475222364</v>
      </c>
      <c r="Q638" s="2">
        <f t="shared" si="63"/>
        <v>0.29399999999999371</v>
      </c>
      <c r="R638" s="2">
        <f t="shared" si="64"/>
        <v>0.2989091486658132</v>
      </c>
      <c r="S638" s="2">
        <f t="shared" si="65"/>
        <v>-4.9091486658194849E-3</v>
      </c>
    </row>
    <row r="639" spans="2:19" x14ac:dyDescent="0.25">
      <c r="B639" s="1">
        <f t="shared" si="66"/>
        <v>633</v>
      </c>
      <c r="C639" s="1">
        <v>1007</v>
      </c>
      <c r="D639" s="13">
        <v>58.8</v>
      </c>
      <c r="E639" s="1" t="s">
        <v>11</v>
      </c>
      <c r="F639" s="2">
        <v>3.5950000000000002</v>
      </c>
      <c r="G639" s="1" t="s">
        <v>12</v>
      </c>
      <c r="H639" s="1" t="s">
        <v>13</v>
      </c>
      <c r="I639" s="1" t="s">
        <v>14</v>
      </c>
      <c r="J639" s="14">
        <v>0.56989583333333338</v>
      </c>
      <c r="K639" s="15">
        <v>45514</v>
      </c>
      <c r="M639" s="2">
        <v>3.5249999999999999</v>
      </c>
      <c r="O639" s="2">
        <f t="shared" si="61"/>
        <v>3.46</v>
      </c>
      <c r="P639" s="2">
        <f t="shared" si="62"/>
        <v>59.796060991105463</v>
      </c>
      <c r="Q639" s="2">
        <f t="shared" si="63"/>
        <v>0.29399999999999371</v>
      </c>
      <c r="R639" s="2">
        <f t="shared" si="64"/>
        <v>0.29905146124522869</v>
      </c>
      <c r="S639" s="2">
        <f t="shared" si="65"/>
        <v>-5.0514612452349783E-3</v>
      </c>
    </row>
    <row r="640" spans="2:19" x14ac:dyDescent="0.25">
      <c r="B640" s="1">
        <f t="shared" si="66"/>
        <v>634</v>
      </c>
      <c r="C640" s="1">
        <v>1008</v>
      </c>
      <c r="D640" s="13">
        <v>58.8</v>
      </c>
      <c r="E640" s="1" t="s">
        <v>11</v>
      </c>
      <c r="F640" s="2">
        <v>3.6</v>
      </c>
      <c r="G640" s="1" t="s">
        <v>12</v>
      </c>
      <c r="H640" s="1" t="s">
        <v>13</v>
      </c>
      <c r="I640" s="1" t="s">
        <v>14</v>
      </c>
      <c r="J640" s="14">
        <v>0.56989583333333338</v>
      </c>
      <c r="K640" s="15">
        <v>45514</v>
      </c>
      <c r="M640" s="2">
        <v>3.53</v>
      </c>
      <c r="O640" s="2">
        <f t="shared" si="61"/>
        <v>3.4649999999999999</v>
      </c>
      <c r="P640" s="2">
        <f t="shared" si="62"/>
        <v>59.824523506988569</v>
      </c>
      <c r="Q640" s="2">
        <f t="shared" si="63"/>
        <v>0.29400000000001986</v>
      </c>
      <c r="R640" s="2">
        <f t="shared" si="64"/>
        <v>0.29919377382467077</v>
      </c>
      <c r="S640" s="2">
        <f t="shared" si="65"/>
        <v>-5.1937738246509157E-3</v>
      </c>
    </row>
    <row r="641" spans="2:19" x14ac:dyDescent="0.25">
      <c r="B641" s="1">
        <f t="shared" si="66"/>
        <v>635</v>
      </c>
      <c r="C641" s="1">
        <v>1010</v>
      </c>
      <c r="D641" s="13">
        <v>58.8</v>
      </c>
      <c r="E641" s="1" t="s">
        <v>11</v>
      </c>
      <c r="F641" s="2">
        <v>3.605</v>
      </c>
      <c r="G641" s="1" t="s">
        <v>12</v>
      </c>
      <c r="H641" s="1" t="s">
        <v>13</v>
      </c>
      <c r="I641" s="1" t="s">
        <v>14</v>
      </c>
      <c r="J641" s="14">
        <v>0.56989583333333338</v>
      </c>
      <c r="K641" s="15">
        <v>45514</v>
      </c>
      <c r="M641" s="2">
        <v>3.5350000000000001</v>
      </c>
      <c r="O641" s="2">
        <f t="shared" si="61"/>
        <v>3.47</v>
      </c>
      <c r="P641" s="2">
        <f t="shared" si="62"/>
        <v>59.852986022871669</v>
      </c>
      <c r="Q641" s="2">
        <f t="shared" si="63"/>
        <v>0.29424999999999368</v>
      </c>
      <c r="R641" s="2">
        <f t="shared" si="64"/>
        <v>0.29933608640405973</v>
      </c>
      <c r="S641" s="2">
        <f t="shared" si="65"/>
        <v>-5.0860864040660481E-3</v>
      </c>
    </row>
    <row r="642" spans="2:19" x14ac:dyDescent="0.25">
      <c r="B642" s="1">
        <f t="shared" si="66"/>
        <v>636</v>
      </c>
      <c r="C642" s="1">
        <v>1011</v>
      </c>
      <c r="D642" s="13">
        <v>58.9</v>
      </c>
      <c r="E642" s="1" t="s">
        <v>11</v>
      </c>
      <c r="F642" s="2">
        <v>3.61</v>
      </c>
      <c r="G642" s="1" t="s">
        <v>12</v>
      </c>
      <c r="H642" s="1" t="s">
        <v>13</v>
      </c>
      <c r="I642" s="1" t="s">
        <v>14</v>
      </c>
      <c r="J642" s="14">
        <v>0.56989583333333338</v>
      </c>
      <c r="K642" s="15">
        <v>45514</v>
      </c>
      <c r="M642" s="2">
        <v>3.54</v>
      </c>
      <c r="O642" s="2">
        <f t="shared" si="61"/>
        <v>3.4750000000000001</v>
      </c>
      <c r="P642" s="2">
        <f t="shared" si="62"/>
        <v>59.881448538754768</v>
      </c>
      <c r="Q642" s="2">
        <f t="shared" si="63"/>
        <v>0.29449999999999371</v>
      </c>
      <c r="R642" s="2">
        <f t="shared" si="64"/>
        <v>0.29947839898347517</v>
      </c>
      <c r="S642" s="2">
        <f t="shared" si="65"/>
        <v>-4.9783989834814579E-3</v>
      </c>
    </row>
    <row r="643" spans="2:19" x14ac:dyDescent="0.25">
      <c r="B643" s="1">
        <f t="shared" si="66"/>
        <v>637</v>
      </c>
      <c r="C643" s="1">
        <v>1012</v>
      </c>
      <c r="D643" s="13">
        <v>58.9</v>
      </c>
      <c r="E643" s="1" t="s">
        <v>11</v>
      </c>
      <c r="F643" s="2">
        <v>3.6150000000000002</v>
      </c>
      <c r="G643" s="1" t="s">
        <v>12</v>
      </c>
      <c r="H643" s="1" t="s">
        <v>13</v>
      </c>
      <c r="I643" s="1" t="s">
        <v>14</v>
      </c>
      <c r="J643" s="14">
        <v>0.56989583333333338</v>
      </c>
      <c r="K643" s="15">
        <v>45514</v>
      </c>
      <c r="M643" s="2">
        <v>3.5449999999999999</v>
      </c>
      <c r="O643" s="2">
        <f t="shared" si="61"/>
        <v>3.48</v>
      </c>
      <c r="P643" s="2">
        <f t="shared" si="62"/>
        <v>59.909911054637867</v>
      </c>
      <c r="Q643" s="2">
        <f t="shared" si="63"/>
        <v>0.29474999999999374</v>
      </c>
      <c r="R643" s="2">
        <f t="shared" si="64"/>
        <v>0.29962071156289072</v>
      </c>
      <c r="S643" s="2">
        <f t="shared" si="65"/>
        <v>-4.8707115628969788E-3</v>
      </c>
    </row>
    <row r="644" spans="2:19" x14ac:dyDescent="0.25">
      <c r="B644" s="1">
        <f t="shared" si="66"/>
        <v>638</v>
      </c>
      <c r="C644" s="1">
        <v>1014</v>
      </c>
      <c r="D644" s="13">
        <v>59</v>
      </c>
      <c r="E644" s="1" t="s">
        <v>11</v>
      </c>
      <c r="F644" s="2">
        <v>3.62</v>
      </c>
      <c r="G644" s="1" t="s">
        <v>12</v>
      </c>
      <c r="H644" s="1" t="s">
        <v>13</v>
      </c>
      <c r="I644" s="1" t="s">
        <v>14</v>
      </c>
      <c r="J644" s="14">
        <v>0.56989583333333338</v>
      </c>
      <c r="K644" s="15">
        <v>45514</v>
      </c>
      <c r="M644" s="2">
        <v>3.55</v>
      </c>
      <c r="O644" s="2">
        <f t="shared" si="61"/>
        <v>3.4849999999999999</v>
      </c>
      <c r="P644" s="2">
        <f t="shared" si="62"/>
        <v>59.938373570520966</v>
      </c>
      <c r="Q644" s="2">
        <f t="shared" si="63"/>
        <v>0.29500000000001991</v>
      </c>
      <c r="R644" s="2">
        <f t="shared" si="64"/>
        <v>0.29976302414233286</v>
      </c>
      <c r="S644" s="2">
        <f t="shared" si="65"/>
        <v>-4.7630241423129438E-3</v>
      </c>
    </row>
    <row r="645" spans="2:19" x14ac:dyDescent="0.25">
      <c r="B645" s="1">
        <f t="shared" si="66"/>
        <v>639</v>
      </c>
      <c r="C645" s="1">
        <v>1015</v>
      </c>
      <c r="D645" s="13">
        <v>59</v>
      </c>
      <c r="E645" s="1" t="s">
        <v>11</v>
      </c>
      <c r="F645" s="2">
        <v>3.625</v>
      </c>
      <c r="G645" s="1" t="s">
        <v>12</v>
      </c>
      <c r="H645" s="1" t="s">
        <v>13</v>
      </c>
      <c r="I645" s="1" t="s">
        <v>14</v>
      </c>
      <c r="J645" s="14">
        <v>0.56989583333333338</v>
      </c>
      <c r="K645" s="15">
        <v>45514</v>
      </c>
      <c r="M645" s="2">
        <v>3.5550000000000002</v>
      </c>
      <c r="O645" s="2">
        <f t="shared" si="61"/>
        <v>3.49</v>
      </c>
      <c r="P645" s="2">
        <f t="shared" si="62"/>
        <v>59.966836086404072</v>
      </c>
      <c r="Q645" s="2">
        <f t="shared" si="63"/>
        <v>0.29499999999999371</v>
      </c>
      <c r="R645" s="2">
        <f t="shared" si="64"/>
        <v>0.2999053367217217</v>
      </c>
      <c r="S645" s="2">
        <f t="shared" si="65"/>
        <v>-4.9053367217279931E-3</v>
      </c>
    </row>
    <row r="646" spans="2:19" x14ac:dyDescent="0.25">
      <c r="B646" s="1">
        <f t="shared" si="66"/>
        <v>640</v>
      </c>
      <c r="C646" s="1">
        <v>1016</v>
      </c>
      <c r="D646" s="13">
        <v>59</v>
      </c>
      <c r="E646" s="1" t="s">
        <v>11</v>
      </c>
      <c r="F646" s="2">
        <v>3.63</v>
      </c>
      <c r="G646" s="1" t="s">
        <v>12</v>
      </c>
      <c r="H646" s="1" t="s">
        <v>13</v>
      </c>
      <c r="I646" s="1" t="s">
        <v>14</v>
      </c>
      <c r="J646" s="14">
        <v>0.56990740740740742</v>
      </c>
      <c r="K646" s="15">
        <v>45514</v>
      </c>
      <c r="M646" s="2">
        <v>3.56</v>
      </c>
      <c r="O646" s="2">
        <f t="shared" si="61"/>
        <v>3.4950000000000001</v>
      </c>
      <c r="P646" s="2">
        <f t="shared" si="62"/>
        <v>59.995298602287164</v>
      </c>
      <c r="Q646" s="2">
        <f t="shared" si="63"/>
        <v>0.29499999999999371</v>
      </c>
      <c r="R646" s="2">
        <f t="shared" si="64"/>
        <v>0.3000476493011372</v>
      </c>
      <c r="S646" s="2">
        <f t="shared" si="65"/>
        <v>-5.0476493011434864E-3</v>
      </c>
    </row>
    <row r="647" spans="2:19" x14ac:dyDescent="0.25">
      <c r="B647" s="1">
        <f t="shared" si="66"/>
        <v>641</v>
      </c>
      <c r="C647" s="1">
        <v>1017</v>
      </c>
      <c r="D647" s="13">
        <v>59</v>
      </c>
      <c r="E647" s="1" t="s">
        <v>11</v>
      </c>
      <c r="F647" s="2">
        <v>3.6349999999999998</v>
      </c>
      <c r="G647" s="1" t="s">
        <v>12</v>
      </c>
      <c r="H647" s="1" t="s">
        <v>13</v>
      </c>
      <c r="I647" s="1" t="s">
        <v>14</v>
      </c>
      <c r="J647" s="14">
        <v>0.56990740740740742</v>
      </c>
      <c r="K647" s="15">
        <v>45514</v>
      </c>
      <c r="M647" s="2">
        <v>3.5649999999999999</v>
      </c>
      <c r="O647" s="2">
        <f t="shared" si="61"/>
        <v>3.5</v>
      </c>
      <c r="P647" s="2">
        <f t="shared" si="62"/>
        <v>60.02376111817027</v>
      </c>
      <c r="Q647" s="2">
        <f t="shared" si="63"/>
        <v>0.29524999999999368</v>
      </c>
      <c r="R647" s="2">
        <f t="shared" si="64"/>
        <v>0.30018996188055269</v>
      </c>
      <c r="S647" s="2">
        <f t="shared" si="65"/>
        <v>-4.9399618805590073E-3</v>
      </c>
    </row>
    <row r="648" spans="2:19" x14ac:dyDescent="0.25">
      <c r="B648" s="1">
        <f t="shared" si="66"/>
        <v>642</v>
      </c>
      <c r="C648" s="1">
        <v>1019</v>
      </c>
      <c r="D648" s="13">
        <v>59.1</v>
      </c>
      <c r="E648" s="1" t="s">
        <v>11</v>
      </c>
      <c r="F648" s="2">
        <v>3.64</v>
      </c>
      <c r="G648" s="1" t="s">
        <v>12</v>
      </c>
      <c r="H648" s="1" t="s">
        <v>13</v>
      </c>
      <c r="I648" s="1" t="s">
        <v>14</v>
      </c>
      <c r="J648" s="14">
        <v>0.56990740740740742</v>
      </c>
      <c r="K648" s="15">
        <v>45514</v>
      </c>
      <c r="M648" s="2">
        <v>3.57</v>
      </c>
      <c r="O648" s="2">
        <f t="shared" ref="O648:O711" si="67">M648-$X$23</f>
        <v>3.5049999999999999</v>
      </c>
      <c r="P648" s="2">
        <f t="shared" ref="P648:P711" si="68">O648*$AC$21+$Y$23</f>
        <v>60.052223634053369</v>
      </c>
      <c r="Q648" s="2">
        <f t="shared" ref="Q648:Q711" si="69">((D648+D649)/2)*(M649-M648)</f>
        <v>0.29550000000001997</v>
      </c>
      <c r="R648" s="2">
        <f t="shared" ref="R648:R711" si="70">((P648+P649)/2)*(O649-O648)</f>
        <v>0.30033227445999489</v>
      </c>
      <c r="S648" s="2">
        <f t="shared" ref="S648:S711" si="71">Q648-R648</f>
        <v>-4.8322744599749168E-3</v>
      </c>
    </row>
    <row r="649" spans="2:19" x14ac:dyDescent="0.25">
      <c r="B649" s="1">
        <f t="shared" ref="B649:B712" si="72">B648+1</f>
        <v>643</v>
      </c>
      <c r="C649" s="1">
        <v>1020</v>
      </c>
      <c r="D649" s="13">
        <v>59.1</v>
      </c>
      <c r="E649" s="1" t="s">
        <v>11</v>
      </c>
      <c r="F649" s="2">
        <v>3.645</v>
      </c>
      <c r="G649" s="1" t="s">
        <v>12</v>
      </c>
      <c r="H649" s="1" t="s">
        <v>13</v>
      </c>
      <c r="I649" s="1" t="s">
        <v>14</v>
      </c>
      <c r="J649" s="14">
        <v>0.56990740740740742</v>
      </c>
      <c r="K649" s="15">
        <v>45514</v>
      </c>
      <c r="M649" s="2">
        <v>3.5750000000000002</v>
      </c>
      <c r="O649" s="2">
        <f t="shared" si="67"/>
        <v>3.5100000000000002</v>
      </c>
      <c r="P649" s="2">
        <f t="shared" si="68"/>
        <v>60.080686149936469</v>
      </c>
      <c r="Q649" s="2">
        <f t="shared" si="69"/>
        <v>0.29574999999999374</v>
      </c>
      <c r="R649" s="2">
        <f t="shared" si="70"/>
        <v>0.30047458703938368</v>
      </c>
      <c r="S649" s="2">
        <f t="shared" si="71"/>
        <v>-4.7245870393899381E-3</v>
      </c>
    </row>
    <row r="650" spans="2:19" x14ac:dyDescent="0.25">
      <c r="B650" s="1">
        <f t="shared" si="72"/>
        <v>644</v>
      </c>
      <c r="C650" s="1">
        <v>1022</v>
      </c>
      <c r="D650" s="13">
        <v>59.2</v>
      </c>
      <c r="E650" s="1" t="s">
        <v>11</v>
      </c>
      <c r="F650" s="2">
        <v>3.65</v>
      </c>
      <c r="G650" s="1" t="s">
        <v>12</v>
      </c>
      <c r="H650" s="1" t="s">
        <v>13</v>
      </c>
      <c r="I650" s="1" t="s">
        <v>14</v>
      </c>
      <c r="J650" s="14">
        <v>0.56990740740740742</v>
      </c>
      <c r="K650" s="15">
        <v>45514</v>
      </c>
      <c r="M650" s="2">
        <v>3.58</v>
      </c>
      <c r="O650" s="2">
        <f t="shared" si="67"/>
        <v>3.5150000000000001</v>
      </c>
      <c r="P650" s="2">
        <f t="shared" si="68"/>
        <v>60.109148665819575</v>
      </c>
      <c r="Q650" s="2">
        <f t="shared" si="69"/>
        <v>0.29599999999999371</v>
      </c>
      <c r="R650" s="2">
        <f t="shared" si="70"/>
        <v>0.30061689961879917</v>
      </c>
      <c r="S650" s="2">
        <f t="shared" si="71"/>
        <v>-4.616899618805459E-3</v>
      </c>
    </row>
    <row r="651" spans="2:19" x14ac:dyDescent="0.25">
      <c r="B651" s="1">
        <f t="shared" si="72"/>
        <v>645</v>
      </c>
      <c r="C651" s="1">
        <v>1023</v>
      </c>
      <c r="D651" s="13">
        <v>59.2</v>
      </c>
      <c r="E651" s="1" t="s">
        <v>11</v>
      </c>
      <c r="F651" s="2">
        <v>3.6549999999999998</v>
      </c>
      <c r="G651" s="1" t="s">
        <v>12</v>
      </c>
      <c r="H651" s="1" t="s">
        <v>13</v>
      </c>
      <c r="I651" s="1" t="s">
        <v>14</v>
      </c>
      <c r="J651" s="14">
        <v>0.56990740740740742</v>
      </c>
      <c r="K651" s="15">
        <v>45514</v>
      </c>
      <c r="M651" s="2">
        <v>3.585</v>
      </c>
      <c r="O651" s="2">
        <f t="shared" si="67"/>
        <v>3.52</v>
      </c>
      <c r="P651" s="2">
        <f t="shared" si="68"/>
        <v>60.137611181702667</v>
      </c>
      <c r="Q651" s="2">
        <f t="shared" si="69"/>
        <v>0.29624999999999369</v>
      </c>
      <c r="R651" s="2">
        <f t="shared" si="70"/>
        <v>0.30075921219821466</v>
      </c>
      <c r="S651" s="2">
        <f t="shared" si="71"/>
        <v>-4.5092121982209799E-3</v>
      </c>
    </row>
    <row r="652" spans="2:19" x14ac:dyDescent="0.25">
      <c r="B652" s="1">
        <f t="shared" si="72"/>
        <v>646</v>
      </c>
      <c r="C652" s="1">
        <v>1025</v>
      </c>
      <c r="D652" s="13">
        <v>59.3</v>
      </c>
      <c r="E652" s="1" t="s">
        <v>11</v>
      </c>
      <c r="F652" s="2">
        <v>3.66</v>
      </c>
      <c r="G652" s="1" t="s">
        <v>12</v>
      </c>
      <c r="H652" s="1" t="s">
        <v>13</v>
      </c>
      <c r="I652" s="1" t="s">
        <v>14</v>
      </c>
      <c r="J652" s="14">
        <v>0.56990740740740742</v>
      </c>
      <c r="K652" s="15">
        <v>45514</v>
      </c>
      <c r="M652" s="2">
        <v>3.59</v>
      </c>
      <c r="O652" s="2">
        <f t="shared" si="67"/>
        <v>3.5249999999999999</v>
      </c>
      <c r="P652" s="2">
        <f t="shared" si="68"/>
        <v>60.166073697585773</v>
      </c>
      <c r="Q652" s="2">
        <f t="shared" si="69"/>
        <v>0.29650000000002003</v>
      </c>
      <c r="R652" s="2">
        <f t="shared" si="70"/>
        <v>0.30090152477765691</v>
      </c>
      <c r="S652" s="2">
        <f t="shared" si="71"/>
        <v>-4.4015247776368893E-3</v>
      </c>
    </row>
    <row r="653" spans="2:19" x14ac:dyDescent="0.25">
      <c r="B653" s="1">
        <f t="shared" si="72"/>
        <v>647</v>
      </c>
      <c r="C653" s="1">
        <v>1026</v>
      </c>
      <c r="D653" s="13">
        <v>59.3</v>
      </c>
      <c r="E653" s="1" t="s">
        <v>11</v>
      </c>
      <c r="F653" s="2">
        <v>3.665</v>
      </c>
      <c r="G653" s="1" t="s">
        <v>12</v>
      </c>
      <c r="H653" s="1" t="s">
        <v>13</v>
      </c>
      <c r="I653" s="1" t="s">
        <v>14</v>
      </c>
      <c r="J653" s="14">
        <v>0.56991898148148146</v>
      </c>
      <c r="K653" s="15">
        <v>45514</v>
      </c>
      <c r="M653" s="2">
        <v>3.5950000000000002</v>
      </c>
      <c r="O653" s="2">
        <f t="shared" si="67"/>
        <v>3.5300000000000002</v>
      </c>
      <c r="P653" s="2">
        <f t="shared" si="68"/>
        <v>60.194536213468872</v>
      </c>
      <c r="Q653" s="2">
        <f t="shared" si="69"/>
        <v>0.29649999999999366</v>
      </c>
      <c r="R653" s="2">
        <f t="shared" si="70"/>
        <v>0.30104383735704571</v>
      </c>
      <c r="S653" s="2">
        <f t="shared" si="71"/>
        <v>-4.5438373570520496E-3</v>
      </c>
    </row>
    <row r="654" spans="2:19" x14ac:dyDescent="0.25">
      <c r="B654" s="1">
        <f t="shared" si="72"/>
        <v>648</v>
      </c>
      <c r="C654" s="1">
        <v>1028</v>
      </c>
      <c r="D654" s="13">
        <v>59.3</v>
      </c>
      <c r="E654" s="1" t="s">
        <v>11</v>
      </c>
      <c r="F654" s="2">
        <v>3.67</v>
      </c>
      <c r="G654" s="1" t="s">
        <v>12</v>
      </c>
      <c r="H654" s="1" t="s">
        <v>13</v>
      </c>
      <c r="I654" s="1" t="s">
        <v>14</v>
      </c>
      <c r="J654" s="14">
        <v>0.56991898148148146</v>
      </c>
      <c r="K654" s="15">
        <v>45514</v>
      </c>
      <c r="M654" s="2">
        <v>3.6</v>
      </c>
      <c r="O654" s="2">
        <f t="shared" si="67"/>
        <v>3.5350000000000001</v>
      </c>
      <c r="P654" s="2">
        <f t="shared" si="68"/>
        <v>60.222998729351971</v>
      </c>
      <c r="Q654" s="2">
        <f t="shared" si="69"/>
        <v>0.29649999999999366</v>
      </c>
      <c r="R654" s="2">
        <f t="shared" si="70"/>
        <v>0.30118614993646114</v>
      </c>
      <c r="S654" s="2">
        <f t="shared" si="71"/>
        <v>-4.6861499364674875E-3</v>
      </c>
    </row>
    <row r="655" spans="2:19" x14ac:dyDescent="0.25">
      <c r="B655" s="1">
        <f t="shared" si="72"/>
        <v>649</v>
      </c>
      <c r="C655" s="1">
        <v>1030</v>
      </c>
      <c r="D655" s="13">
        <v>59.3</v>
      </c>
      <c r="E655" s="1" t="s">
        <v>11</v>
      </c>
      <c r="F655" s="2">
        <v>3.6749999999999998</v>
      </c>
      <c r="G655" s="1" t="s">
        <v>12</v>
      </c>
      <c r="H655" s="1" t="s">
        <v>13</v>
      </c>
      <c r="I655" s="1" t="s">
        <v>14</v>
      </c>
      <c r="J655" s="14">
        <v>0.56991898148148146</v>
      </c>
      <c r="K655" s="15">
        <v>45514</v>
      </c>
      <c r="M655" s="2">
        <v>3.605</v>
      </c>
      <c r="O655" s="2">
        <f t="shared" si="67"/>
        <v>3.54</v>
      </c>
      <c r="P655" s="2">
        <f t="shared" si="68"/>
        <v>60.25146124523507</v>
      </c>
      <c r="Q655" s="2">
        <f t="shared" si="69"/>
        <v>0.29649999999999366</v>
      </c>
      <c r="R655" s="2">
        <f t="shared" si="70"/>
        <v>0.30132846251587669</v>
      </c>
      <c r="S655" s="2">
        <f t="shared" si="71"/>
        <v>-4.8284625158830363E-3</v>
      </c>
    </row>
    <row r="656" spans="2:19" x14ac:dyDescent="0.25">
      <c r="B656" s="1">
        <f t="shared" si="72"/>
        <v>650</v>
      </c>
      <c r="C656" s="1">
        <v>1031</v>
      </c>
      <c r="D656" s="13">
        <v>59.3</v>
      </c>
      <c r="E656" s="1" t="s">
        <v>11</v>
      </c>
      <c r="F656" s="2">
        <v>3.68</v>
      </c>
      <c r="G656" s="1" t="s">
        <v>12</v>
      </c>
      <c r="H656" s="1" t="s">
        <v>13</v>
      </c>
      <c r="I656" s="1" t="s">
        <v>14</v>
      </c>
      <c r="J656" s="14">
        <v>0.56991898148148146</v>
      </c>
      <c r="K656" s="15">
        <v>45514</v>
      </c>
      <c r="M656" s="2">
        <v>3.61</v>
      </c>
      <c r="O656" s="2">
        <f t="shared" si="67"/>
        <v>3.5449999999999999</v>
      </c>
      <c r="P656" s="2">
        <f t="shared" si="68"/>
        <v>60.27992376111817</v>
      </c>
      <c r="Q656" s="2">
        <f t="shared" si="69"/>
        <v>0.29700000000002003</v>
      </c>
      <c r="R656" s="2">
        <f t="shared" si="70"/>
        <v>0.30147077509531894</v>
      </c>
      <c r="S656" s="2">
        <f t="shared" si="71"/>
        <v>-4.4707750952989178E-3</v>
      </c>
    </row>
    <row r="657" spans="2:19" x14ac:dyDescent="0.25">
      <c r="B657" s="1">
        <f t="shared" si="72"/>
        <v>651</v>
      </c>
      <c r="C657" s="1">
        <v>1034</v>
      </c>
      <c r="D657" s="13">
        <v>59.5</v>
      </c>
      <c r="E657" s="1" t="s">
        <v>11</v>
      </c>
      <c r="F657" s="2">
        <v>3.6850000000000001</v>
      </c>
      <c r="G657" s="1" t="s">
        <v>12</v>
      </c>
      <c r="H657" s="1" t="s">
        <v>13</v>
      </c>
      <c r="I657" s="1" t="s">
        <v>14</v>
      </c>
      <c r="J657" s="14">
        <v>0.56991898148148146</v>
      </c>
      <c r="K657" s="15">
        <v>45514</v>
      </c>
      <c r="M657" s="2">
        <v>3.6150000000000002</v>
      </c>
      <c r="O657" s="2">
        <f t="shared" si="67"/>
        <v>3.5500000000000003</v>
      </c>
      <c r="P657" s="2">
        <f t="shared" si="68"/>
        <v>60.308386277001276</v>
      </c>
      <c r="Q657" s="2">
        <f t="shared" si="69"/>
        <v>0.29749999999999366</v>
      </c>
      <c r="R657" s="2">
        <f t="shared" si="70"/>
        <v>0.30161308767470768</v>
      </c>
      <c r="S657" s="2">
        <f t="shared" si="71"/>
        <v>-4.1130876747140221E-3</v>
      </c>
    </row>
    <row r="658" spans="2:19" x14ac:dyDescent="0.25">
      <c r="B658" s="1">
        <f t="shared" si="72"/>
        <v>652</v>
      </c>
      <c r="C658" s="1">
        <v>1036</v>
      </c>
      <c r="D658" s="13">
        <v>59.5</v>
      </c>
      <c r="E658" s="1" t="s">
        <v>11</v>
      </c>
      <c r="F658" s="2">
        <v>3.69</v>
      </c>
      <c r="G658" s="1" t="s">
        <v>12</v>
      </c>
      <c r="H658" s="1" t="s">
        <v>13</v>
      </c>
      <c r="I658" s="1" t="s">
        <v>14</v>
      </c>
      <c r="J658" s="14">
        <v>0.56993055555555561</v>
      </c>
      <c r="K658" s="15">
        <v>45514</v>
      </c>
      <c r="M658" s="2">
        <v>3.62</v>
      </c>
      <c r="O658" s="2">
        <f t="shared" si="67"/>
        <v>3.5550000000000002</v>
      </c>
      <c r="P658" s="2">
        <f t="shared" si="68"/>
        <v>60.336848792884375</v>
      </c>
      <c r="Q658" s="2">
        <f t="shared" si="69"/>
        <v>0.29749999999999366</v>
      </c>
      <c r="R658" s="2">
        <f t="shared" si="70"/>
        <v>0.30175540025412323</v>
      </c>
      <c r="S658" s="2">
        <f t="shared" si="71"/>
        <v>-4.255400254129571E-3</v>
      </c>
    </row>
    <row r="659" spans="2:19" x14ac:dyDescent="0.25">
      <c r="B659" s="1">
        <f t="shared" si="72"/>
        <v>653</v>
      </c>
      <c r="C659" s="1">
        <v>1037</v>
      </c>
      <c r="D659" s="13">
        <v>59.5</v>
      </c>
      <c r="E659" s="1" t="s">
        <v>11</v>
      </c>
      <c r="F659" s="2">
        <v>3.6949999999999998</v>
      </c>
      <c r="G659" s="1" t="s">
        <v>12</v>
      </c>
      <c r="H659" s="1" t="s">
        <v>13</v>
      </c>
      <c r="I659" s="1" t="s">
        <v>14</v>
      </c>
      <c r="J659" s="14">
        <v>0.56993055555555561</v>
      </c>
      <c r="K659" s="15">
        <v>45514</v>
      </c>
      <c r="M659" s="2">
        <v>3.625</v>
      </c>
      <c r="O659" s="2">
        <f t="shared" si="67"/>
        <v>3.56</v>
      </c>
      <c r="P659" s="2">
        <f t="shared" si="68"/>
        <v>60.365311308767474</v>
      </c>
      <c r="Q659" s="2">
        <f t="shared" si="69"/>
        <v>0.29749999999999366</v>
      </c>
      <c r="R659" s="2">
        <f t="shared" si="70"/>
        <v>0.30189771283353867</v>
      </c>
      <c r="S659" s="2">
        <f t="shared" si="71"/>
        <v>-4.3977128335450089E-3</v>
      </c>
    </row>
    <row r="660" spans="2:19" x14ac:dyDescent="0.25">
      <c r="B660" s="1">
        <f t="shared" si="72"/>
        <v>654</v>
      </c>
      <c r="C660" s="1">
        <v>1039</v>
      </c>
      <c r="D660" s="13">
        <v>59.5</v>
      </c>
      <c r="E660" s="1" t="s">
        <v>11</v>
      </c>
      <c r="F660" s="2">
        <v>3.7</v>
      </c>
      <c r="G660" s="1" t="s">
        <v>12</v>
      </c>
      <c r="H660" s="1" t="s">
        <v>13</v>
      </c>
      <c r="I660" s="1" t="s">
        <v>14</v>
      </c>
      <c r="J660" s="14">
        <v>0.56993055555555561</v>
      </c>
      <c r="K660" s="15">
        <v>45514</v>
      </c>
      <c r="M660" s="2">
        <v>3.63</v>
      </c>
      <c r="O660" s="2">
        <f t="shared" si="67"/>
        <v>3.5649999999999999</v>
      </c>
      <c r="P660" s="2">
        <f t="shared" si="68"/>
        <v>60.393773824650573</v>
      </c>
      <c r="Q660" s="2">
        <f t="shared" si="69"/>
        <v>0.29749999999999366</v>
      </c>
      <c r="R660" s="2">
        <f t="shared" si="70"/>
        <v>0.30204002541295422</v>
      </c>
      <c r="S660" s="2">
        <f t="shared" si="71"/>
        <v>-4.5400254129605577E-3</v>
      </c>
    </row>
    <row r="661" spans="2:19" x14ac:dyDescent="0.25">
      <c r="B661" s="1">
        <f t="shared" si="72"/>
        <v>655</v>
      </c>
      <c r="C661" s="1">
        <v>1040</v>
      </c>
      <c r="D661" s="13">
        <v>59.5</v>
      </c>
      <c r="E661" s="1" t="s">
        <v>11</v>
      </c>
      <c r="F661" s="2">
        <v>3.7050000000000001</v>
      </c>
      <c r="G661" s="1" t="s">
        <v>12</v>
      </c>
      <c r="H661" s="1" t="s">
        <v>13</v>
      </c>
      <c r="I661" s="1" t="s">
        <v>14</v>
      </c>
      <c r="J661" s="14">
        <v>0.56993055555555561</v>
      </c>
      <c r="K661" s="15">
        <v>45514</v>
      </c>
      <c r="M661" s="2">
        <v>3.6349999999999998</v>
      </c>
      <c r="O661" s="2">
        <f t="shared" si="67"/>
        <v>3.57</v>
      </c>
      <c r="P661" s="2">
        <f t="shared" si="68"/>
        <v>60.422236340533672</v>
      </c>
      <c r="Q661" s="2">
        <f t="shared" si="69"/>
        <v>0.29775000000002011</v>
      </c>
      <c r="R661" s="2">
        <f t="shared" si="70"/>
        <v>0.30218233799239652</v>
      </c>
      <c r="S661" s="2">
        <f t="shared" si="71"/>
        <v>-4.4323379923764117E-3</v>
      </c>
    </row>
    <row r="662" spans="2:19" x14ac:dyDescent="0.25">
      <c r="B662" s="1">
        <f t="shared" si="72"/>
        <v>656</v>
      </c>
      <c r="C662" s="1">
        <v>1042</v>
      </c>
      <c r="D662" s="13">
        <v>59.6</v>
      </c>
      <c r="E662" s="1" t="s">
        <v>11</v>
      </c>
      <c r="F662" s="2">
        <v>3.71</v>
      </c>
      <c r="G662" s="1" t="s">
        <v>12</v>
      </c>
      <c r="H662" s="1" t="s">
        <v>13</v>
      </c>
      <c r="I662" s="1" t="s">
        <v>14</v>
      </c>
      <c r="J662" s="14">
        <v>0.56993055555555561</v>
      </c>
      <c r="K662" s="15">
        <v>45514</v>
      </c>
      <c r="M662" s="2">
        <v>3.64</v>
      </c>
      <c r="O662" s="2">
        <f t="shared" si="67"/>
        <v>3.5750000000000002</v>
      </c>
      <c r="P662" s="2">
        <f t="shared" si="68"/>
        <v>60.450698856416778</v>
      </c>
      <c r="Q662" s="2">
        <f t="shared" si="69"/>
        <v>0.29799999999999366</v>
      </c>
      <c r="R662" s="2">
        <f t="shared" si="70"/>
        <v>0.3023246505717852</v>
      </c>
      <c r="S662" s="2">
        <f t="shared" si="71"/>
        <v>-4.324650571791544E-3</v>
      </c>
    </row>
    <row r="663" spans="2:19" x14ac:dyDescent="0.25">
      <c r="B663" s="1">
        <f t="shared" si="72"/>
        <v>657</v>
      </c>
      <c r="C663" s="1">
        <v>1043</v>
      </c>
      <c r="D663" s="13">
        <v>59.6</v>
      </c>
      <c r="E663" s="1" t="s">
        <v>11</v>
      </c>
      <c r="F663" s="2">
        <v>3.7149999999999999</v>
      </c>
      <c r="G663" s="1" t="s">
        <v>12</v>
      </c>
      <c r="H663" s="1" t="s">
        <v>13</v>
      </c>
      <c r="I663" s="1" t="s">
        <v>14</v>
      </c>
      <c r="J663" s="14">
        <v>0.56993055555555561</v>
      </c>
      <c r="K663" s="15">
        <v>45514</v>
      </c>
      <c r="M663" s="2">
        <v>3.645</v>
      </c>
      <c r="O663" s="2">
        <f t="shared" si="67"/>
        <v>3.58</v>
      </c>
      <c r="P663" s="2">
        <f t="shared" si="68"/>
        <v>60.47916137229987</v>
      </c>
      <c r="Q663" s="2">
        <f t="shared" si="69"/>
        <v>0.29824999999999369</v>
      </c>
      <c r="R663" s="2">
        <f t="shared" si="70"/>
        <v>0.3024669631512007</v>
      </c>
      <c r="S663" s="2">
        <f t="shared" si="71"/>
        <v>-4.2169631512070094E-3</v>
      </c>
    </row>
    <row r="664" spans="2:19" x14ac:dyDescent="0.25">
      <c r="B664" s="1">
        <f t="shared" si="72"/>
        <v>658</v>
      </c>
      <c r="C664" s="1">
        <v>1044</v>
      </c>
      <c r="D664" s="13">
        <v>59.7</v>
      </c>
      <c r="E664" s="1" t="s">
        <v>11</v>
      </c>
      <c r="F664" s="2">
        <v>3.72</v>
      </c>
      <c r="G664" s="1" t="s">
        <v>12</v>
      </c>
      <c r="H664" s="1" t="s">
        <v>13</v>
      </c>
      <c r="I664" s="1" t="s">
        <v>14</v>
      </c>
      <c r="J664" s="14">
        <v>0.56993055555555561</v>
      </c>
      <c r="K664" s="15">
        <v>45514</v>
      </c>
      <c r="M664" s="2">
        <v>3.65</v>
      </c>
      <c r="O664" s="2">
        <f t="shared" si="67"/>
        <v>3.585</v>
      </c>
      <c r="P664" s="2">
        <f t="shared" si="68"/>
        <v>60.507623888182977</v>
      </c>
      <c r="Q664" s="2">
        <f t="shared" si="69"/>
        <v>0.29874999999999363</v>
      </c>
      <c r="R664" s="2">
        <f t="shared" si="70"/>
        <v>0.30260927573061619</v>
      </c>
      <c r="S664" s="2">
        <f t="shared" si="71"/>
        <v>-3.8592757306225578E-3</v>
      </c>
    </row>
    <row r="665" spans="2:19" x14ac:dyDescent="0.25">
      <c r="B665" s="1">
        <f t="shared" si="72"/>
        <v>659</v>
      </c>
      <c r="C665" s="1">
        <v>1045</v>
      </c>
      <c r="D665" s="13">
        <v>59.8</v>
      </c>
      <c r="E665" s="1" t="s">
        <v>11</v>
      </c>
      <c r="F665" s="2">
        <v>3.7250000000000001</v>
      </c>
      <c r="G665" s="1" t="s">
        <v>12</v>
      </c>
      <c r="H665" s="1" t="s">
        <v>13</v>
      </c>
      <c r="I665" s="1" t="s">
        <v>14</v>
      </c>
      <c r="J665" s="14">
        <v>0.56993055555555561</v>
      </c>
      <c r="K665" s="15">
        <v>45514</v>
      </c>
      <c r="M665" s="2">
        <v>3.6549999999999998</v>
      </c>
      <c r="O665" s="2">
        <f t="shared" si="67"/>
        <v>3.59</v>
      </c>
      <c r="P665" s="2">
        <f t="shared" si="68"/>
        <v>60.536086404066076</v>
      </c>
      <c r="Q665" s="2">
        <f t="shared" si="69"/>
        <v>0.29900000000002019</v>
      </c>
      <c r="R665" s="2">
        <f t="shared" si="70"/>
        <v>0.30275158831005861</v>
      </c>
      <c r="S665" s="2">
        <f t="shared" si="71"/>
        <v>-3.7515883100384118E-3</v>
      </c>
    </row>
    <row r="666" spans="2:19" x14ac:dyDescent="0.25">
      <c r="B666" s="1">
        <f t="shared" si="72"/>
        <v>660</v>
      </c>
      <c r="C666" s="1">
        <v>1046</v>
      </c>
      <c r="D666" s="13">
        <v>59.8</v>
      </c>
      <c r="E666" s="1" t="s">
        <v>11</v>
      </c>
      <c r="F666" s="2">
        <v>3.73</v>
      </c>
      <c r="G666" s="1" t="s">
        <v>12</v>
      </c>
      <c r="H666" s="1" t="s">
        <v>13</v>
      </c>
      <c r="I666" s="1" t="s">
        <v>14</v>
      </c>
      <c r="J666" s="14">
        <v>0.56994212962962965</v>
      </c>
      <c r="K666" s="15">
        <v>45514</v>
      </c>
      <c r="M666" s="2">
        <v>3.66</v>
      </c>
      <c r="O666" s="2">
        <f t="shared" si="67"/>
        <v>3.5950000000000002</v>
      </c>
      <c r="P666" s="2">
        <f t="shared" si="68"/>
        <v>60.564548919949175</v>
      </c>
      <c r="Q666" s="2">
        <f t="shared" si="69"/>
        <v>0.59849999999998715</v>
      </c>
      <c r="R666" s="2">
        <f t="shared" si="70"/>
        <v>0.60593011435830979</v>
      </c>
      <c r="S666" s="2">
        <f t="shared" si="71"/>
        <v>-7.430114358322637E-3</v>
      </c>
    </row>
    <row r="667" spans="2:19" x14ac:dyDescent="0.25">
      <c r="B667" s="1">
        <f t="shared" si="72"/>
        <v>661</v>
      </c>
      <c r="C667" s="1">
        <v>1047</v>
      </c>
      <c r="D667" s="13">
        <v>59.9</v>
      </c>
      <c r="E667" s="1" t="s">
        <v>11</v>
      </c>
      <c r="F667" s="2">
        <v>3.74</v>
      </c>
      <c r="G667" s="1" t="s">
        <v>12</v>
      </c>
      <c r="H667" s="1" t="s">
        <v>13</v>
      </c>
      <c r="I667" s="1" t="s">
        <v>14</v>
      </c>
      <c r="J667" s="14">
        <v>0.56994212962962965</v>
      </c>
      <c r="K667" s="15">
        <v>45514</v>
      </c>
      <c r="M667" s="2">
        <v>3.67</v>
      </c>
      <c r="O667" s="2">
        <f t="shared" si="67"/>
        <v>3.605</v>
      </c>
      <c r="P667" s="2">
        <f t="shared" si="68"/>
        <v>60.621473951715373</v>
      </c>
      <c r="Q667" s="2">
        <f t="shared" si="69"/>
        <v>0.29974999999999363</v>
      </c>
      <c r="R667" s="2">
        <f t="shared" si="70"/>
        <v>0.30317852604827816</v>
      </c>
      <c r="S667" s="2">
        <f t="shared" si="71"/>
        <v>-3.4285260482845303E-3</v>
      </c>
    </row>
    <row r="668" spans="2:19" x14ac:dyDescent="0.25">
      <c r="B668" s="1">
        <f t="shared" si="72"/>
        <v>662</v>
      </c>
      <c r="C668" s="1">
        <v>1048</v>
      </c>
      <c r="D668" s="13">
        <v>60</v>
      </c>
      <c r="E668" s="1" t="s">
        <v>11</v>
      </c>
      <c r="F668" s="2">
        <v>3.7450000000000001</v>
      </c>
      <c r="G668" s="1" t="s">
        <v>12</v>
      </c>
      <c r="H668" s="1" t="s">
        <v>13</v>
      </c>
      <c r="I668" s="1" t="s">
        <v>14</v>
      </c>
      <c r="J668" s="14">
        <v>0.56994212962962965</v>
      </c>
      <c r="K668" s="15">
        <v>45514</v>
      </c>
      <c r="M668" s="2">
        <v>3.6749999999999998</v>
      </c>
      <c r="O668" s="2">
        <f t="shared" si="67"/>
        <v>3.61</v>
      </c>
      <c r="P668" s="2">
        <f t="shared" si="68"/>
        <v>60.649936467598479</v>
      </c>
      <c r="Q668" s="2">
        <f t="shared" si="69"/>
        <v>0.30000000000002025</v>
      </c>
      <c r="R668" s="2">
        <f t="shared" si="70"/>
        <v>0.30332083862772058</v>
      </c>
      <c r="S668" s="2">
        <f t="shared" si="71"/>
        <v>-3.3208386277003288E-3</v>
      </c>
    </row>
    <row r="669" spans="2:19" x14ac:dyDescent="0.25">
      <c r="B669" s="1">
        <f t="shared" si="72"/>
        <v>663</v>
      </c>
      <c r="C669" s="1">
        <v>1049</v>
      </c>
      <c r="D669" s="13">
        <v>60</v>
      </c>
      <c r="E669" s="1" t="s">
        <v>11</v>
      </c>
      <c r="F669" s="2">
        <v>3.75</v>
      </c>
      <c r="G669" s="1" t="s">
        <v>12</v>
      </c>
      <c r="H669" s="1" t="s">
        <v>13</v>
      </c>
      <c r="I669" s="1" t="s">
        <v>14</v>
      </c>
      <c r="J669" s="14">
        <v>0.56994212962962965</v>
      </c>
      <c r="K669" s="15">
        <v>45514</v>
      </c>
      <c r="M669" s="2">
        <v>3.68</v>
      </c>
      <c r="O669" s="2">
        <f t="shared" si="67"/>
        <v>3.6150000000000002</v>
      </c>
      <c r="P669" s="2">
        <f t="shared" si="68"/>
        <v>60.678398983481578</v>
      </c>
      <c r="Q669" s="2">
        <f t="shared" si="69"/>
        <v>0.29999999999999361</v>
      </c>
      <c r="R669" s="2">
        <f t="shared" si="70"/>
        <v>0.30346315120710921</v>
      </c>
      <c r="S669" s="2">
        <f t="shared" si="71"/>
        <v>-3.4631512071156001E-3</v>
      </c>
    </row>
    <row r="670" spans="2:19" x14ac:dyDescent="0.25">
      <c r="B670" s="1">
        <f t="shared" si="72"/>
        <v>664</v>
      </c>
      <c r="C670" s="1">
        <v>1050</v>
      </c>
      <c r="D670" s="13">
        <v>60</v>
      </c>
      <c r="E670" s="1" t="s">
        <v>11</v>
      </c>
      <c r="F670" s="2">
        <v>3.7549999999999999</v>
      </c>
      <c r="G670" s="1" t="s">
        <v>12</v>
      </c>
      <c r="H670" s="1" t="s">
        <v>13</v>
      </c>
      <c r="I670" s="1" t="s">
        <v>14</v>
      </c>
      <c r="J670" s="14">
        <v>0.56994212962962965</v>
      </c>
      <c r="K670" s="15">
        <v>45514</v>
      </c>
      <c r="M670" s="2">
        <v>3.6850000000000001</v>
      </c>
      <c r="O670" s="2">
        <f t="shared" si="67"/>
        <v>3.62</v>
      </c>
      <c r="P670" s="2">
        <f t="shared" si="68"/>
        <v>60.706861499364678</v>
      </c>
      <c r="Q670" s="2">
        <f t="shared" si="69"/>
        <v>0.29999999999999361</v>
      </c>
      <c r="R670" s="2">
        <f t="shared" si="70"/>
        <v>0.30360546378652464</v>
      </c>
      <c r="S670" s="2">
        <f t="shared" si="71"/>
        <v>-3.6054637865310379E-3</v>
      </c>
    </row>
    <row r="671" spans="2:19" x14ac:dyDescent="0.25">
      <c r="B671" s="1">
        <f t="shared" si="72"/>
        <v>665</v>
      </c>
      <c r="C671" s="1">
        <v>1051</v>
      </c>
      <c r="D671" s="13">
        <v>60</v>
      </c>
      <c r="E671" s="1" t="s">
        <v>11</v>
      </c>
      <c r="F671" s="2">
        <v>3.76</v>
      </c>
      <c r="G671" s="1" t="s">
        <v>12</v>
      </c>
      <c r="H671" s="1" t="s">
        <v>13</v>
      </c>
      <c r="I671" s="1" t="s">
        <v>14</v>
      </c>
      <c r="J671" s="14">
        <v>0.56994212962962965</v>
      </c>
      <c r="K671" s="15">
        <v>45514</v>
      </c>
      <c r="M671" s="2">
        <v>3.69</v>
      </c>
      <c r="O671" s="2">
        <f t="shared" si="67"/>
        <v>3.625</v>
      </c>
      <c r="P671" s="2">
        <f t="shared" si="68"/>
        <v>60.735324015247777</v>
      </c>
      <c r="Q671" s="2">
        <f t="shared" si="69"/>
        <v>0.29999999999999361</v>
      </c>
      <c r="R671" s="2">
        <f t="shared" si="70"/>
        <v>0.30374777636594019</v>
      </c>
      <c r="S671" s="2">
        <f t="shared" si="71"/>
        <v>-3.7477763659465868E-3</v>
      </c>
    </row>
    <row r="672" spans="2:19" x14ac:dyDescent="0.25">
      <c r="B672" s="1">
        <f t="shared" si="72"/>
        <v>666</v>
      </c>
      <c r="C672" s="1">
        <v>1052</v>
      </c>
      <c r="D672" s="13">
        <v>60</v>
      </c>
      <c r="E672" s="1" t="s">
        <v>11</v>
      </c>
      <c r="F672" s="2">
        <v>3.7650000000000001</v>
      </c>
      <c r="G672" s="1" t="s">
        <v>12</v>
      </c>
      <c r="H672" s="1" t="s">
        <v>13</v>
      </c>
      <c r="I672" s="1" t="s">
        <v>14</v>
      </c>
      <c r="J672" s="14">
        <v>0.56994212962962965</v>
      </c>
      <c r="K672" s="15">
        <v>45514</v>
      </c>
      <c r="M672" s="2">
        <v>3.6949999999999998</v>
      </c>
      <c r="O672" s="2">
        <f t="shared" si="67"/>
        <v>3.63</v>
      </c>
      <c r="P672" s="2">
        <f t="shared" si="68"/>
        <v>60.763786531130876</v>
      </c>
      <c r="Q672" s="2">
        <f t="shared" si="69"/>
        <v>0.30000000000002025</v>
      </c>
      <c r="R672" s="2">
        <f t="shared" si="70"/>
        <v>0.30389008894538266</v>
      </c>
      <c r="S672" s="2">
        <f t="shared" si="71"/>
        <v>-3.8900889453624132E-3</v>
      </c>
    </row>
    <row r="673" spans="2:19" x14ac:dyDescent="0.25">
      <c r="B673" s="1">
        <f t="shared" si="72"/>
        <v>667</v>
      </c>
      <c r="C673" s="1">
        <v>1053</v>
      </c>
      <c r="D673" s="13">
        <v>60</v>
      </c>
      <c r="E673" s="1" t="s">
        <v>11</v>
      </c>
      <c r="F673" s="2">
        <v>3.77</v>
      </c>
      <c r="G673" s="1" t="s">
        <v>12</v>
      </c>
      <c r="H673" s="1" t="s">
        <v>13</v>
      </c>
      <c r="I673" s="1" t="s">
        <v>14</v>
      </c>
      <c r="J673" s="14">
        <v>0.56994212962962965</v>
      </c>
      <c r="K673" s="15">
        <v>45514</v>
      </c>
      <c r="M673" s="2">
        <v>3.7</v>
      </c>
      <c r="O673" s="2">
        <f t="shared" si="67"/>
        <v>3.6350000000000002</v>
      </c>
      <c r="P673" s="2">
        <f t="shared" si="68"/>
        <v>60.792249047013982</v>
      </c>
      <c r="Q673" s="2">
        <f t="shared" si="69"/>
        <v>0.30024999999999358</v>
      </c>
      <c r="R673" s="2">
        <f t="shared" si="70"/>
        <v>0.30403240152477118</v>
      </c>
      <c r="S673" s="2">
        <f t="shared" si="71"/>
        <v>-3.7824015247776011E-3</v>
      </c>
    </row>
    <row r="674" spans="2:19" x14ac:dyDescent="0.25">
      <c r="B674" s="1">
        <f t="shared" si="72"/>
        <v>668</v>
      </c>
      <c r="C674" s="1">
        <v>1054</v>
      </c>
      <c r="D674" s="13">
        <v>60.1</v>
      </c>
      <c r="E674" s="1" t="s">
        <v>11</v>
      </c>
      <c r="F674" s="2">
        <v>3.7749999999999999</v>
      </c>
      <c r="G674" s="1" t="s">
        <v>12</v>
      </c>
      <c r="H674" s="1" t="s">
        <v>13</v>
      </c>
      <c r="I674" s="1" t="s">
        <v>14</v>
      </c>
      <c r="J674" s="14">
        <v>0.56994212962962965</v>
      </c>
      <c r="K674" s="15">
        <v>45514</v>
      </c>
      <c r="M674" s="2">
        <v>3.7050000000000001</v>
      </c>
      <c r="O674" s="2">
        <f t="shared" si="67"/>
        <v>3.64</v>
      </c>
      <c r="P674" s="2">
        <f t="shared" si="68"/>
        <v>60.820711562897081</v>
      </c>
      <c r="Q674" s="2">
        <f t="shared" si="69"/>
        <v>0.30049999999999361</v>
      </c>
      <c r="R674" s="2">
        <f t="shared" si="70"/>
        <v>0.30417471410418667</v>
      </c>
      <c r="S674" s="2">
        <f t="shared" si="71"/>
        <v>-3.6747141041930664E-3</v>
      </c>
    </row>
    <row r="675" spans="2:19" x14ac:dyDescent="0.25">
      <c r="B675" s="1">
        <f t="shared" si="72"/>
        <v>669</v>
      </c>
      <c r="C675" s="1">
        <v>1055</v>
      </c>
      <c r="D675" s="13">
        <v>60.1</v>
      </c>
      <c r="E675" s="1" t="s">
        <v>11</v>
      </c>
      <c r="F675" s="2">
        <v>3.78</v>
      </c>
      <c r="G675" s="1" t="s">
        <v>12</v>
      </c>
      <c r="H675" s="1" t="s">
        <v>13</v>
      </c>
      <c r="I675" s="1" t="s">
        <v>14</v>
      </c>
      <c r="J675" s="14">
        <v>0.56994212962962965</v>
      </c>
      <c r="K675" s="15">
        <v>45514</v>
      </c>
      <c r="M675" s="2">
        <v>3.71</v>
      </c>
      <c r="O675" s="2">
        <f t="shared" si="67"/>
        <v>3.645</v>
      </c>
      <c r="P675" s="2">
        <f t="shared" si="68"/>
        <v>60.84917407878018</v>
      </c>
      <c r="Q675" s="2">
        <f t="shared" si="69"/>
        <v>0.30049999999999361</v>
      </c>
      <c r="R675" s="2">
        <f t="shared" si="70"/>
        <v>0.30431702668360217</v>
      </c>
      <c r="S675" s="2">
        <f t="shared" si="71"/>
        <v>-3.8170266836085598E-3</v>
      </c>
    </row>
    <row r="676" spans="2:19" x14ac:dyDescent="0.25">
      <c r="B676" s="1">
        <f t="shared" si="72"/>
        <v>670</v>
      </c>
      <c r="C676" s="1">
        <v>1056</v>
      </c>
      <c r="D676" s="13">
        <v>60.1</v>
      </c>
      <c r="E676" s="1" t="s">
        <v>11</v>
      </c>
      <c r="F676" s="2">
        <v>3.7850000000000001</v>
      </c>
      <c r="G676" s="1" t="s">
        <v>12</v>
      </c>
      <c r="H676" s="1" t="s">
        <v>13</v>
      </c>
      <c r="I676" s="1" t="s">
        <v>14</v>
      </c>
      <c r="J676" s="14">
        <v>0.56995370370370368</v>
      </c>
      <c r="K676" s="15">
        <v>45514</v>
      </c>
      <c r="M676" s="2">
        <v>3.7149999999999999</v>
      </c>
      <c r="O676" s="2">
        <f t="shared" si="67"/>
        <v>3.65</v>
      </c>
      <c r="P676" s="2">
        <f t="shared" si="68"/>
        <v>60.877636594663279</v>
      </c>
      <c r="Q676" s="2">
        <f t="shared" si="69"/>
        <v>0.30075000000002033</v>
      </c>
      <c r="R676" s="2">
        <f t="shared" si="70"/>
        <v>0.30445933926304469</v>
      </c>
      <c r="S676" s="2">
        <f t="shared" si="71"/>
        <v>-3.7093392630243582E-3</v>
      </c>
    </row>
    <row r="677" spans="2:19" x14ac:dyDescent="0.25">
      <c r="B677" s="1">
        <f t="shared" si="72"/>
        <v>671</v>
      </c>
      <c r="C677" s="1">
        <v>1057</v>
      </c>
      <c r="D677" s="13">
        <v>60.2</v>
      </c>
      <c r="E677" s="1" t="s">
        <v>11</v>
      </c>
      <c r="F677" s="2">
        <v>3.79</v>
      </c>
      <c r="G677" s="1" t="s">
        <v>12</v>
      </c>
      <c r="H677" s="1" t="s">
        <v>13</v>
      </c>
      <c r="I677" s="1" t="s">
        <v>14</v>
      </c>
      <c r="J677" s="14">
        <v>0.56995370370370368</v>
      </c>
      <c r="K677" s="15">
        <v>45514</v>
      </c>
      <c r="M677" s="2">
        <v>3.72</v>
      </c>
      <c r="O677" s="2">
        <f t="shared" si="67"/>
        <v>3.6550000000000002</v>
      </c>
      <c r="P677" s="2">
        <f t="shared" si="68"/>
        <v>60.906099110546378</v>
      </c>
      <c r="Q677" s="2">
        <f t="shared" si="69"/>
        <v>0.30099999999999361</v>
      </c>
      <c r="R677" s="2">
        <f t="shared" si="70"/>
        <v>0.30460165184243315</v>
      </c>
      <c r="S677" s="2">
        <f t="shared" si="71"/>
        <v>-3.6016518424395461E-3</v>
      </c>
    </row>
    <row r="678" spans="2:19" x14ac:dyDescent="0.25">
      <c r="B678" s="1">
        <f t="shared" si="72"/>
        <v>672</v>
      </c>
      <c r="C678" s="1">
        <v>1058</v>
      </c>
      <c r="D678" s="13">
        <v>60.2</v>
      </c>
      <c r="E678" s="1" t="s">
        <v>11</v>
      </c>
      <c r="F678" s="2">
        <v>3.7949999999999999</v>
      </c>
      <c r="G678" s="1" t="s">
        <v>12</v>
      </c>
      <c r="H678" s="1" t="s">
        <v>13</v>
      </c>
      <c r="I678" s="1" t="s">
        <v>14</v>
      </c>
      <c r="J678" s="14">
        <v>0.56995370370370368</v>
      </c>
      <c r="K678" s="15">
        <v>45514</v>
      </c>
      <c r="M678" s="2">
        <v>3.7250000000000001</v>
      </c>
      <c r="O678" s="2">
        <f t="shared" si="67"/>
        <v>3.66</v>
      </c>
      <c r="P678" s="2">
        <f t="shared" si="68"/>
        <v>60.934561626429485</v>
      </c>
      <c r="Q678" s="2">
        <f t="shared" si="69"/>
        <v>0.30124999999999358</v>
      </c>
      <c r="R678" s="2">
        <f t="shared" si="70"/>
        <v>0.30474396442184865</v>
      </c>
      <c r="S678" s="2">
        <f t="shared" si="71"/>
        <v>-3.4939644218550669E-3</v>
      </c>
    </row>
    <row r="679" spans="2:19" x14ac:dyDescent="0.25">
      <c r="B679" s="1">
        <f t="shared" si="72"/>
        <v>673</v>
      </c>
      <c r="C679" s="1">
        <v>1059</v>
      </c>
      <c r="D679" s="13">
        <v>60.3</v>
      </c>
      <c r="E679" s="1" t="s">
        <v>11</v>
      </c>
      <c r="F679" s="2">
        <v>3.8</v>
      </c>
      <c r="G679" s="1" t="s">
        <v>12</v>
      </c>
      <c r="H679" s="1" t="s">
        <v>13</v>
      </c>
      <c r="I679" s="1" t="s">
        <v>14</v>
      </c>
      <c r="J679" s="14">
        <v>0.56995370370370368</v>
      </c>
      <c r="K679" s="15">
        <v>45514</v>
      </c>
      <c r="M679" s="2">
        <v>3.73</v>
      </c>
      <c r="O679" s="2">
        <f t="shared" si="67"/>
        <v>3.665</v>
      </c>
      <c r="P679" s="2">
        <f t="shared" si="68"/>
        <v>60.963024142312577</v>
      </c>
      <c r="Q679" s="2">
        <f t="shared" si="69"/>
        <v>0.30149999999999355</v>
      </c>
      <c r="R679" s="2">
        <f t="shared" si="70"/>
        <v>0.30488627700126414</v>
      </c>
      <c r="S679" s="2">
        <f t="shared" si="71"/>
        <v>-3.3862770012705878E-3</v>
      </c>
    </row>
    <row r="680" spans="2:19" x14ac:dyDescent="0.25">
      <c r="B680" s="1">
        <f t="shared" si="72"/>
        <v>674</v>
      </c>
      <c r="C680" s="1">
        <v>1060</v>
      </c>
      <c r="D680" s="13">
        <v>60.3</v>
      </c>
      <c r="E680" s="1" t="s">
        <v>11</v>
      </c>
      <c r="F680" s="2">
        <v>3.8050000000000002</v>
      </c>
      <c r="G680" s="1" t="s">
        <v>12</v>
      </c>
      <c r="H680" s="1" t="s">
        <v>13</v>
      </c>
      <c r="I680" s="1" t="s">
        <v>14</v>
      </c>
      <c r="J680" s="14">
        <v>0.56995370370370368</v>
      </c>
      <c r="K680" s="15">
        <v>45514</v>
      </c>
      <c r="M680" s="2">
        <v>3.7349999999999999</v>
      </c>
      <c r="O680" s="2">
        <f t="shared" si="67"/>
        <v>3.67</v>
      </c>
      <c r="P680" s="2">
        <f t="shared" si="68"/>
        <v>60.991486658195683</v>
      </c>
      <c r="Q680" s="2">
        <f t="shared" si="69"/>
        <v>0.30175000000002034</v>
      </c>
      <c r="R680" s="2">
        <f t="shared" si="70"/>
        <v>0.30502858958070672</v>
      </c>
      <c r="S680" s="2">
        <f t="shared" si="71"/>
        <v>-3.2785895806863863E-3</v>
      </c>
    </row>
    <row r="681" spans="2:19" x14ac:dyDescent="0.25">
      <c r="B681" s="1">
        <f t="shared" si="72"/>
        <v>675</v>
      </c>
      <c r="C681" s="1">
        <v>1061</v>
      </c>
      <c r="D681" s="13">
        <v>60.4</v>
      </c>
      <c r="E681" s="1" t="s">
        <v>11</v>
      </c>
      <c r="F681" s="2">
        <v>3.81</v>
      </c>
      <c r="G681" s="1" t="s">
        <v>12</v>
      </c>
      <c r="H681" s="1" t="s">
        <v>13</v>
      </c>
      <c r="I681" s="1" t="s">
        <v>14</v>
      </c>
      <c r="J681" s="14">
        <v>0.56995370370370368</v>
      </c>
      <c r="K681" s="15">
        <v>45514</v>
      </c>
      <c r="M681" s="2">
        <v>3.74</v>
      </c>
      <c r="O681" s="2">
        <f t="shared" si="67"/>
        <v>3.6750000000000003</v>
      </c>
      <c r="P681" s="2">
        <f t="shared" si="68"/>
        <v>61.019949174078782</v>
      </c>
      <c r="Q681" s="2">
        <f t="shared" si="69"/>
        <v>0.30199999999999355</v>
      </c>
      <c r="R681" s="2">
        <f t="shared" si="70"/>
        <v>0.30517090216009518</v>
      </c>
      <c r="S681" s="2">
        <f t="shared" si="71"/>
        <v>-3.1709021601016296E-3</v>
      </c>
    </row>
    <row r="682" spans="2:19" x14ac:dyDescent="0.25">
      <c r="B682" s="1">
        <f t="shared" si="72"/>
        <v>676</v>
      </c>
      <c r="C682" s="1">
        <v>1062</v>
      </c>
      <c r="D682" s="13">
        <v>60.4</v>
      </c>
      <c r="E682" s="1" t="s">
        <v>11</v>
      </c>
      <c r="F682" s="2">
        <v>3.8149999999999999</v>
      </c>
      <c r="G682" s="1" t="s">
        <v>12</v>
      </c>
      <c r="H682" s="1" t="s">
        <v>13</v>
      </c>
      <c r="I682" s="1" t="s">
        <v>14</v>
      </c>
      <c r="J682" s="14">
        <v>0.56995370370370368</v>
      </c>
      <c r="K682" s="15">
        <v>45514</v>
      </c>
      <c r="M682" s="2">
        <v>3.7450000000000001</v>
      </c>
      <c r="O682" s="2">
        <f t="shared" si="67"/>
        <v>3.68</v>
      </c>
      <c r="P682" s="2">
        <f t="shared" si="68"/>
        <v>61.048411689961881</v>
      </c>
      <c r="Q682" s="2">
        <f t="shared" si="69"/>
        <v>0.30199999999999355</v>
      </c>
      <c r="R682" s="2">
        <f t="shared" si="70"/>
        <v>0.30531321473951067</v>
      </c>
      <c r="S682" s="2">
        <f t="shared" si="71"/>
        <v>-3.313214739517123E-3</v>
      </c>
    </row>
    <row r="683" spans="2:19" x14ac:dyDescent="0.25">
      <c r="B683" s="1">
        <f t="shared" si="72"/>
        <v>677</v>
      </c>
      <c r="C683" s="1">
        <v>1063</v>
      </c>
      <c r="D683" s="13">
        <v>60.4</v>
      </c>
      <c r="E683" s="1" t="s">
        <v>11</v>
      </c>
      <c r="F683" s="2">
        <v>3.82</v>
      </c>
      <c r="G683" s="1" t="s">
        <v>12</v>
      </c>
      <c r="H683" s="1" t="s">
        <v>13</v>
      </c>
      <c r="I683" s="1" t="s">
        <v>14</v>
      </c>
      <c r="J683" s="14">
        <v>0.56995370370370368</v>
      </c>
      <c r="K683" s="15">
        <v>45514</v>
      </c>
      <c r="M683" s="2">
        <v>3.75</v>
      </c>
      <c r="O683" s="2">
        <f t="shared" si="67"/>
        <v>3.6850000000000001</v>
      </c>
      <c r="P683" s="2">
        <f t="shared" si="68"/>
        <v>61.076874205844987</v>
      </c>
      <c r="Q683" s="2">
        <f t="shared" si="69"/>
        <v>0.30199999999999355</v>
      </c>
      <c r="R683" s="2">
        <f t="shared" si="70"/>
        <v>0.30545552731892617</v>
      </c>
      <c r="S683" s="2">
        <f t="shared" si="71"/>
        <v>-3.4555273189326163E-3</v>
      </c>
    </row>
    <row r="684" spans="2:19" x14ac:dyDescent="0.25">
      <c r="B684" s="1">
        <f t="shared" si="72"/>
        <v>678</v>
      </c>
      <c r="C684" s="1">
        <v>1065</v>
      </c>
      <c r="D684" s="13">
        <v>60.4</v>
      </c>
      <c r="E684" s="1" t="s">
        <v>11</v>
      </c>
      <c r="F684" s="2">
        <v>3.8250000000000002</v>
      </c>
      <c r="G684" s="1" t="s">
        <v>12</v>
      </c>
      <c r="H684" s="1" t="s">
        <v>13</v>
      </c>
      <c r="I684" s="1" t="s">
        <v>14</v>
      </c>
      <c r="J684" s="14">
        <v>0.56995370370370368</v>
      </c>
      <c r="K684" s="15">
        <v>45514</v>
      </c>
      <c r="M684" s="2">
        <v>3.7549999999999999</v>
      </c>
      <c r="O684" s="2">
        <f t="shared" si="67"/>
        <v>3.69</v>
      </c>
      <c r="P684" s="2">
        <f t="shared" si="68"/>
        <v>61.105336721728079</v>
      </c>
      <c r="Q684" s="2">
        <f t="shared" si="69"/>
        <v>0.30224999999999358</v>
      </c>
      <c r="R684" s="2">
        <f t="shared" si="70"/>
        <v>0.30559783989834166</v>
      </c>
      <c r="S684" s="2">
        <f t="shared" si="71"/>
        <v>-3.3478398983480817E-3</v>
      </c>
    </row>
    <row r="685" spans="2:19" x14ac:dyDescent="0.25">
      <c r="B685" s="1">
        <f t="shared" si="72"/>
        <v>679</v>
      </c>
      <c r="C685" s="1">
        <v>1066</v>
      </c>
      <c r="D685" s="13">
        <v>60.5</v>
      </c>
      <c r="E685" s="1" t="s">
        <v>11</v>
      </c>
      <c r="F685" s="2">
        <v>3.83</v>
      </c>
      <c r="G685" s="1" t="s">
        <v>12</v>
      </c>
      <c r="H685" s="1" t="s">
        <v>13</v>
      </c>
      <c r="I685" s="1" t="s">
        <v>14</v>
      </c>
      <c r="J685" s="14">
        <v>0.56996527777777772</v>
      </c>
      <c r="K685" s="15">
        <v>45514</v>
      </c>
      <c r="M685" s="2">
        <v>3.76</v>
      </c>
      <c r="O685" s="2">
        <f t="shared" si="67"/>
        <v>3.6949999999999998</v>
      </c>
      <c r="P685" s="2">
        <f t="shared" si="68"/>
        <v>61.133799237611186</v>
      </c>
      <c r="Q685" s="2">
        <f t="shared" si="69"/>
        <v>0.30250000000002042</v>
      </c>
      <c r="R685" s="2">
        <f t="shared" si="70"/>
        <v>0.3057401524777843</v>
      </c>
      <c r="S685" s="2">
        <f t="shared" si="71"/>
        <v>-3.2401524777638802E-3</v>
      </c>
    </row>
    <row r="686" spans="2:19" x14ac:dyDescent="0.25">
      <c r="B686" s="1">
        <f t="shared" si="72"/>
        <v>680</v>
      </c>
      <c r="C686" s="1">
        <v>1067</v>
      </c>
      <c r="D686" s="13">
        <v>60.5</v>
      </c>
      <c r="E686" s="1" t="s">
        <v>11</v>
      </c>
      <c r="F686" s="2">
        <v>3.835</v>
      </c>
      <c r="G686" s="1" t="s">
        <v>12</v>
      </c>
      <c r="H686" s="1" t="s">
        <v>13</v>
      </c>
      <c r="I686" s="1" t="s">
        <v>14</v>
      </c>
      <c r="J686" s="14">
        <v>0.56996527777777772</v>
      </c>
      <c r="K686" s="15">
        <v>45514</v>
      </c>
      <c r="M686" s="2">
        <v>3.7650000000000001</v>
      </c>
      <c r="O686" s="2">
        <f t="shared" si="67"/>
        <v>3.7</v>
      </c>
      <c r="P686" s="2">
        <f t="shared" si="68"/>
        <v>61.162261753494285</v>
      </c>
      <c r="Q686" s="2">
        <f t="shared" si="69"/>
        <v>0.30274999999999352</v>
      </c>
      <c r="R686" s="2">
        <f t="shared" si="70"/>
        <v>0.30588246505717265</v>
      </c>
      <c r="S686" s="2">
        <f t="shared" si="71"/>
        <v>-3.1324650571791235E-3</v>
      </c>
    </row>
    <row r="687" spans="2:19" x14ac:dyDescent="0.25">
      <c r="B687" s="1">
        <f t="shared" si="72"/>
        <v>681</v>
      </c>
      <c r="C687" s="1">
        <v>1069</v>
      </c>
      <c r="D687" s="13">
        <v>60.6</v>
      </c>
      <c r="E687" s="1" t="s">
        <v>11</v>
      </c>
      <c r="F687" s="2">
        <v>3.84</v>
      </c>
      <c r="G687" s="1" t="s">
        <v>12</v>
      </c>
      <c r="H687" s="1" t="s">
        <v>13</v>
      </c>
      <c r="I687" s="1" t="s">
        <v>14</v>
      </c>
      <c r="J687" s="14">
        <v>0.56996527777777772</v>
      </c>
      <c r="K687" s="15">
        <v>45514</v>
      </c>
      <c r="M687" s="2">
        <v>3.77</v>
      </c>
      <c r="O687" s="2">
        <f t="shared" si="67"/>
        <v>3.7050000000000001</v>
      </c>
      <c r="P687" s="2">
        <f t="shared" si="68"/>
        <v>61.190724269377384</v>
      </c>
      <c r="Q687" s="2">
        <f t="shared" si="69"/>
        <v>0.30299999999999355</v>
      </c>
      <c r="R687" s="2">
        <f t="shared" si="70"/>
        <v>0.30602477763658814</v>
      </c>
      <c r="S687" s="2">
        <f t="shared" si="71"/>
        <v>-3.0247776365945889E-3</v>
      </c>
    </row>
    <row r="688" spans="2:19" x14ac:dyDescent="0.25">
      <c r="B688" s="1">
        <f t="shared" si="72"/>
        <v>682</v>
      </c>
      <c r="C688" s="1">
        <v>1070</v>
      </c>
      <c r="D688" s="13">
        <v>60.6</v>
      </c>
      <c r="E688" s="1" t="s">
        <v>11</v>
      </c>
      <c r="F688" s="2">
        <v>3.8450000000000002</v>
      </c>
      <c r="G688" s="1" t="s">
        <v>12</v>
      </c>
      <c r="H688" s="1" t="s">
        <v>13</v>
      </c>
      <c r="I688" s="1" t="s">
        <v>14</v>
      </c>
      <c r="J688" s="14">
        <v>0.56996527777777772</v>
      </c>
      <c r="K688" s="15">
        <v>45514</v>
      </c>
      <c r="M688" s="2">
        <v>3.7749999999999999</v>
      </c>
      <c r="O688" s="2">
        <f t="shared" si="67"/>
        <v>3.71</v>
      </c>
      <c r="P688" s="2">
        <f t="shared" si="68"/>
        <v>61.219186785260483</v>
      </c>
      <c r="Q688" s="2">
        <f t="shared" si="69"/>
        <v>0.30299999999999355</v>
      </c>
      <c r="R688" s="2">
        <f t="shared" si="70"/>
        <v>0.30616709021600363</v>
      </c>
      <c r="S688" s="2">
        <f t="shared" si="71"/>
        <v>-3.1670902160100822E-3</v>
      </c>
    </row>
    <row r="689" spans="2:19" x14ac:dyDescent="0.25">
      <c r="B689" s="1">
        <f t="shared" si="72"/>
        <v>683</v>
      </c>
      <c r="C689" s="1">
        <v>1072</v>
      </c>
      <c r="D689" s="13">
        <v>60.6</v>
      </c>
      <c r="E689" s="1" t="s">
        <v>11</v>
      </c>
      <c r="F689" s="2">
        <v>3.85</v>
      </c>
      <c r="G689" s="1" t="s">
        <v>12</v>
      </c>
      <c r="H689" s="1" t="s">
        <v>13</v>
      </c>
      <c r="I689" s="1" t="s">
        <v>14</v>
      </c>
      <c r="J689" s="14">
        <v>0.56996527777777772</v>
      </c>
      <c r="K689" s="15">
        <v>45514</v>
      </c>
      <c r="M689" s="2">
        <v>3.78</v>
      </c>
      <c r="O689" s="2">
        <f t="shared" si="67"/>
        <v>3.7149999999999999</v>
      </c>
      <c r="P689" s="2">
        <f t="shared" si="68"/>
        <v>61.247649301143582</v>
      </c>
      <c r="Q689" s="2">
        <f t="shared" si="69"/>
        <v>0.30300000000002048</v>
      </c>
      <c r="R689" s="2">
        <f t="shared" si="70"/>
        <v>0.30630940279544633</v>
      </c>
      <c r="S689" s="2">
        <f t="shared" si="71"/>
        <v>-3.3094027954258531E-3</v>
      </c>
    </row>
    <row r="690" spans="2:19" x14ac:dyDescent="0.25">
      <c r="B690" s="1">
        <f t="shared" si="72"/>
        <v>684</v>
      </c>
      <c r="C690" s="1">
        <v>1074</v>
      </c>
      <c r="D690" s="13">
        <v>60.6</v>
      </c>
      <c r="E690" s="1" t="s">
        <v>11</v>
      </c>
      <c r="F690" s="2">
        <v>3.855</v>
      </c>
      <c r="G690" s="1" t="s">
        <v>12</v>
      </c>
      <c r="H690" s="1" t="s">
        <v>13</v>
      </c>
      <c r="I690" s="1" t="s">
        <v>14</v>
      </c>
      <c r="J690" s="14">
        <v>0.56996527777777772</v>
      </c>
      <c r="K690" s="15">
        <v>45514</v>
      </c>
      <c r="M690" s="2">
        <v>3.7850000000000001</v>
      </c>
      <c r="O690" s="2">
        <f t="shared" si="67"/>
        <v>3.72</v>
      </c>
      <c r="P690" s="2">
        <f t="shared" si="68"/>
        <v>61.276111817026688</v>
      </c>
      <c r="Q690" s="2">
        <f t="shared" si="69"/>
        <v>0.30349999999999355</v>
      </c>
      <c r="R690" s="2">
        <f t="shared" si="70"/>
        <v>0.30645171537483462</v>
      </c>
      <c r="S690" s="2">
        <f t="shared" si="71"/>
        <v>-2.9517153748410685E-3</v>
      </c>
    </row>
    <row r="691" spans="2:19" x14ac:dyDescent="0.25">
      <c r="B691" s="1">
        <f t="shared" si="72"/>
        <v>685</v>
      </c>
      <c r="C691" s="1">
        <v>1076</v>
      </c>
      <c r="D691" s="13">
        <v>60.8</v>
      </c>
      <c r="E691" s="1" t="s">
        <v>11</v>
      </c>
      <c r="F691" s="2">
        <v>3.86</v>
      </c>
      <c r="G691" s="1" t="s">
        <v>12</v>
      </c>
      <c r="H691" s="1" t="s">
        <v>13</v>
      </c>
      <c r="I691" s="1" t="s">
        <v>14</v>
      </c>
      <c r="J691" s="14">
        <v>0.56997685185185187</v>
      </c>
      <c r="K691" s="15">
        <v>45514</v>
      </c>
      <c r="M691" s="2">
        <v>3.79</v>
      </c>
      <c r="O691" s="2">
        <f t="shared" si="67"/>
        <v>3.7250000000000001</v>
      </c>
      <c r="P691" s="2">
        <f t="shared" si="68"/>
        <v>61.304574332909787</v>
      </c>
      <c r="Q691" s="2">
        <f t="shared" si="69"/>
        <v>0.3039999999999935</v>
      </c>
      <c r="R691" s="2">
        <f t="shared" si="70"/>
        <v>0.30659402795425017</v>
      </c>
      <c r="S691" s="2">
        <f t="shared" si="71"/>
        <v>-2.5940279542566724E-3</v>
      </c>
    </row>
    <row r="692" spans="2:19" x14ac:dyDescent="0.25">
      <c r="B692" s="1">
        <f t="shared" si="72"/>
        <v>686</v>
      </c>
      <c r="C692" s="1">
        <v>1077</v>
      </c>
      <c r="D692" s="13">
        <v>60.8</v>
      </c>
      <c r="E692" s="1" t="s">
        <v>11</v>
      </c>
      <c r="F692" s="2">
        <v>3.8650000000000002</v>
      </c>
      <c r="G692" s="1" t="s">
        <v>12</v>
      </c>
      <c r="H692" s="1" t="s">
        <v>13</v>
      </c>
      <c r="I692" s="1" t="s">
        <v>14</v>
      </c>
      <c r="J692" s="14">
        <v>0.56997685185185187</v>
      </c>
      <c r="K692" s="15">
        <v>45514</v>
      </c>
      <c r="M692" s="2">
        <v>3.7949999999999999</v>
      </c>
      <c r="O692" s="2">
        <f t="shared" si="67"/>
        <v>3.73</v>
      </c>
      <c r="P692" s="2">
        <f t="shared" si="68"/>
        <v>61.333036848792887</v>
      </c>
      <c r="Q692" s="2">
        <f t="shared" si="69"/>
        <v>0.3039999999999935</v>
      </c>
      <c r="R692" s="2">
        <f t="shared" si="70"/>
        <v>0.30673634053366561</v>
      </c>
      <c r="S692" s="2">
        <f t="shared" si="71"/>
        <v>-2.7363405336721103E-3</v>
      </c>
    </row>
    <row r="693" spans="2:19" x14ac:dyDescent="0.25">
      <c r="B693" s="1">
        <f t="shared" si="72"/>
        <v>687</v>
      </c>
      <c r="C693" s="1">
        <v>1079</v>
      </c>
      <c r="D693" s="13">
        <v>60.8</v>
      </c>
      <c r="E693" s="1" t="s">
        <v>11</v>
      </c>
      <c r="F693" s="2">
        <v>3.87</v>
      </c>
      <c r="G693" s="1" t="s">
        <v>12</v>
      </c>
      <c r="H693" s="1" t="s">
        <v>13</v>
      </c>
      <c r="I693" s="1" t="s">
        <v>14</v>
      </c>
      <c r="J693" s="14">
        <v>0.56997685185185187</v>
      </c>
      <c r="K693" s="15">
        <v>45514</v>
      </c>
      <c r="M693" s="2">
        <v>3.8</v>
      </c>
      <c r="O693" s="2">
        <f t="shared" si="67"/>
        <v>3.7349999999999999</v>
      </c>
      <c r="P693" s="2">
        <f t="shared" si="68"/>
        <v>61.361499364675986</v>
      </c>
      <c r="Q693" s="2">
        <f t="shared" si="69"/>
        <v>0.3042500000000205</v>
      </c>
      <c r="R693" s="2">
        <f t="shared" si="70"/>
        <v>0.30687865311310841</v>
      </c>
      <c r="S693" s="2">
        <f t="shared" si="71"/>
        <v>-2.6286531130879087E-3</v>
      </c>
    </row>
    <row r="694" spans="2:19" x14ac:dyDescent="0.25">
      <c r="B694" s="1">
        <f t="shared" si="72"/>
        <v>688</v>
      </c>
      <c r="C694" s="1">
        <v>1081</v>
      </c>
      <c r="D694" s="13">
        <v>60.9</v>
      </c>
      <c r="E694" s="1" t="s">
        <v>11</v>
      </c>
      <c r="F694" s="2">
        <v>3.875</v>
      </c>
      <c r="G694" s="1" t="s">
        <v>12</v>
      </c>
      <c r="H694" s="1" t="s">
        <v>13</v>
      </c>
      <c r="I694" s="1" t="s">
        <v>14</v>
      </c>
      <c r="J694" s="14">
        <v>0.56997685185185187</v>
      </c>
      <c r="K694" s="15">
        <v>45514</v>
      </c>
      <c r="M694" s="2">
        <v>3.8050000000000002</v>
      </c>
      <c r="O694" s="2">
        <f t="shared" si="67"/>
        <v>3.74</v>
      </c>
      <c r="P694" s="2">
        <f t="shared" si="68"/>
        <v>61.389961880559085</v>
      </c>
      <c r="Q694" s="2">
        <f t="shared" si="69"/>
        <v>0.3044999999999935</v>
      </c>
      <c r="R694" s="2">
        <f t="shared" si="70"/>
        <v>0.30702096569249665</v>
      </c>
      <c r="S694" s="2">
        <f t="shared" si="71"/>
        <v>-2.5209656925031521E-3</v>
      </c>
    </row>
    <row r="695" spans="2:19" x14ac:dyDescent="0.25">
      <c r="B695" s="1">
        <f t="shared" si="72"/>
        <v>689</v>
      </c>
      <c r="C695" s="1">
        <v>1083</v>
      </c>
      <c r="D695" s="13">
        <v>60.9</v>
      </c>
      <c r="E695" s="1" t="s">
        <v>11</v>
      </c>
      <c r="F695" s="2">
        <v>3.88</v>
      </c>
      <c r="G695" s="1" t="s">
        <v>12</v>
      </c>
      <c r="H695" s="1" t="s">
        <v>13</v>
      </c>
      <c r="I695" s="1" t="s">
        <v>14</v>
      </c>
      <c r="J695" s="14">
        <v>0.56997685185185187</v>
      </c>
      <c r="K695" s="15">
        <v>45514</v>
      </c>
      <c r="M695" s="2">
        <v>3.81</v>
      </c>
      <c r="O695" s="2">
        <f t="shared" si="67"/>
        <v>3.7450000000000001</v>
      </c>
      <c r="P695" s="2">
        <f t="shared" si="68"/>
        <v>61.418424396442191</v>
      </c>
      <c r="Q695" s="2">
        <f t="shared" si="69"/>
        <v>0.3044999999999935</v>
      </c>
      <c r="R695" s="2">
        <f t="shared" si="70"/>
        <v>0.30716327827191214</v>
      </c>
      <c r="S695" s="2">
        <f t="shared" si="71"/>
        <v>-2.6632782719186454E-3</v>
      </c>
    </row>
    <row r="696" spans="2:19" x14ac:dyDescent="0.25">
      <c r="B696" s="1">
        <f t="shared" si="72"/>
        <v>690</v>
      </c>
      <c r="C696" s="1">
        <v>1085</v>
      </c>
      <c r="D696" s="13">
        <v>60.9</v>
      </c>
      <c r="E696" s="1" t="s">
        <v>11</v>
      </c>
      <c r="F696" s="2">
        <v>3.8849999999999998</v>
      </c>
      <c r="G696" s="1" t="s">
        <v>12</v>
      </c>
      <c r="H696" s="1" t="s">
        <v>13</v>
      </c>
      <c r="I696" s="1" t="s">
        <v>14</v>
      </c>
      <c r="J696" s="14">
        <v>0.56997685185185187</v>
      </c>
      <c r="K696" s="15">
        <v>45514</v>
      </c>
      <c r="M696" s="2">
        <v>3.8149999999999999</v>
      </c>
      <c r="O696" s="2">
        <f t="shared" si="67"/>
        <v>3.75</v>
      </c>
      <c r="P696" s="2">
        <f t="shared" si="68"/>
        <v>61.446886912325283</v>
      </c>
      <c r="Q696" s="2">
        <f t="shared" si="69"/>
        <v>0.30474999999999353</v>
      </c>
      <c r="R696" s="2">
        <f t="shared" si="70"/>
        <v>0.30730559085132764</v>
      </c>
      <c r="S696" s="2">
        <f t="shared" si="71"/>
        <v>-2.5555908513341108E-3</v>
      </c>
    </row>
    <row r="697" spans="2:19" x14ac:dyDescent="0.25">
      <c r="B697" s="1">
        <f t="shared" si="72"/>
        <v>691</v>
      </c>
      <c r="C697" s="1">
        <v>1088</v>
      </c>
      <c r="D697" s="13">
        <v>61</v>
      </c>
      <c r="E697" s="1" t="s">
        <v>11</v>
      </c>
      <c r="F697" s="2">
        <v>3.89</v>
      </c>
      <c r="G697" s="1" t="s">
        <v>12</v>
      </c>
      <c r="H697" s="1" t="s">
        <v>13</v>
      </c>
      <c r="I697" s="1" t="s">
        <v>14</v>
      </c>
      <c r="J697" s="14">
        <v>0.56998842592592591</v>
      </c>
      <c r="K697" s="15">
        <v>45514</v>
      </c>
      <c r="M697" s="2">
        <v>3.82</v>
      </c>
      <c r="O697" s="2">
        <f t="shared" si="67"/>
        <v>3.7549999999999999</v>
      </c>
      <c r="P697" s="2">
        <f t="shared" si="68"/>
        <v>61.475349428208389</v>
      </c>
      <c r="Q697" s="2">
        <f t="shared" si="69"/>
        <v>0.30500000000002059</v>
      </c>
      <c r="R697" s="2">
        <f t="shared" si="70"/>
        <v>0.30744790343077044</v>
      </c>
      <c r="S697" s="2">
        <f t="shared" si="71"/>
        <v>-2.4479034307498537E-3</v>
      </c>
    </row>
    <row r="698" spans="2:19" x14ac:dyDescent="0.25">
      <c r="B698" s="1">
        <f t="shared" si="72"/>
        <v>692</v>
      </c>
      <c r="C698" s="1">
        <v>1091</v>
      </c>
      <c r="D698" s="13">
        <v>61</v>
      </c>
      <c r="E698" s="1" t="s">
        <v>11</v>
      </c>
      <c r="F698" s="2">
        <v>3.895</v>
      </c>
      <c r="G698" s="1" t="s">
        <v>12</v>
      </c>
      <c r="H698" s="1" t="s">
        <v>13</v>
      </c>
      <c r="I698" s="1" t="s">
        <v>14</v>
      </c>
      <c r="J698" s="14">
        <v>0.56998842592592591</v>
      </c>
      <c r="K698" s="15">
        <v>45514</v>
      </c>
      <c r="M698" s="2">
        <v>3.8250000000000002</v>
      </c>
      <c r="O698" s="2">
        <f t="shared" si="67"/>
        <v>3.7600000000000002</v>
      </c>
      <c r="P698" s="2">
        <f t="shared" si="68"/>
        <v>61.503811944091488</v>
      </c>
      <c r="Q698" s="2">
        <f t="shared" si="69"/>
        <v>0.3049999999999935</v>
      </c>
      <c r="R698" s="2">
        <f t="shared" si="70"/>
        <v>0.30759021601015862</v>
      </c>
      <c r="S698" s="2">
        <f t="shared" si="71"/>
        <v>-2.590216010165125E-3</v>
      </c>
    </row>
    <row r="699" spans="2:19" x14ac:dyDescent="0.25">
      <c r="B699" s="1">
        <f t="shared" si="72"/>
        <v>693</v>
      </c>
      <c r="C699" s="1">
        <v>1094</v>
      </c>
      <c r="D699" s="13">
        <v>61</v>
      </c>
      <c r="E699" s="1" t="s">
        <v>11</v>
      </c>
      <c r="F699" s="2">
        <v>3.9</v>
      </c>
      <c r="G699" s="1" t="s">
        <v>12</v>
      </c>
      <c r="H699" s="1" t="s">
        <v>13</v>
      </c>
      <c r="I699" s="1" t="s">
        <v>14</v>
      </c>
      <c r="J699" s="14">
        <v>0.56998842592592591</v>
      </c>
      <c r="K699" s="15">
        <v>45514</v>
      </c>
      <c r="M699" s="2">
        <v>3.83</v>
      </c>
      <c r="O699" s="2">
        <f t="shared" si="67"/>
        <v>3.7650000000000001</v>
      </c>
      <c r="P699" s="2">
        <f t="shared" si="68"/>
        <v>61.532274459974587</v>
      </c>
      <c r="Q699" s="2">
        <f t="shared" si="69"/>
        <v>0.30524999999999347</v>
      </c>
      <c r="R699" s="2">
        <f t="shared" si="70"/>
        <v>0.30773252858957412</v>
      </c>
      <c r="S699" s="2">
        <f t="shared" si="71"/>
        <v>-2.4825285895806459E-3</v>
      </c>
    </row>
    <row r="700" spans="2:19" x14ac:dyDescent="0.25">
      <c r="B700" s="1">
        <f t="shared" si="72"/>
        <v>694</v>
      </c>
      <c r="C700" s="1">
        <v>1097</v>
      </c>
      <c r="D700" s="13">
        <v>61.1</v>
      </c>
      <c r="E700" s="1" t="s">
        <v>11</v>
      </c>
      <c r="F700" s="2">
        <v>3.9049999999999998</v>
      </c>
      <c r="G700" s="1" t="s">
        <v>12</v>
      </c>
      <c r="H700" s="1" t="s">
        <v>13</v>
      </c>
      <c r="I700" s="1" t="s">
        <v>14</v>
      </c>
      <c r="J700" s="14">
        <v>0.56999999999999995</v>
      </c>
      <c r="K700" s="15">
        <v>45514</v>
      </c>
      <c r="M700" s="2">
        <v>3.835</v>
      </c>
      <c r="O700" s="2">
        <f t="shared" si="67"/>
        <v>3.77</v>
      </c>
      <c r="P700" s="2">
        <f t="shared" si="68"/>
        <v>61.560736975857694</v>
      </c>
      <c r="Q700" s="2">
        <f t="shared" si="69"/>
        <v>0.30574999999999353</v>
      </c>
      <c r="R700" s="2">
        <f t="shared" si="70"/>
        <v>0.30787484116898961</v>
      </c>
      <c r="S700" s="2">
        <f t="shared" si="71"/>
        <v>-2.1248411689960833E-3</v>
      </c>
    </row>
    <row r="701" spans="2:19" x14ac:dyDescent="0.25">
      <c r="B701" s="1">
        <f t="shared" si="72"/>
        <v>695</v>
      </c>
      <c r="C701" s="1">
        <v>1099</v>
      </c>
      <c r="D701" s="13">
        <v>61.2</v>
      </c>
      <c r="E701" s="1" t="s">
        <v>11</v>
      </c>
      <c r="F701" s="2">
        <v>3.91</v>
      </c>
      <c r="G701" s="1" t="s">
        <v>12</v>
      </c>
      <c r="H701" s="1" t="s">
        <v>13</v>
      </c>
      <c r="I701" s="1" t="s">
        <v>14</v>
      </c>
      <c r="J701" s="14">
        <v>0.56999999999999995</v>
      </c>
      <c r="K701" s="15">
        <v>45514</v>
      </c>
      <c r="M701" s="2">
        <v>3.84</v>
      </c>
      <c r="O701" s="2">
        <f t="shared" si="67"/>
        <v>3.7749999999999999</v>
      </c>
      <c r="P701" s="2">
        <f t="shared" si="68"/>
        <v>61.589199491740786</v>
      </c>
      <c r="Q701" s="2">
        <f t="shared" si="69"/>
        <v>0.30600000000002064</v>
      </c>
      <c r="R701" s="2">
        <f t="shared" si="70"/>
        <v>0.30801715374843247</v>
      </c>
      <c r="S701" s="2">
        <f t="shared" si="71"/>
        <v>-2.0171537484118263E-3</v>
      </c>
    </row>
    <row r="702" spans="2:19" x14ac:dyDescent="0.25">
      <c r="B702" s="1">
        <f t="shared" si="72"/>
        <v>696</v>
      </c>
      <c r="C702" s="1">
        <v>1101</v>
      </c>
      <c r="D702" s="13">
        <v>61.2</v>
      </c>
      <c r="E702" s="1" t="s">
        <v>11</v>
      </c>
      <c r="F702" s="2">
        <v>3.915</v>
      </c>
      <c r="G702" s="1" t="s">
        <v>12</v>
      </c>
      <c r="H702" s="1" t="s">
        <v>13</v>
      </c>
      <c r="I702" s="1" t="s">
        <v>14</v>
      </c>
      <c r="J702" s="14">
        <v>0.56999999999999995</v>
      </c>
      <c r="K702" s="15">
        <v>45514</v>
      </c>
      <c r="M702" s="2">
        <v>3.8450000000000002</v>
      </c>
      <c r="O702" s="2">
        <f t="shared" si="67"/>
        <v>3.7800000000000002</v>
      </c>
      <c r="P702" s="2">
        <f t="shared" si="68"/>
        <v>61.617662007623892</v>
      </c>
      <c r="Q702" s="2">
        <f t="shared" si="69"/>
        <v>0.30624999999999347</v>
      </c>
      <c r="R702" s="2">
        <f t="shared" si="70"/>
        <v>0.3081594663278206</v>
      </c>
      <c r="S702" s="2">
        <f t="shared" si="71"/>
        <v>-1.9094663278271251E-3</v>
      </c>
    </row>
    <row r="703" spans="2:19" x14ac:dyDescent="0.25">
      <c r="B703" s="1">
        <f t="shared" si="72"/>
        <v>697</v>
      </c>
      <c r="C703" s="1">
        <v>1102</v>
      </c>
      <c r="D703" s="13">
        <v>61.3</v>
      </c>
      <c r="E703" s="1" t="s">
        <v>11</v>
      </c>
      <c r="F703" s="2">
        <v>3.92</v>
      </c>
      <c r="G703" s="1" t="s">
        <v>12</v>
      </c>
      <c r="H703" s="1" t="s">
        <v>13</v>
      </c>
      <c r="I703" s="1" t="s">
        <v>14</v>
      </c>
      <c r="J703" s="14">
        <v>0.56999999999999995</v>
      </c>
      <c r="K703" s="15">
        <v>45514</v>
      </c>
      <c r="M703" s="2">
        <v>3.85</v>
      </c>
      <c r="O703" s="2">
        <f t="shared" si="67"/>
        <v>3.7850000000000001</v>
      </c>
      <c r="P703" s="2">
        <f t="shared" si="68"/>
        <v>61.646124523506991</v>
      </c>
      <c r="Q703" s="2">
        <f t="shared" si="69"/>
        <v>0.30649999999999344</v>
      </c>
      <c r="R703" s="2">
        <f t="shared" si="70"/>
        <v>0.30830177890723615</v>
      </c>
      <c r="S703" s="2">
        <f t="shared" si="71"/>
        <v>-1.8017789072427015E-3</v>
      </c>
    </row>
    <row r="704" spans="2:19" x14ac:dyDescent="0.25">
      <c r="B704" s="1">
        <f t="shared" si="72"/>
        <v>698</v>
      </c>
      <c r="C704" s="1">
        <v>1103</v>
      </c>
      <c r="D704" s="13">
        <v>61.3</v>
      </c>
      <c r="E704" s="1" t="s">
        <v>11</v>
      </c>
      <c r="F704" s="2">
        <v>3.9249999999999998</v>
      </c>
      <c r="G704" s="1" t="s">
        <v>12</v>
      </c>
      <c r="H704" s="1" t="s">
        <v>13</v>
      </c>
      <c r="I704" s="1" t="s">
        <v>14</v>
      </c>
      <c r="J704" s="14">
        <v>0.56999999999999995</v>
      </c>
      <c r="K704" s="15">
        <v>45514</v>
      </c>
      <c r="M704" s="2">
        <v>3.855</v>
      </c>
      <c r="O704" s="2">
        <f t="shared" si="67"/>
        <v>3.79</v>
      </c>
      <c r="P704" s="2">
        <f t="shared" si="68"/>
        <v>61.67458703939009</v>
      </c>
      <c r="Q704" s="2">
        <f t="shared" si="69"/>
        <v>0.30674999999999342</v>
      </c>
      <c r="R704" s="2">
        <f t="shared" si="70"/>
        <v>0.30844409148665158</v>
      </c>
      <c r="S704" s="2">
        <f t="shared" si="71"/>
        <v>-1.6940914866581669E-3</v>
      </c>
    </row>
    <row r="705" spans="2:19" x14ac:dyDescent="0.25">
      <c r="B705" s="1">
        <f t="shared" si="72"/>
        <v>699</v>
      </c>
      <c r="C705" s="1">
        <v>1105</v>
      </c>
      <c r="D705" s="13">
        <v>61.4</v>
      </c>
      <c r="E705" s="1" t="s">
        <v>11</v>
      </c>
      <c r="F705" s="2">
        <v>3.93</v>
      </c>
      <c r="G705" s="1" t="s">
        <v>12</v>
      </c>
      <c r="H705" s="1" t="s">
        <v>13</v>
      </c>
      <c r="I705" s="1" t="s">
        <v>14</v>
      </c>
      <c r="J705" s="14">
        <v>0.56999999999999995</v>
      </c>
      <c r="K705" s="15">
        <v>45514</v>
      </c>
      <c r="M705" s="2">
        <v>3.86</v>
      </c>
      <c r="O705" s="2">
        <f t="shared" si="67"/>
        <v>3.7949999999999999</v>
      </c>
      <c r="P705" s="2">
        <f t="shared" si="68"/>
        <v>61.703049555273189</v>
      </c>
      <c r="Q705" s="2">
        <f t="shared" si="69"/>
        <v>0.3070000000000207</v>
      </c>
      <c r="R705" s="2">
        <f t="shared" si="70"/>
        <v>0.30858640406609456</v>
      </c>
      <c r="S705" s="2">
        <f t="shared" si="71"/>
        <v>-1.5864040660738543E-3</v>
      </c>
    </row>
    <row r="706" spans="2:19" x14ac:dyDescent="0.25">
      <c r="B706" s="1">
        <f t="shared" si="72"/>
        <v>700</v>
      </c>
      <c r="C706" s="1">
        <v>1107</v>
      </c>
      <c r="D706" s="13">
        <v>61.4</v>
      </c>
      <c r="E706" s="1" t="s">
        <v>11</v>
      </c>
      <c r="F706" s="2">
        <v>3.9350000000000001</v>
      </c>
      <c r="G706" s="1" t="s">
        <v>12</v>
      </c>
      <c r="H706" s="1" t="s">
        <v>13</v>
      </c>
      <c r="I706" s="1" t="s">
        <v>14</v>
      </c>
      <c r="J706" s="14">
        <v>0.5700115740740741</v>
      </c>
      <c r="K706" s="15">
        <v>45514</v>
      </c>
      <c r="M706" s="2">
        <v>3.8650000000000002</v>
      </c>
      <c r="O706" s="2">
        <f t="shared" si="67"/>
        <v>3.8000000000000003</v>
      </c>
      <c r="P706" s="2">
        <f t="shared" si="68"/>
        <v>61.731512071156288</v>
      </c>
      <c r="Q706" s="2">
        <f t="shared" si="69"/>
        <v>0.30724999999999347</v>
      </c>
      <c r="R706" s="2">
        <f t="shared" si="70"/>
        <v>0.30872871664548263</v>
      </c>
      <c r="S706" s="2">
        <f t="shared" si="71"/>
        <v>-1.4787166454891532E-3</v>
      </c>
    </row>
    <row r="707" spans="2:19" x14ac:dyDescent="0.25">
      <c r="B707" s="1">
        <f t="shared" si="72"/>
        <v>701</v>
      </c>
      <c r="C707" s="1">
        <v>1109</v>
      </c>
      <c r="D707" s="13">
        <v>61.5</v>
      </c>
      <c r="E707" s="1" t="s">
        <v>11</v>
      </c>
      <c r="F707" s="2">
        <v>3.94</v>
      </c>
      <c r="G707" s="1" t="s">
        <v>12</v>
      </c>
      <c r="H707" s="1" t="s">
        <v>13</v>
      </c>
      <c r="I707" s="1" t="s">
        <v>14</v>
      </c>
      <c r="J707" s="14">
        <v>0.5700115740740741</v>
      </c>
      <c r="K707" s="15">
        <v>45514</v>
      </c>
      <c r="M707" s="2">
        <v>3.87</v>
      </c>
      <c r="O707" s="2">
        <f t="shared" si="67"/>
        <v>3.8050000000000002</v>
      </c>
      <c r="P707" s="2">
        <f t="shared" si="68"/>
        <v>61.759974587039395</v>
      </c>
      <c r="Q707" s="2">
        <f t="shared" si="69"/>
        <v>0.30749999999999345</v>
      </c>
      <c r="R707" s="2">
        <f t="shared" si="70"/>
        <v>0.30887102922489812</v>
      </c>
      <c r="S707" s="2">
        <f t="shared" si="71"/>
        <v>-1.371029224904674E-3</v>
      </c>
    </row>
    <row r="708" spans="2:19" x14ac:dyDescent="0.25">
      <c r="B708" s="1">
        <f t="shared" si="72"/>
        <v>702</v>
      </c>
      <c r="C708" s="1">
        <v>1111</v>
      </c>
      <c r="D708" s="13">
        <v>61.5</v>
      </c>
      <c r="E708" s="1" t="s">
        <v>11</v>
      </c>
      <c r="F708" s="2">
        <v>3.9449999999999998</v>
      </c>
      <c r="G708" s="1" t="s">
        <v>12</v>
      </c>
      <c r="H708" s="1" t="s">
        <v>13</v>
      </c>
      <c r="I708" s="1" t="s">
        <v>14</v>
      </c>
      <c r="J708" s="14">
        <v>0.5700115740740741</v>
      </c>
      <c r="K708" s="15">
        <v>45514</v>
      </c>
      <c r="M708" s="2">
        <v>3.875</v>
      </c>
      <c r="O708" s="2">
        <f t="shared" si="67"/>
        <v>3.81</v>
      </c>
      <c r="P708" s="2">
        <f t="shared" si="68"/>
        <v>61.788437102922494</v>
      </c>
      <c r="Q708" s="2">
        <f t="shared" si="69"/>
        <v>0.30774999999999342</v>
      </c>
      <c r="R708" s="2">
        <f t="shared" si="70"/>
        <v>0.30901334180431367</v>
      </c>
      <c r="S708" s="2">
        <f t="shared" si="71"/>
        <v>-1.2633418043202504E-3</v>
      </c>
    </row>
    <row r="709" spans="2:19" x14ac:dyDescent="0.25">
      <c r="B709" s="1">
        <f t="shared" si="72"/>
        <v>703</v>
      </c>
      <c r="C709" s="1">
        <v>1113</v>
      </c>
      <c r="D709" s="13">
        <v>61.6</v>
      </c>
      <c r="E709" s="1" t="s">
        <v>11</v>
      </c>
      <c r="F709" s="2">
        <v>3.95</v>
      </c>
      <c r="G709" s="1" t="s">
        <v>12</v>
      </c>
      <c r="H709" s="1" t="s">
        <v>13</v>
      </c>
      <c r="I709" s="1" t="s">
        <v>14</v>
      </c>
      <c r="J709" s="14">
        <v>0.5700115740740741</v>
      </c>
      <c r="K709" s="15">
        <v>45514</v>
      </c>
      <c r="M709" s="2">
        <v>3.88</v>
      </c>
      <c r="O709" s="2">
        <f t="shared" si="67"/>
        <v>3.8149999999999999</v>
      </c>
      <c r="P709" s="2">
        <f t="shared" si="68"/>
        <v>61.816899618805593</v>
      </c>
      <c r="Q709" s="2">
        <f t="shared" si="69"/>
        <v>0.30799999999999345</v>
      </c>
      <c r="R709" s="2">
        <f t="shared" si="70"/>
        <v>0.30915565438372911</v>
      </c>
      <c r="S709" s="2">
        <f t="shared" si="71"/>
        <v>-1.1556543837356603E-3</v>
      </c>
    </row>
    <row r="710" spans="2:19" x14ac:dyDescent="0.25">
      <c r="B710" s="1">
        <f t="shared" si="72"/>
        <v>704</v>
      </c>
      <c r="C710" s="1">
        <v>1115</v>
      </c>
      <c r="D710" s="13">
        <v>61.6</v>
      </c>
      <c r="E710" s="1" t="s">
        <v>11</v>
      </c>
      <c r="F710" s="2">
        <v>3.9550000000000001</v>
      </c>
      <c r="G710" s="1" t="s">
        <v>12</v>
      </c>
      <c r="H710" s="1" t="s">
        <v>13</v>
      </c>
      <c r="I710" s="1" t="s">
        <v>14</v>
      </c>
      <c r="J710" s="14">
        <v>0.5700115740740741</v>
      </c>
      <c r="K710" s="15">
        <v>45514</v>
      </c>
      <c r="M710" s="2">
        <v>3.8849999999999998</v>
      </c>
      <c r="O710" s="2">
        <f t="shared" si="67"/>
        <v>3.82</v>
      </c>
      <c r="P710" s="2">
        <f t="shared" si="68"/>
        <v>61.845362134688692</v>
      </c>
      <c r="Q710" s="2">
        <f t="shared" si="69"/>
        <v>0.30825000000002084</v>
      </c>
      <c r="R710" s="2">
        <f t="shared" si="70"/>
        <v>0.30929796696317208</v>
      </c>
      <c r="S710" s="2">
        <f t="shared" si="71"/>
        <v>-1.0479669631512367E-3</v>
      </c>
    </row>
    <row r="711" spans="2:19" x14ac:dyDescent="0.25">
      <c r="B711" s="1">
        <f t="shared" si="72"/>
        <v>705</v>
      </c>
      <c r="C711" s="1">
        <v>1117</v>
      </c>
      <c r="D711" s="13">
        <v>61.7</v>
      </c>
      <c r="E711" s="1" t="s">
        <v>11</v>
      </c>
      <c r="F711" s="2">
        <v>3.96</v>
      </c>
      <c r="G711" s="1" t="s">
        <v>12</v>
      </c>
      <c r="H711" s="1" t="s">
        <v>13</v>
      </c>
      <c r="I711" s="1" t="s">
        <v>14</v>
      </c>
      <c r="J711" s="14">
        <v>0.57002314814814814</v>
      </c>
      <c r="K711" s="15">
        <v>45514</v>
      </c>
      <c r="M711" s="2">
        <v>3.89</v>
      </c>
      <c r="O711" s="2">
        <f t="shared" si="67"/>
        <v>3.8250000000000002</v>
      </c>
      <c r="P711" s="2">
        <f t="shared" si="68"/>
        <v>61.873824650571791</v>
      </c>
      <c r="Q711" s="2">
        <f t="shared" si="69"/>
        <v>0.30874999999999342</v>
      </c>
      <c r="R711" s="2">
        <f t="shared" si="70"/>
        <v>0.30944027954256015</v>
      </c>
      <c r="S711" s="2">
        <f t="shared" si="71"/>
        <v>-6.9027954256672963E-4</v>
      </c>
    </row>
    <row r="712" spans="2:19" x14ac:dyDescent="0.25">
      <c r="B712" s="1">
        <f t="shared" si="72"/>
        <v>706</v>
      </c>
      <c r="C712" s="1">
        <v>1119</v>
      </c>
      <c r="D712" s="13">
        <v>61.8</v>
      </c>
      <c r="E712" s="1" t="s">
        <v>11</v>
      </c>
      <c r="F712" s="2">
        <v>3.9649999999999999</v>
      </c>
      <c r="G712" s="1" t="s">
        <v>12</v>
      </c>
      <c r="H712" s="1" t="s">
        <v>13</v>
      </c>
      <c r="I712" s="1" t="s">
        <v>14</v>
      </c>
      <c r="J712" s="14">
        <v>0.57002314814814814</v>
      </c>
      <c r="K712" s="15">
        <v>45514</v>
      </c>
      <c r="M712" s="2">
        <v>3.895</v>
      </c>
      <c r="O712" s="2">
        <f t="shared" ref="O712:O775" si="73">M712-$X$23</f>
        <v>3.83</v>
      </c>
      <c r="P712" s="2">
        <f t="shared" ref="P712:P775" si="74">O712*$AC$21+$Y$23</f>
        <v>61.902287166454897</v>
      </c>
      <c r="Q712" s="2">
        <f t="shared" ref="Q712:Q775" si="75">((D712+D713)/2)*(M713-M712)</f>
        <v>0.30899999999999339</v>
      </c>
      <c r="R712" s="2">
        <f t="shared" ref="R712:R775" si="76">((P712+P713)/2)*(O713-O712)</f>
        <v>0.30958259212197564</v>
      </c>
      <c r="S712" s="2">
        <f t="shared" ref="S712:S775" si="77">Q712-R712</f>
        <v>-5.8259212198225052E-4</v>
      </c>
    </row>
    <row r="713" spans="2:19" x14ac:dyDescent="0.25">
      <c r="B713" s="1">
        <f t="shared" ref="B713:B776" si="78">B712+1</f>
        <v>707</v>
      </c>
      <c r="C713" s="1">
        <v>1121</v>
      </c>
      <c r="D713" s="13">
        <v>61.8</v>
      </c>
      <c r="E713" s="1" t="s">
        <v>11</v>
      </c>
      <c r="F713" s="2">
        <v>3.97</v>
      </c>
      <c r="G713" s="1" t="s">
        <v>12</v>
      </c>
      <c r="H713" s="1" t="s">
        <v>13</v>
      </c>
      <c r="I713" s="1" t="s">
        <v>14</v>
      </c>
      <c r="J713" s="14">
        <v>0.57002314814814814</v>
      </c>
      <c r="K713" s="15">
        <v>45514</v>
      </c>
      <c r="M713" s="2">
        <v>3.9</v>
      </c>
      <c r="O713" s="2">
        <f t="shared" si="73"/>
        <v>3.835</v>
      </c>
      <c r="P713" s="2">
        <f t="shared" si="74"/>
        <v>61.930749682337989</v>
      </c>
      <c r="Q713" s="2">
        <f t="shared" si="75"/>
        <v>0.30924999999999336</v>
      </c>
      <c r="R713" s="2">
        <f t="shared" si="76"/>
        <v>0.30972490470139113</v>
      </c>
      <c r="S713" s="2">
        <f t="shared" si="77"/>
        <v>-4.7490470139777141E-4</v>
      </c>
    </row>
    <row r="714" spans="2:19" x14ac:dyDescent="0.25">
      <c r="B714" s="1">
        <f t="shared" si="78"/>
        <v>708</v>
      </c>
      <c r="C714" s="1">
        <v>1123</v>
      </c>
      <c r="D714" s="13">
        <v>61.9</v>
      </c>
      <c r="E714" s="1" t="s">
        <v>11</v>
      </c>
      <c r="F714" s="2">
        <v>3.9750000000000001</v>
      </c>
      <c r="G714" s="1" t="s">
        <v>12</v>
      </c>
      <c r="H714" s="1" t="s">
        <v>13</v>
      </c>
      <c r="I714" s="1" t="s">
        <v>14</v>
      </c>
      <c r="J714" s="14">
        <v>0.57002314814814814</v>
      </c>
      <c r="K714" s="15">
        <v>45514</v>
      </c>
      <c r="M714" s="2">
        <v>3.9049999999999998</v>
      </c>
      <c r="O714" s="2">
        <f t="shared" si="73"/>
        <v>3.84</v>
      </c>
      <c r="P714" s="2">
        <f t="shared" si="74"/>
        <v>61.959212198221095</v>
      </c>
      <c r="Q714" s="2">
        <f t="shared" si="75"/>
        <v>0.30950000000002087</v>
      </c>
      <c r="R714" s="2">
        <f t="shared" si="76"/>
        <v>0.30986721728083411</v>
      </c>
      <c r="S714" s="2">
        <f t="shared" si="77"/>
        <v>-3.6721728081323679E-4</v>
      </c>
    </row>
    <row r="715" spans="2:19" x14ac:dyDescent="0.25">
      <c r="B715" s="1">
        <f t="shared" si="78"/>
        <v>709</v>
      </c>
      <c r="C715" s="1">
        <v>1125</v>
      </c>
      <c r="D715" s="13">
        <v>61.9</v>
      </c>
      <c r="E715" s="1" t="s">
        <v>11</v>
      </c>
      <c r="F715" s="2">
        <v>3.98</v>
      </c>
      <c r="G715" s="1" t="s">
        <v>12</v>
      </c>
      <c r="H715" s="1" t="s">
        <v>13</v>
      </c>
      <c r="I715" s="1" t="s">
        <v>14</v>
      </c>
      <c r="J715" s="14">
        <v>0.57002314814814814</v>
      </c>
      <c r="K715" s="15">
        <v>45514</v>
      </c>
      <c r="M715" s="2">
        <v>3.91</v>
      </c>
      <c r="O715" s="2">
        <f t="shared" si="73"/>
        <v>3.8450000000000002</v>
      </c>
      <c r="P715" s="2">
        <f t="shared" si="74"/>
        <v>61.987674714104195</v>
      </c>
      <c r="Q715" s="2">
        <f t="shared" si="75"/>
        <v>0.30949999999999339</v>
      </c>
      <c r="R715" s="2">
        <f t="shared" si="76"/>
        <v>0.31000952986022212</v>
      </c>
      <c r="S715" s="2">
        <f t="shared" si="77"/>
        <v>-5.0952986022873015E-4</v>
      </c>
    </row>
    <row r="716" spans="2:19" x14ac:dyDescent="0.25">
      <c r="B716" s="1">
        <f t="shared" si="78"/>
        <v>710</v>
      </c>
      <c r="C716" s="1">
        <v>1128</v>
      </c>
      <c r="D716" s="13">
        <v>61.9</v>
      </c>
      <c r="E716" s="1" t="s">
        <v>11</v>
      </c>
      <c r="F716" s="2">
        <v>3.9849999999999999</v>
      </c>
      <c r="G716" s="1" t="s">
        <v>12</v>
      </c>
      <c r="H716" s="1" t="s">
        <v>13</v>
      </c>
      <c r="I716" s="1" t="s">
        <v>14</v>
      </c>
      <c r="J716" s="14">
        <v>0.57003472222222218</v>
      </c>
      <c r="K716" s="15">
        <v>45514</v>
      </c>
      <c r="M716" s="2">
        <v>3.915</v>
      </c>
      <c r="O716" s="2">
        <f t="shared" si="73"/>
        <v>3.85</v>
      </c>
      <c r="P716" s="2">
        <f t="shared" si="74"/>
        <v>62.016137229987294</v>
      </c>
      <c r="Q716" s="2">
        <f t="shared" si="75"/>
        <v>0.30949999999999339</v>
      </c>
      <c r="R716" s="2">
        <f t="shared" si="76"/>
        <v>0.31015184243963762</v>
      </c>
      <c r="S716" s="2">
        <f t="shared" si="77"/>
        <v>-6.518424396442235E-4</v>
      </c>
    </row>
    <row r="717" spans="2:19" x14ac:dyDescent="0.25">
      <c r="B717" s="1">
        <f t="shared" si="78"/>
        <v>711</v>
      </c>
      <c r="C717" s="1">
        <v>1131</v>
      </c>
      <c r="D717" s="13">
        <v>61.9</v>
      </c>
      <c r="E717" s="1" t="s">
        <v>11</v>
      </c>
      <c r="F717" s="2">
        <v>3.99</v>
      </c>
      <c r="G717" s="1" t="s">
        <v>12</v>
      </c>
      <c r="H717" s="1" t="s">
        <v>13</v>
      </c>
      <c r="I717" s="1" t="s">
        <v>14</v>
      </c>
      <c r="J717" s="14">
        <v>0.57003472222222218</v>
      </c>
      <c r="K717" s="15">
        <v>45514</v>
      </c>
      <c r="M717" s="2">
        <v>3.92</v>
      </c>
      <c r="O717" s="2">
        <f t="shared" si="73"/>
        <v>3.855</v>
      </c>
      <c r="P717" s="2">
        <f t="shared" si="74"/>
        <v>62.0445997458704</v>
      </c>
      <c r="Q717" s="2">
        <f t="shared" si="75"/>
        <v>0.30974999999999342</v>
      </c>
      <c r="R717" s="2">
        <f t="shared" si="76"/>
        <v>0.31029415501905311</v>
      </c>
      <c r="S717" s="2">
        <f t="shared" si="77"/>
        <v>-5.4415501905968888E-4</v>
      </c>
    </row>
    <row r="718" spans="2:19" x14ac:dyDescent="0.25">
      <c r="B718" s="1">
        <f t="shared" si="78"/>
        <v>712</v>
      </c>
      <c r="C718" s="1">
        <v>1135</v>
      </c>
      <c r="D718" s="13">
        <v>62</v>
      </c>
      <c r="E718" s="1" t="s">
        <v>11</v>
      </c>
      <c r="F718" s="2">
        <v>3.9950000000000001</v>
      </c>
      <c r="G718" s="1" t="s">
        <v>12</v>
      </c>
      <c r="H718" s="1" t="s">
        <v>13</v>
      </c>
      <c r="I718" s="1" t="s">
        <v>14</v>
      </c>
      <c r="J718" s="14">
        <v>0.57003472222222218</v>
      </c>
      <c r="K718" s="15">
        <v>45514</v>
      </c>
      <c r="M718" s="2">
        <v>3.9249999999999998</v>
      </c>
      <c r="O718" s="2">
        <f t="shared" si="73"/>
        <v>3.86</v>
      </c>
      <c r="P718" s="2">
        <f t="shared" si="74"/>
        <v>62.073062261753492</v>
      </c>
      <c r="Q718" s="2">
        <f t="shared" si="75"/>
        <v>0.31000000000002093</v>
      </c>
      <c r="R718" s="2">
        <f t="shared" si="76"/>
        <v>0.31043646759849619</v>
      </c>
      <c r="S718" s="2">
        <f t="shared" si="77"/>
        <v>-4.3646759847526528E-4</v>
      </c>
    </row>
    <row r="719" spans="2:19" x14ac:dyDescent="0.25">
      <c r="B719" s="1">
        <f t="shared" si="78"/>
        <v>713</v>
      </c>
      <c r="C719" s="1">
        <v>1140</v>
      </c>
      <c r="D719" s="13">
        <v>62</v>
      </c>
      <c r="E719" s="1" t="s">
        <v>11</v>
      </c>
      <c r="F719" s="2">
        <v>4</v>
      </c>
      <c r="G719" s="1" t="s">
        <v>12</v>
      </c>
      <c r="H719" s="1" t="s">
        <v>13</v>
      </c>
      <c r="I719" s="1" t="s">
        <v>14</v>
      </c>
      <c r="J719" s="14">
        <v>0.57004629629629633</v>
      </c>
      <c r="K719" s="15">
        <v>45514</v>
      </c>
      <c r="M719" s="2">
        <v>3.93</v>
      </c>
      <c r="O719" s="2">
        <f t="shared" si="73"/>
        <v>3.8650000000000002</v>
      </c>
      <c r="P719" s="2">
        <f t="shared" si="74"/>
        <v>62.101524777636598</v>
      </c>
      <c r="Q719" s="2">
        <f t="shared" si="75"/>
        <v>0.30999999999999339</v>
      </c>
      <c r="R719" s="2">
        <f t="shared" si="76"/>
        <v>0.3105787801778841</v>
      </c>
      <c r="S719" s="2">
        <f t="shared" si="77"/>
        <v>-5.7878017789070313E-4</v>
      </c>
    </row>
    <row r="720" spans="2:19" x14ac:dyDescent="0.25">
      <c r="B720" s="1">
        <f t="shared" si="78"/>
        <v>714</v>
      </c>
      <c r="C720" s="1">
        <v>1143</v>
      </c>
      <c r="D720" s="13">
        <v>62</v>
      </c>
      <c r="E720" s="1" t="s">
        <v>11</v>
      </c>
      <c r="F720" s="2">
        <v>4.0049999999999999</v>
      </c>
      <c r="G720" s="1" t="s">
        <v>12</v>
      </c>
      <c r="H720" s="1" t="s">
        <v>13</v>
      </c>
      <c r="I720" s="1" t="s">
        <v>14</v>
      </c>
      <c r="J720" s="14">
        <v>0.57004629629629633</v>
      </c>
      <c r="K720" s="15">
        <v>45514</v>
      </c>
      <c r="M720" s="2">
        <v>3.9350000000000001</v>
      </c>
      <c r="O720" s="2">
        <f t="shared" si="73"/>
        <v>3.87</v>
      </c>
      <c r="P720" s="2">
        <f t="shared" si="74"/>
        <v>62.129987293519697</v>
      </c>
      <c r="Q720" s="2">
        <f t="shared" si="75"/>
        <v>0.31024999999999336</v>
      </c>
      <c r="R720" s="2">
        <f t="shared" si="76"/>
        <v>0.31072109275729964</v>
      </c>
      <c r="S720" s="2">
        <f t="shared" si="77"/>
        <v>-4.7109275730627953E-4</v>
      </c>
    </row>
    <row r="721" spans="2:19" x14ac:dyDescent="0.25">
      <c r="B721" s="1">
        <f t="shared" si="78"/>
        <v>715</v>
      </c>
      <c r="C721" s="1">
        <v>1146</v>
      </c>
      <c r="D721" s="13">
        <v>62.1</v>
      </c>
      <c r="E721" s="1" t="s">
        <v>11</v>
      </c>
      <c r="F721" s="2">
        <v>4.01</v>
      </c>
      <c r="G721" s="1" t="s">
        <v>12</v>
      </c>
      <c r="H721" s="1" t="s">
        <v>13</v>
      </c>
      <c r="I721" s="1" t="s">
        <v>14</v>
      </c>
      <c r="J721" s="14">
        <v>0.57005787037037037</v>
      </c>
      <c r="K721" s="15">
        <v>45514</v>
      </c>
      <c r="M721" s="2">
        <v>3.94</v>
      </c>
      <c r="O721" s="2">
        <f t="shared" si="73"/>
        <v>3.875</v>
      </c>
      <c r="P721" s="2">
        <f t="shared" si="74"/>
        <v>62.158449809402796</v>
      </c>
      <c r="Q721" s="2">
        <f t="shared" si="75"/>
        <v>0.31049999999999339</v>
      </c>
      <c r="R721" s="2">
        <f t="shared" si="76"/>
        <v>0.31086340533671508</v>
      </c>
      <c r="S721" s="2">
        <f t="shared" si="77"/>
        <v>-3.634053367216894E-4</v>
      </c>
    </row>
    <row r="722" spans="2:19" x14ac:dyDescent="0.25">
      <c r="B722" s="1">
        <f t="shared" si="78"/>
        <v>716</v>
      </c>
      <c r="C722" s="1">
        <v>1148</v>
      </c>
      <c r="D722" s="13">
        <v>62.1</v>
      </c>
      <c r="E722" s="1" t="s">
        <v>11</v>
      </c>
      <c r="F722" s="2">
        <v>4.0149999999999997</v>
      </c>
      <c r="G722" s="1" t="s">
        <v>12</v>
      </c>
      <c r="H722" s="1" t="s">
        <v>13</v>
      </c>
      <c r="I722" s="1" t="s">
        <v>14</v>
      </c>
      <c r="J722" s="14">
        <v>0.57005787037037037</v>
      </c>
      <c r="K722" s="15">
        <v>45514</v>
      </c>
      <c r="M722" s="2">
        <v>3.9449999999999998</v>
      </c>
      <c r="O722" s="2">
        <f t="shared" si="73"/>
        <v>3.88</v>
      </c>
      <c r="P722" s="2">
        <f t="shared" si="74"/>
        <v>62.186912325285896</v>
      </c>
      <c r="Q722" s="2">
        <f t="shared" si="75"/>
        <v>0.31050000000002098</v>
      </c>
      <c r="R722" s="2">
        <f t="shared" si="76"/>
        <v>0.31100571791615822</v>
      </c>
      <c r="S722" s="2">
        <f t="shared" si="77"/>
        <v>-5.0571791613723827E-4</v>
      </c>
    </row>
    <row r="723" spans="2:19" x14ac:dyDescent="0.25">
      <c r="B723" s="1">
        <f t="shared" si="78"/>
        <v>717</v>
      </c>
      <c r="C723" s="1">
        <v>1151</v>
      </c>
      <c r="D723" s="13">
        <v>62.1</v>
      </c>
      <c r="E723" s="1" t="s">
        <v>11</v>
      </c>
      <c r="F723" s="2">
        <v>4.0199999999999996</v>
      </c>
      <c r="G723" s="1" t="s">
        <v>12</v>
      </c>
      <c r="H723" s="1" t="s">
        <v>13</v>
      </c>
      <c r="I723" s="1" t="s">
        <v>14</v>
      </c>
      <c r="J723" s="14">
        <v>0.57005787037037037</v>
      </c>
      <c r="K723" s="15">
        <v>45514</v>
      </c>
      <c r="M723" s="2">
        <v>3.95</v>
      </c>
      <c r="O723" s="2">
        <f t="shared" si="73"/>
        <v>3.8850000000000002</v>
      </c>
      <c r="P723" s="2">
        <f t="shared" si="74"/>
        <v>62.215374841168995</v>
      </c>
      <c r="Q723" s="2">
        <f t="shared" si="75"/>
        <v>0.31049999999999339</v>
      </c>
      <c r="R723" s="2">
        <f t="shared" si="76"/>
        <v>0.31114803049554612</v>
      </c>
      <c r="S723" s="2">
        <f t="shared" si="77"/>
        <v>-6.4803049555273162E-4</v>
      </c>
    </row>
    <row r="724" spans="2:19" x14ac:dyDescent="0.25">
      <c r="B724" s="1">
        <f t="shared" si="78"/>
        <v>718</v>
      </c>
      <c r="C724" s="1">
        <v>1153</v>
      </c>
      <c r="D724" s="13">
        <v>62.1</v>
      </c>
      <c r="E724" s="1" t="s">
        <v>11</v>
      </c>
      <c r="F724" s="2">
        <v>4.0250000000000004</v>
      </c>
      <c r="G724" s="1" t="s">
        <v>12</v>
      </c>
      <c r="H724" s="1" t="s">
        <v>13</v>
      </c>
      <c r="I724" s="1" t="s">
        <v>14</v>
      </c>
      <c r="J724" s="14">
        <v>0.57005787037037037</v>
      </c>
      <c r="K724" s="15">
        <v>45514</v>
      </c>
      <c r="M724" s="2">
        <v>3.9550000000000001</v>
      </c>
      <c r="O724" s="2">
        <f t="shared" si="73"/>
        <v>3.89</v>
      </c>
      <c r="P724" s="2">
        <f t="shared" si="74"/>
        <v>62.243837357052101</v>
      </c>
      <c r="Q724" s="2">
        <f t="shared" si="75"/>
        <v>0.31049999999999339</v>
      </c>
      <c r="R724" s="2">
        <f t="shared" si="76"/>
        <v>0.31129034307496162</v>
      </c>
      <c r="S724" s="2">
        <f t="shared" si="77"/>
        <v>-7.9034307496822498E-4</v>
      </c>
    </row>
    <row r="725" spans="2:19" x14ac:dyDescent="0.25">
      <c r="B725" s="1">
        <f t="shared" si="78"/>
        <v>719</v>
      </c>
      <c r="C725" s="1">
        <v>1154</v>
      </c>
      <c r="D725" s="13">
        <v>62.1</v>
      </c>
      <c r="E725" s="1" t="s">
        <v>11</v>
      </c>
      <c r="F725" s="2">
        <v>4.03</v>
      </c>
      <c r="G725" s="1" t="s">
        <v>12</v>
      </c>
      <c r="H725" s="1" t="s">
        <v>13</v>
      </c>
      <c r="I725" s="1" t="s">
        <v>14</v>
      </c>
      <c r="J725" s="14">
        <v>0.57005787037037037</v>
      </c>
      <c r="K725" s="15">
        <v>45514</v>
      </c>
      <c r="M725" s="2">
        <v>3.96</v>
      </c>
      <c r="O725" s="2">
        <f t="shared" si="73"/>
        <v>3.895</v>
      </c>
      <c r="P725" s="2">
        <f t="shared" si="74"/>
        <v>62.2722998729352</v>
      </c>
      <c r="Q725" s="2">
        <f t="shared" si="75"/>
        <v>0.31049999999999339</v>
      </c>
      <c r="R725" s="2">
        <f t="shared" si="76"/>
        <v>0.31143265565437711</v>
      </c>
      <c r="S725" s="2">
        <f t="shared" si="77"/>
        <v>-9.3265565438371834E-4</v>
      </c>
    </row>
    <row r="726" spans="2:19" x14ac:dyDescent="0.25">
      <c r="B726" s="1">
        <f t="shared" si="78"/>
        <v>720</v>
      </c>
      <c r="C726" s="1">
        <v>1156</v>
      </c>
      <c r="D726" s="13">
        <v>62.1</v>
      </c>
      <c r="E726" s="1" t="s">
        <v>11</v>
      </c>
      <c r="F726" s="2">
        <v>4.0350000000000001</v>
      </c>
      <c r="G726" s="1" t="s">
        <v>12</v>
      </c>
      <c r="H726" s="1" t="s">
        <v>13</v>
      </c>
      <c r="I726" s="1" t="s">
        <v>14</v>
      </c>
      <c r="J726" s="14">
        <v>0.57006944444444441</v>
      </c>
      <c r="K726" s="15">
        <v>45514</v>
      </c>
      <c r="M726" s="2">
        <v>3.9649999999999999</v>
      </c>
      <c r="O726" s="2">
        <f t="shared" si="73"/>
        <v>3.9</v>
      </c>
      <c r="P726" s="2">
        <f t="shared" si="74"/>
        <v>62.300762388818299</v>
      </c>
      <c r="Q726" s="2">
        <f t="shared" si="75"/>
        <v>0.31075000000002101</v>
      </c>
      <c r="R726" s="2">
        <f t="shared" si="76"/>
        <v>0.3115749682338203</v>
      </c>
      <c r="S726" s="2">
        <f t="shared" si="77"/>
        <v>-8.2496823379929474E-4</v>
      </c>
    </row>
    <row r="727" spans="2:19" x14ac:dyDescent="0.25">
      <c r="B727" s="1">
        <f t="shared" si="78"/>
        <v>721</v>
      </c>
      <c r="C727" s="1">
        <v>1159</v>
      </c>
      <c r="D727" s="13">
        <v>62.2</v>
      </c>
      <c r="E727" s="1" t="s">
        <v>11</v>
      </c>
      <c r="F727" s="2">
        <v>4.04</v>
      </c>
      <c r="G727" s="1" t="s">
        <v>12</v>
      </c>
      <c r="H727" s="1" t="s">
        <v>13</v>
      </c>
      <c r="I727" s="1" t="s">
        <v>14</v>
      </c>
      <c r="J727" s="14">
        <v>0.57006944444444441</v>
      </c>
      <c r="K727" s="15">
        <v>45514</v>
      </c>
      <c r="M727" s="2">
        <v>3.97</v>
      </c>
      <c r="O727" s="2">
        <f t="shared" si="73"/>
        <v>3.9050000000000002</v>
      </c>
      <c r="P727" s="2">
        <f t="shared" si="74"/>
        <v>62.329224904701405</v>
      </c>
      <c r="Q727" s="2">
        <f t="shared" si="75"/>
        <v>0.31099999999999339</v>
      </c>
      <c r="R727" s="2">
        <f t="shared" si="76"/>
        <v>0.3117172808132081</v>
      </c>
      <c r="S727" s="2">
        <f t="shared" si="77"/>
        <v>-7.172808132147046E-4</v>
      </c>
    </row>
    <row r="728" spans="2:19" x14ac:dyDescent="0.25">
      <c r="B728" s="1">
        <f t="shared" si="78"/>
        <v>722</v>
      </c>
      <c r="C728" s="1">
        <v>1161</v>
      </c>
      <c r="D728" s="13">
        <v>62.2</v>
      </c>
      <c r="E728" s="1" t="s">
        <v>11</v>
      </c>
      <c r="F728" s="2">
        <v>4.0449999999999999</v>
      </c>
      <c r="G728" s="1" t="s">
        <v>12</v>
      </c>
      <c r="H728" s="1" t="s">
        <v>13</v>
      </c>
      <c r="I728" s="1" t="s">
        <v>14</v>
      </c>
      <c r="J728" s="14">
        <v>0.57006944444444441</v>
      </c>
      <c r="K728" s="15">
        <v>45514</v>
      </c>
      <c r="M728" s="2">
        <v>3.9750000000000001</v>
      </c>
      <c r="O728" s="2">
        <f t="shared" si="73"/>
        <v>3.91</v>
      </c>
      <c r="P728" s="2">
        <f t="shared" si="74"/>
        <v>62.357687420584497</v>
      </c>
      <c r="Q728" s="2">
        <f t="shared" si="75"/>
        <v>0.31124999999999337</v>
      </c>
      <c r="R728" s="2">
        <f t="shared" si="76"/>
        <v>0.31185959339262359</v>
      </c>
      <c r="S728" s="2">
        <f t="shared" si="77"/>
        <v>-6.0959339263022549E-4</v>
      </c>
    </row>
    <row r="729" spans="2:19" x14ac:dyDescent="0.25">
      <c r="B729" s="1">
        <f t="shared" si="78"/>
        <v>723</v>
      </c>
      <c r="C729" s="1">
        <v>1163</v>
      </c>
      <c r="D729" s="13">
        <v>62.3</v>
      </c>
      <c r="E729" s="1" t="s">
        <v>11</v>
      </c>
      <c r="F729" s="2">
        <v>4.05</v>
      </c>
      <c r="G729" s="1" t="s">
        <v>12</v>
      </c>
      <c r="H729" s="1" t="s">
        <v>13</v>
      </c>
      <c r="I729" s="1" t="s">
        <v>14</v>
      </c>
      <c r="J729" s="14">
        <v>0.57006944444444441</v>
      </c>
      <c r="K729" s="15">
        <v>45514</v>
      </c>
      <c r="M729" s="2">
        <v>3.98</v>
      </c>
      <c r="O729" s="2">
        <f t="shared" si="73"/>
        <v>3.915</v>
      </c>
      <c r="P729" s="2">
        <f t="shared" si="74"/>
        <v>62.386149936467604</v>
      </c>
      <c r="Q729" s="2">
        <f t="shared" si="75"/>
        <v>0.31149999999999334</v>
      </c>
      <c r="R729" s="2">
        <f t="shared" si="76"/>
        <v>0.31200190597203908</v>
      </c>
      <c r="S729" s="2">
        <f t="shared" si="77"/>
        <v>-5.0190597204574638E-4</v>
      </c>
    </row>
    <row r="730" spans="2:19" x14ac:dyDescent="0.25">
      <c r="B730" s="1">
        <f t="shared" si="78"/>
        <v>724</v>
      </c>
      <c r="C730" s="1">
        <v>1165</v>
      </c>
      <c r="D730" s="13">
        <v>62.3</v>
      </c>
      <c r="E730" s="1" t="s">
        <v>11</v>
      </c>
      <c r="F730" s="2">
        <v>4.0549999999999997</v>
      </c>
      <c r="G730" s="1" t="s">
        <v>12</v>
      </c>
      <c r="H730" s="1" t="s">
        <v>13</v>
      </c>
      <c r="I730" s="1" t="s">
        <v>14</v>
      </c>
      <c r="J730" s="14">
        <v>0.57006944444444441</v>
      </c>
      <c r="K730" s="15">
        <v>45514</v>
      </c>
      <c r="M730" s="2">
        <v>3.9849999999999999</v>
      </c>
      <c r="O730" s="2">
        <f t="shared" si="73"/>
        <v>3.92</v>
      </c>
      <c r="P730" s="2">
        <f t="shared" si="74"/>
        <v>62.414612452350696</v>
      </c>
      <c r="Q730" s="2">
        <f t="shared" si="75"/>
        <v>0.31150000000002104</v>
      </c>
      <c r="R730" s="2">
        <f t="shared" si="76"/>
        <v>0.31214421855148233</v>
      </c>
      <c r="S730" s="2">
        <f t="shared" si="77"/>
        <v>-6.4421855146129525E-4</v>
      </c>
    </row>
    <row r="731" spans="2:19" x14ac:dyDescent="0.25">
      <c r="B731" s="1">
        <f t="shared" si="78"/>
        <v>725</v>
      </c>
      <c r="C731" s="1">
        <v>1168</v>
      </c>
      <c r="D731" s="13">
        <v>62.3</v>
      </c>
      <c r="E731" s="1" t="s">
        <v>11</v>
      </c>
      <c r="F731" s="2">
        <v>4.0599999999999996</v>
      </c>
      <c r="G731" s="1" t="s">
        <v>12</v>
      </c>
      <c r="H731" s="1" t="s">
        <v>13</v>
      </c>
      <c r="I731" s="1" t="s">
        <v>14</v>
      </c>
      <c r="J731" s="14">
        <v>0.57008101851851856</v>
      </c>
      <c r="K731" s="15">
        <v>45514</v>
      </c>
      <c r="M731" s="2">
        <v>3.99</v>
      </c>
      <c r="O731" s="2">
        <f t="shared" si="73"/>
        <v>3.9250000000000003</v>
      </c>
      <c r="P731" s="2">
        <f t="shared" si="74"/>
        <v>62.443074968233802</v>
      </c>
      <c r="Q731" s="2">
        <f t="shared" si="75"/>
        <v>0.31174999999999331</v>
      </c>
      <c r="R731" s="2">
        <f t="shared" si="76"/>
        <v>0.31228653113087007</v>
      </c>
      <c r="S731" s="2">
        <f t="shared" si="77"/>
        <v>-5.3653113087676063E-4</v>
      </c>
    </row>
    <row r="732" spans="2:19" x14ac:dyDescent="0.25">
      <c r="B732" s="1">
        <f t="shared" si="78"/>
        <v>726</v>
      </c>
      <c r="C732" s="1">
        <v>1170</v>
      </c>
      <c r="D732" s="13">
        <v>62.4</v>
      </c>
      <c r="E732" s="1" t="s">
        <v>11</v>
      </c>
      <c r="F732" s="2">
        <v>4.0650000000000004</v>
      </c>
      <c r="G732" s="1" t="s">
        <v>12</v>
      </c>
      <c r="H732" s="1" t="s">
        <v>13</v>
      </c>
      <c r="I732" s="1" t="s">
        <v>14</v>
      </c>
      <c r="J732" s="14">
        <v>0.57008101851851856</v>
      </c>
      <c r="K732" s="15">
        <v>45514</v>
      </c>
      <c r="M732" s="2">
        <v>3.9950000000000001</v>
      </c>
      <c r="O732" s="2">
        <f t="shared" si="73"/>
        <v>3.93</v>
      </c>
      <c r="P732" s="2">
        <f t="shared" si="74"/>
        <v>62.471537484116901</v>
      </c>
      <c r="Q732" s="2">
        <f t="shared" si="75"/>
        <v>0.31224999999999337</v>
      </c>
      <c r="R732" s="2">
        <f t="shared" si="76"/>
        <v>0.31242884371028562</v>
      </c>
      <c r="S732" s="2">
        <f t="shared" si="77"/>
        <v>-1.7884371029225354E-4</v>
      </c>
    </row>
    <row r="733" spans="2:19" x14ac:dyDescent="0.25">
      <c r="B733" s="1">
        <f t="shared" si="78"/>
        <v>727</v>
      </c>
      <c r="C733" s="1">
        <v>1171</v>
      </c>
      <c r="D733" s="13">
        <v>62.5</v>
      </c>
      <c r="E733" s="1" t="s">
        <v>11</v>
      </c>
      <c r="F733" s="2">
        <v>4.07</v>
      </c>
      <c r="G733" s="1" t="s">
        <v>12</v>
      </c>
      <c r="H733" s="1" t="s">
        <v>13</v>
      </c>
      <c r="I733" s="1" t="s">
        <v>14</v>
      </c>
      <c r="J733" s="14">
        <v>0.57008101851851856</v>
      </c>
      <c r="K733" s="15">
        <v>45514</v>
      </c>
      <c r="M733" s="2">
        <v>4</v>
      </c>
      <c r="O733" s="2">
        <f t="shared" si="73"/>
        <v>3.9350000000000001</v>
      </c>
      <c r="P733" s="2">
        <f t="shared" si="74"/>
        <v>62.5</v>
      </c>
      <c r="Q733" s="2">
        <f t="shared" si="75"/>
        <v>0.3217499999999931</v>
      </c>
      <c r="R733" s="2">
        <f t="shared" si="76"/>
        <v>0.31257115628970111</v>
      </c>
      <c r="S733" s="2">
        <f t="shared" si="77"/>
        <v>9.178843710291984E-3</v>
      </c>
    </row>
    <row r="734" spans="2:19" x14ac:dyDescent="0.25">
      <c r="B734" s="1">
        <f t="shared" si="78"/>
        <v>728</v>
      </c>
      <c r="C734" s="1">
        <v>1173</v>
      </c>
      <c r="D734" s="13">
        <v>66.2</v>
      </c>
      <c r="E734" s="1" t="s">
        <v>11</v>
      </c>
      <c r="F734" s="2">
        <v>4.0750000000000002</v>
      </c>
      <c r="G734" s="1" t="s">
        <v>12</v>
      </c>
      <c r="H734" s="1" t="s">
        <v>13</v>
      </c>
      <c r="I734" s="1" t="s">
        <v>14</v>
      </c>
      <c r="J734" s="14">
        <v>0.57008101851851856</v>
      </c>
      <c r="K734" s="15">
        <v>45514</v>
      </c>
      <c r="M734" s="2">
        <v>4.0049999999999999</v>
      </c>
      <c r="O734" s="2">
        <f t="shared" si="73"/>
        <v>3.94</v>
      </c>
      <c r="P734" s="2">
        <f t="shared" si="74"/>
        <v>62.528462515883106</v>
      </c>
      <c r="Q734" s="2">
        <f t="shared" si="75"/>
        <v>0.3439999999999927</v>
      </c>
      <c r="R734" s="2">
        <f t="shared" si="76"/>
        <v>0.31271346886911661</v>
      </c>
      <c r="S734" s="2">
        <f t="shared" si="77"/>
        <v>3.1286531130876094E-2</v>
      </c>
    </row>
    <row r="735" spans="2:19" x14ac:dyDescent="0.25">
      <c r="B735" s="1">
        <f t="shared" si="78"/>
        <v>729</v>
      </c>
      <c r="C735" s="1">
        <v>1175</v>
      </c>
      <c r="D735" s="13">
        <v>71.400000000000006</v>
      </c>
      <c r="E735" s="1" t="s">
        <v>11</v>
      </c>
      <c r="F735" s="2">
        <v>4.08</v>
      </c>
      <c r="G735" s="1" t="s">
        <v>12</v>
      </c>
      <c r="H735" s="1" t="s">
        <v>13</v>
      </c>
      <c r="I735" s="1" t="s">
        <v>14</v>
      </c>
      <c r="J735" s="14">
        <v>0.57008101851851856</v>
      </c>
      <c r="K735" s="15">
        <v>45514</v>
      </c>
      <c r="M735" s="2">
        <v>4.01</v>
      </c>
      <c r="O735" s="2">
        <f t="shared" si="73"/>
        <v>3.9449999999999998</v>
      </c>
      <c r="P735" s="2">
        <f t="shared" si="74"/>
        <v>62.556925031766198</v>
      </c>
      <c r="Q735" s="2">
        <f t="shared" si="75"/>
        <v>0.36299999999999222</v>
      </c>
      <c r="R735" s="2">
        <f t="shared" si="76"/>
        <v>0.3128557814485321</v>
      </c>
      <c r="S735" s="2">
        <f t="shared" si="77"/>
        <v>5.0144218551460118E-2</v>
      </c>
    </row>
    <row r="736" spans="2:19" x14ac:dyDescent="0.25">
      <c r="B736" s="1">
        <f t="shared" si="78"/>
        <v>730</v>
      </c>
      <c r="C736" s="1">
        <v>1176</v>
      </c>
      <c r="D736" s="13">
        <v>73.8</v>
      </c>
      <c r="E736" s="1" t="s">
        <v>11</v>
      </c>
      <c r="F736" s="2">
        <v>4.085</v>
      </c>
      <c r="G736" s="1" t="s">
        <v>12</v>
      </c>
      <c r="H736" s="1" t="s">
        <v>13</v>
      </c>
      <c r="I736" s="1" t="s">
        <v>14</v>
      </c>
      <c r="J736" s="14">
        <v>0.5700925925925926</v>
      </c>
      <c r="K736" s="15">
        <v>45514</v>
      </c>
      <c r="M736" s="2">
        <v>4.0149999999999997</v>
      </c>
      <c r="O736" s="2">
        <f t="shared" si="73"/>
        <v>3.9499999999999997</v>
      </c>
      <c r="P736" s="2">
        <f t="shared" si="74"/>
        <v>62.585387547649304</v>
      </c>
      <c r="Q736" s="2">
        <f t="shared" si="75"/>
        <v>0.37974999999999187</v>
      </c>
      <c r="R736" s="2">
        <f t="shared" si="76"/>
        <v>0.31299809402794759</v>
      </c>
      <c r="S736" s="2">
        <f t="shared" si="77"/>
        <v>6.6751905972044279E-2</v>
      </c>
    </row>
    <row r="737" spans="2:19" x14ac:dyDescent="0.25">
      <c r="B737" s="1">
        <f t="shared" si="78"/>
        <v>731</v>
      </c>
      <c r="C737" s="1">
        <v>1178</v>
      </c>
      <c r="D737" s="13">
        <v>78.099999999999994</v>
      </c>
      <c r="E737" s="1" t="s">
        <v>11</v>
      </c>
      <c r="F737" s="2">
        <v>4.09</v>
      </c>
      <c r="G737" s="1" t="s">
        <v>12</v>
      </c>
      <c r="H737" s="1" t="s">
        <v>13</v>
      </c>
      <c r="I737" s="1" t="s">
        <v>14</v>
      </c>
      <c r="J737" s="14">
        <v>0.5700925925925926</v>
      </c>
      <c r="K737" s="15">
        <v>45514</v>
      </c>
      <c r="M737" s="2">
        <v>4.0199999999999996</v>
      </c>
      <c r="O737" s="2">
        <f t="shared" si="73"/>
        <v>3.9549999999999996</v>
      </c>
      <c r="P737" s="2">
        <f t="shared" si="74"/>
        <v>62.613850063532396</v>
      </c>
      <c r="Q737" s="2">
        <f t="shared" si="75"/>
        <v>0.40450000000006325</v>
      </c>
      <c r="R737" s="2">
        <f t="shared" si="76"/>
        <v>0.31314040660741871</v>
      </c>
      <c r="S737" s="2">
        <f t="shared" si="77"/>
        <v>9.1359593392644545E-2</v>
      </c>
    </row>
    <row r="738" spans="2:19" x14ac:dyDescent="0.25">
      <c r="B738" s="1">
        <f t="shared" si="78"/>
        <v>732</v>
      </c>
      <c r="C738" s="1">
        <v>1180</v>
      </c>
      <c r="D738" s="13">
        <v>83.7</v>
      </c>
      <c r="E738" s="1" t="s">
        <v>11</v>
      </c>
      <c r="F738" s="2">
        <v>4.0949999999999998</v>
      </c>
      <c r="G738" s="1" t="s">
        <v>12</v>
      </c>
      <c r="H738" s="1" t="s">
        <v>13</v>
      </c>
      <c r="I738" s="1" t="s">
        <v>14</v>
      </c>
      <c r="J738" s="14">
        <v>0.5700925925925926</v>
      </c>
      <c r="K738" s="15">
        <v>45514</v>
      </c>
      <c r="M738" s="2">
        <v>4.0250000000000004</v>
      </c>
      <c r="O738" s="2">
        <f t="shared" si="73"/>
        <v>3.9600000000000004</v>
      </c>
      <c r="P738" s="2">
        <f t="shared" si="74"/>
        <v>62.642312579415503</v>
      </c>
      <c r="Q738" s="2">
        <f t="shared" si="75"/>
        <v>0.42499999999999094</v>
      </c>
      <c r="R738" s="2">
        <f t="shared" si="76"/>
        <v>0.31328271918677858</v>
      </c>
      <c r="S738" s="2">
        <f t="shared" si="77"/>
        <v>0.11171728081321236</v>
      </c>
    </row>
    <row r="739" spans="2:19" x14ac:dyDescent="0.25">
      <c r="B739" s="1">
        <f t="shared" si="78"/>
        <v>733</v>
      </c>
      <c r="C739" s="1">
        <v>1181</v>
      </c>
      <c r="D739" s="13">
        <v>86.3</v>
      </c>
      <c r="E739" s="1" t="s">
        <v>11</v>
      </c>
      <c r="F739" s="2">
        <v>4.0999999999999996</v>
      </c>
      <c r="G739" s="1" t="s">
        <v>12</v>
      </c>
      <c r="H739" s="1" t="s">
        <v>13</v>
      </c>
      <c r="I739" s="1" t="s">
        <v>14</v>
      </c>
      <c r="J739" s="14">
        <v>0.5700925925925926</v>
      </c>
      <c r="K739" s="15">
        <v>45514</v>
      </c>
      <c r="M739" s="2">
        <v>4.03</v>
      </c>
      <c r="O739" s="2">
        <f t="shared" si="73"/>
        <v>3.9650000000000003</v>
      </c>
      <c r="P739" s="2">
        <f t="shared" si="74"/>
        <v>62.670775095298609</v>
      </c>
      <c r="Q739" s="2">
        <f t="shared" si="75"/>
        <v>0.44149999999999057</v>
      </c>
      <c r="R739" s="2">
        <f t="shared" si="76"/>
        <v>0.31342503176619407</v>
      </c>
      <c r="S739" s="2">
        <f t="shared" si="77"/>
        <v>0.12807496823379649</v>
      </c>
    </row>
    <row r="740" spans="2:19" x14ac:dyDescent="0.25">
      <c r="B740" s="1">
        <f t="shared" si="78"/>
        <v>734</v>
      </c>
      <c r="C740" s="1">
        <v>1183</v>
      </c>
      <c r="D740" s="13">
        <v>90.3</v>
      </c>
      <c r="E740" s="1" t="s">
        <v>11</v>
      </c>
      <c r="F740" s="2">
        <v>4.1050000000000004</v>
      </c>
      <c r="G740" s="1" t="s">
        <v>12</v>
      </c>
      <c r="H740" s="1" t="s">
        <v>13</v>
      </c>
      <c r="I740" s="1" t="s">
        <v>14</v>
      </c>
      <c r="J740" s="14">
        <v>0.5700925925925926</v>
      </c>
      <c r="K740" s="15">
        <v>45514</v>
      </c>
      <c r="M740" s="2">
        <v>4.0350000000000001</v>
      </c>
      <c r="O740" s="2">
        <f t="shared" si="73"/>
        <v>3.97</v>
      </c>
      <c r="P740" s="2">
        <f t="shared" si="74"/>
        <v>62.699237611181701</v>
      </c>
      <c r="Q740" s="2">
        <f t="shared" si="75"/>
        <v>0.46074999999999022</v>
      </c>
      <c r="R740" s="2">
        <f t="shared" si="76"/>
        <v>0.31356734434560957</v>
      </c>
      <c r="S740" s="2">
        <f t="shared" si="77"/>
        <v>0.14718265565438066</v>
      </c>
    </row>
    <row r="741" spans="2:19" x14ac:dyDescent="0.25">
      <c r="B741" s="1">
        <f t="shared" si="78"/>
        <v>735</v>
      </c>
      <c r="C741" s="1">
        <v>1185</v>
      </c>
      <c r="D741" s="13">
        <v>94</v>
      </c>
      <c r="E741" s="1" t="s">
        <v>11</v>
      </c>
      <c r="F741" s="2">
        <v>4.1100000000000003</v>
      </c>
      <c r="G741" s="1" t="s">
        <v>12</v>
      </c>
      <c r="H741" s="1" t="s">
        <v>13</v>
      </c>
      <c r="I741" s="1" t="s">
        <v>14</v>
      </c>
      <c r="J741" s="14">
        <v>0.5700925925925926</v>
      </c>
      <c r="K741" s="15">
        <v>45514</v>
      </c>
      <c r="M741" s="2">
        <v>4.04</v>
      </c>
      <c r="O741" s="2">
        <f t="shared" si="73"/>
        <v>3.9750000000000001</v>
      </c>
      <c r="P741" s="2">
        <f t="shared" si="74"/>
        <v>62.727700127064807</v>
      </c>
      <c r="Q741" s="2">
        <f t="shared" si="75"/>
        <v>0.47674999999998979</v>
      </c>
      <c r="R741" s="2">
        <f t="shared" si="76"/>
        <v>0.31370965692502506</v>
      </c>
      <c r="S741" s="2">
        <f t="shared" si="77"/>
        <v>0.16304034307496473</v>
      </c>
    </row>
    <row r="742" spans="2:19" x14ac:dyDescent="0.25">
      <c r="B742" s="1">
        <f t="shared" si="78"/>
        <v>736</v>
      </c>
      <c r="C742" s="1">
        <v>1187</v>
      </c>
      <c r="D742" s="13">
        <v>96.7</v>
      </c>
      <c r="E742" s="1" t="s">
        <v>11</v>
      </c>
      <c r="F742" s="2">
        <v>4.1150000000000002</v>
      </c>
      <c r="G742" s="1" t="s">
        <v>12</v>
      </c>
      <c r="H742" s="1" t="s">
        <v>13</v>
      </c>
      <c r="I742" s="1" t="s">
        <v>14</v>
      </c>
      <c r="J742" s="14">
        <v>0.57010416666666663</v>
      </c>
      <c r="K742" s="15">
        <v>45514</v>
      </c>
      <c r="M742" s="2">
        <v>4.0449999999999999</v>
      </c>
      <c r="O742" s="2">
        <f t="shared" si="73"/>
        <v>3.98</v>
      </c>
      <c r="P742" s="2">
        <f t="shared" si="74"/>
        <v>62.756162642947906</v>
      </c>
      <c r="Q742" s="2">
        <f t="shared" si="75"/>
        <v>0.48999999999998956</v>
      </c>
      <c r="R742" s="2">
        <f t="shared" si="76"/>
        <v>0.31385196950444061</v>
      </c>
      <c r="S742" s="2">
        <f t="shared" si="77"/>
        <v>0.17614803049554895</v>
      </c>
    </row>
    <row r="743" spans="2:19" x14ac:dyDescent="0.25">
      <c r="B743" s="1">
        <f t="shared" si="78"/>
        <v>737</v>
      </c>
      <c r="C743" s="1">
        <v>1189</v>
      </c>
      <c r="D743" s="13">
        <v>99.3</v>
      </c>
      <c r="E743" s="1" t="s">
        <v>11</v>
      </c>
      <c r="F743" s="2">
        <v>4.12</v>
      </c>
      <c r="G743" s="1" t="s">
        <v>12</v>
      </c>
      <c r="H743" s="1" t="s">
        <v>13</v>
      </c>
      <c r="I743" s="1" t="s">
        <v>14</v>
      </c>
      <c r="J743" s="14">
        <v>0.57010416666666663</v>
      </c>
      <c r="K743" s="15">
        <v>45514</v>
      </c>
      <c r="M743" s="2">
        <v>4.05</v>
      </c>
      <c r="O743" s="2">
        <f t="shared" si="73"/>
        <v>3.9849999999999999</v>
      </c>
      <c r="P743" s="2">
        <f t="shared" si="74"/>
        <v>62.784625158831005</v>
      </c>
      <c r="Q743" s="2">
        <f t="shared" si="75"/>
        <v>0.50449999999998929</v>
      </c>
      <c r="R743" s="2">
        <f t="shared" si="76"/>
        <v>0.31399428208385605</v>
      </c>
      <c r="S743" s="2">
        <f t="shared" si="77"/>
        <v>0.19050571791613324</v>
      </c>
    </row>
    <row r="744" spans="2:19" x14ac:dyDescent="0.25">
      <c r="B744" s="1">
        <f t="shared" si="78"/>
        <v>738</v>
      </c>
      <c r="C744" s="1">
        <v>1191</v>
      </c>
      <c r="D744" s="13">
        <v>102.5</v>
      </c>
      <c r="E744" s="1" t="s">
        <v>11</v>
      </c>
      <c r="F744" s="2">
        <v>4.125</v>
      </c>
      <c r="G744" s="1" t="s">
        <v>12</v>
      </c>
      <c r="H744" s="1" t="s">
        <v>13</v>
      </c>
      <c r="I744" s="1" t="s">
        <v>14</v>
      </c>
      <c r="J744" s="14">
        <v>0.57010416666666663</v>
      </c>
      <c r="K744" s="15">
        <v>45514</v>
      </c>
      <c r="M744" s="2">
        <v>4.0549999999999997</v>
      </c>
      <c r="O744" s="2">
        <f t="shared" si="73"/>
        <v>3.9899999999999998</v>
      </c>
      <c r="P744" s="2">
        <f t="shared" si="74"/>
        <v>62.813087674714104</v>
      </c>
      <c r="Q744" s="2">
        <f t="shared" si="75"/>
        <v>0.51924999999998889</v>
      </c>
      <c r="R744" s="2">
        <f t="shared" si="76"/>
        <v>0.3141365946632716</v>
      </c>
      <c r="S744" s="2">
        <f t="shared" si="77"/>
        <v>0.20511340533671729</v>
      </c>
    </row>
    <row r="745" spans="2:19" x14ac:dyDescent="0.25">
      <c r="B745" s="1">
        <f t="shared" si="78"/>
        <v>739</v>
      </c>
      <c r="C745" s="1">
        <v>1193</v>
      </c>
      <c r="D745" s="13">
        <v>105.2</v>
      </c>
      <c r="E745" s="1" t="s">
        <v>11</v>
      </c>
      <c r="F745" s="2">
        <v>4.13</v>
      </c>
      <c r="G745" s="1" t="s">
        <v>12</v>
      </c>
      <c r="H745" s="1" t="s">
        <v>13</v>
      </c>
      <c r="I745" s="1" t="s">
        <v>14</v>
      </c>
      <c r="J745" s="14">
        <v>0.57010416666666663</v>
      </c>
      <c r="K745" s="15">
        <v>45514</v>
      </c>
      <c r="M745" s="2">
        <v>4.0599999999999996</v>
      </c>
      <c r="O745" s="2">
        <f t="shared" si="73"/>
        <v>3.9949999999999997</v>
      </c>
      <c r="P745" s="2">
        <f t="shared" si="74"/>
        <v>62.841550190597204</v>
      </c>
      <c r="Q745" s="2">
        <f t="shared" si="75"/>
        <v>0.5330000000000833</v>
      </c>
      <c r="R745" s="2">
        <f t="shared" si="76"/>
        <v>0.31427890724271501</v>
      </c>
      <c r="S745" s="2">
        <f t="shared" si="77"/>
        <v>0.21872109275736829</v>
      </c>
    </row>
    <row r="746" spans="2:19" x14ac:dyDescent="0.25">
      <c r="B746" s="1">
        <f t="shared" si="78"/>
        <v>740</v>
      </c>
      <c r="C746" s="1">
        <v>1195</v>
      </c>
      <c r="D746" s="13">
        <v>108</v>
      </c>
      <c r="E746" s="1" t="s">
        <v>11</v>
      </c>
      <c r="F746" s="2">
        <v>4.1349999999999998</v>
      </c>
      <c r="G746" s="1" t="s">
        <v>12</v>
      </c>
      <c r="H746" s="1" t="s">
        <v>13</v>
      </c>
      <c r="I746" s="1" t="s">
        <v>14</v>
      </c>
      <c r="J746" s="14">
        <v>0.57010416666666663</v>
      </c>
      <c r="K746" s="15">
        <v>45514</v>
      </c>
      <c r="M746" s="2">
        <v>4.0650000000000004</v>
      </c>
      <c r="O746" s="2">
        <f t="shared" si="73"/>
        <v>4</v>
      </c>
      <c r="P746" s="2">
        <f t="shared" si="74"/>
        <v>62.87001270648031</v>
      </c>
      <c r="Q746" s="2">
        <f t="shared" si="75"/>
        <v>0.55299999999998817</v>
      </c>
      <c r="R746" s="2">
        <f t="shared" si="76"/>
        <v>0.31442121982210258</v>
      </c>
      <c r="S746" s="2">
        <f t="shared" si="77"/>
        <v>0.23857878017788559</v>
      </c>
    </row>
    <row r="747" spans="2:19" x14ac:dyDescent="0.25">
      <c r="B747" s="1">
        <f t="shared" si="78"/>
        <v>741</v>
      </c>
      <c r="C747" s="1">
        <v>1198</v>
      </c>
      <c r="D747" s="13">
        <v>113.2</v>
      </c>
      <c r="E747" s="1" t="s">
        <v>11</v>
      </c>
      <c r="F747" s="2">
        <v>4.1399999999999997</v>
      </c>
      <c r="G747" s="1" t="s">
        <v>12</v>
      </c>
      <c r="H747" s="1" t="s">
        <v>13</v>
      </c>
      <c r="I747" s="1" t="s">
        <v>14</v>
      </c>
      <c r="J747" s="14">
        <v>0.57011574074074078</v>
      </c>
      <c r="K747" s="15">
        <v>45514</v>
      </c>
      <c r="M747" s="2">
        <v>4.07</v>
      </c>
      <c r="O747" s="2">
        <f t="shared" si="73"/>
        <v>4.0049999999999999</v>
      </c>
      <c r="P747" s="2">
        <f t="shared" si="74"/>
        <v>62.898475222363402</v>
      </c>
      <c r="Q747" s="2">
        <f t="shared" si="75"/>
        <v>0.57674999999998766</v>
      </c>
      <c r="R747" s="2">
        <f t="shared" si="76"/>
        <v>0.31456353240151808</v>
      </c>
      <c r="S747" s="2">
        <f t="shared" si="77"/>
        <v>0.26218646759846959</v>
      </c>
    </row>
    <row r="748" spans="2:19" x14ac:dyDescent="0.25">
      <c r="B748" s="1">
        <f t="shared" si="78"/>
        <v>742</v>
      </c>
      <c r="C748" s="1">
        <v>1200</v>
      </c>
      <c r="D748" s="13">
        <v>117.5</v>
      </c>
      <c r="E748" s="1" t="s">
        <v>11</v>
      </c>
      <c r="F748" s="2">
        <v>4.1449999999999996</v>
      </c>
      <c r="G748" s="1" t="s">
        <v>12</v>
      </c>
      <c r="H748" s="1" t="s">
        <v>13</v>
      </c>
      <c r="I748" s="1" t="s">
        <v>14</v>
      </c>
      <c r="J748" s="14">
        <v>0.57011574074074078</v>
      </c>
      <c r="K748" s="15">
        <v>45514</v>
      </c>
      <c r="M748" s="2">
        <v>4.0750000000000002</v>
      </c>
      <c r="O748" s="2">
        <f t="shared" si="73"/>
        <v>4.01</v>
      </c>
      <c r="P748" s="2">
        <f t="shared" si="74"/>
        <v>62.926937738246508</v>
      </c>
      <c r="Q748" s="2">
        <f t="shared" si="75"/>
        <v>0.59749999999998726</v>
      </c>
      <c r="R748" s="2">
        <f t="shared" si="76"/>
        <v>0.31470584498093357</v>
      </c>
      <c r="S748" s="2">
        <f t="shared" si="77"/>
        <v>0.28279415501905369</v>
      </c>
    </row>
    <row r="749" spans="2:19" x14ac:dyDescent="0.25">
      <c r="B749" s="1">
        <f t="shared" si="78"/>
        <v>743</v>
      </c>
      <c r="C749" s="1">
        <v>1202</v>
      </c>
      <c r="D749" s="13">
        <v>121.5</v>
      </c>
      <c r="E749" s="1" t="s">
        <v>11</v>
      </c>
      <c r="F749" s="2">
        <v>4.1500000000000004</v>
      </c>
      <c r="G749" s="1" t="s">
        <v>12</v>
      </c>
      <c r="H749" s="1" t="s">
        <v>13</v>
      </c>
      <c r="I749" s="1" t="s">
        <v>14</v>
      </c>
      <c r="J749" s="14">
        <v>0.57011574074074078</v>
      </c>
      <c r="K749" s="15">
        <v>45514</v>
      </c>
      <c r="M749" s="2">
        <v>4.08</v>
      </c>
      <c r="O749" s="2">
        <f t="shared" si="73"/>
        <v>4.0149999999999997</v>
      </c>
      <c r="P749" s="2">
        <f t="shared" si="74"/>
        <v>62.955400254129607</v>
      </c>
      <c r="Q749" s="2">
        <f t="shared" si="75"/>
        <v>0.62124999999998676</v>
      </c>
      <c r="R749" s="2">
        <f t="shared" si="76"/>
        <v>0.31484815756034906</v>
      </c>
      <c r="S749" s="2">
        <f t="shared" si="77"/>
        <v>0.30640184243963769</v>
      </c>
    </row>
    <row r="750" spans="2:19" x14ac:dyDescent="0.25">
      <c r="B750" s="1">
        <f t="shared" si="78"/>
        <v>744</v>
      </c>
      <c r="C750" s="1">
        <v>1205</v>
      </c>
      <c r="D750" s="13">
        <v>127</v>
      </c>
      <c r="E750" s="1" t="s">
        <v>11</v>
      </c>
      <c r="F750" s="2">
        <v>4.1550000000000002</v>
      </c>
      <c r="G750" s="1" t="s">
        <v>12</v>
      </c>
      <c r="H750" s="1" t="s">
        <v>13</v>
      </c>
      <c r="I750" s="1" t="s">
        <v>14</v>
      </c>
      <c r="J750" s="14">
        <v>0.57011574074074078</v>
      </c>
      <c r="K750" s="15">
        <v>45514</v>
      </c>
      <c r="M750" s="2">
        <v>4.085</v>
      </c>
      <c r="O750" s="2">
        <f t="shared" si="73"/>
        <v>4.0199999999999996</v>
      </c>
      <c r="P750" s="2">
        <f t="shared" si="74"/>
        <v>62.983862770012706</v>
      </c>
      <c r="Q750" s="2">
        <f t="shared" si="75"/>
        <v>0.65449999999998609</v>
      </c>
      <c r="R750" s="2">
        <f t="shared" si="76"/>
        <v>0.31499047013976456</v>
      </c>
      <c r="S750" s="2">
        <f t="shared" si="77"/>
        <v>0.33950952986022154</v>
      </c>
    </row>
    <row r="751" spans="2:19" x14ac:dyDescent="0.25">
      <c r="B751" s="1">
        <f t="shared" si="78"/>
        <v>745</v>
      </c>
      <c r="C751" s="1">
        <v>1207</v>
      </c>
      <c r="D751" s="13">
        <v>134.80000000000001</v>
      </c>
      <c r="E751" s="1" t="s">
        <v>11</v>
      </c>
      <c r="F751" s="2">
        <v>4.16</v>
      </c>
      <c r="G751" s="1" t="s">
        <v>12</v>
      </c>
      <c r="H751" s="1" t="s">
        <v>13</v>
      </c>
      <c r="I751" s="1" t="s">
        <v>14</v>
      </c>
      <c r="J751" s="14">
        <v>0.57012731481481482</v>
      </c>
      <c r="K751" s="15">
        <v>45514</v>
      </c>
      <c r="M751" s="2">
        <v>4.09</v>
      </c>
      <c r="O751" s="2">
        <f t="shared" si="73"/>
        <v>4.0249999999999995</v>
      </c>
      <c r="P751" s="2">
        <f t="shared" si="74"/>
        <v>63.012325285895805</v>
      </c>
      <c r="Q751" s="2">
        <f t="shared" si="75"/>
        <v>0.67924999999998559</v>
      </c>
      <c r="R751" s="2">
        <f t="shared" si="76"/>
        <v>0.31513278271918005</v>
      </c>
      <c r="S751" s="2">
        <f t="shared" si="77"/>
        <v>0.36411721728080554</v>
      </c>
    </row>
    <row r="752" spans="2:19" x14ac:dyDescent="0.25">
      <c r="B752" s="1">
        <f t="shared" si="78"/>
        <v>746</v>
      </c>
      <c r="C752" s="1">
        <v>1208</v>
      </c>
      <c r="D752" s="13">
        <v>136.9</v>
      </c>
      <c r="E752" s="1" t="s">
        <v>11</v>
      </c>
      <c r="F752" s="2">
        <v>4.165</v>
      </c>
      <c r="G752" s="1" t="s">
        <v>12</v>
      </c>
      <c r="H752" s="1" t="s">
        <v>13</v>
      </c>
      <c r="I752" s="1" t="s">
        <v>14</v>
      </c>
      <c r="J752" s="14">
        <v>0.57012731481481482</v>
      </c>
      <c r="K752" s="15">
        <v>45514</v>
      </c>
      <c r="M752" s="2">
        <v>4.0949999999999998</v>
      </c>
      <c r="O752" s="2">
        <f t="shared" si="73"/>
        <v>4.0299999999999994</v>
      </c>
      <c r="P752" s="2">
        <f t="shared" si="74"/>
        <v>63.040787801778905</v>
      </c>
      <c r="Q752" s="2">
        <f t="shared" si="75"/>
        <v>0.69749999999998513</v>
      </c>
      <c r="R752" s="2">
        <f t="shared" si="76"/>
        <v>0.31527509529859554</v>
      </c>
      <c r="S752" s="2">
        <f t="shared" si="77"/>
        <v>0.38222490470138959</v>
      </c>
    </row>
    <row r="753" spans="2:19" x14ac:dyDescent="0.25">
      <c r="B753" s="1">
        <f t="shared" si="78"/>
        <v>747</v>
      </c>
      <c r="C753" s="1">
        <v>1211</v>
      </c>
      <c r="D753" s="13">
        <v>142.1</v>
      </c>
      <c r="E753" s="1" t="s">
        <v>11</v>
      </c>
      <c r="F753" s="2">
        <v>4.17</v>
      </c>
      <c r="G753" s="1" t="s">
        <v>12</v>
      </c>
      <c r="H753" s="1" t="s">
        <v>13</v>
      </c>
      <c r="I753" s="1" t="s">
        <v>14</v>
      </c>
      <c r="J753" s="14">
        <v>0.57012731481481482</v>
      </c>
      <c r="K753" s="15">
        <v>45514</v>
      </c>
      <c r="M753" s="2">
        <v>4.0999999999999996</v>
      </c>
      <c r="O753" s="2">
        <f t="shared" si="73"/>
        <v>4.0349999999999993</v>
      </c>
      <c r="P753" s="2">
        <f t="shared" si="74"/>
        <v>63.069250317662004</v>
      </c>
      <c r="Q753" s="2">
        <f t="shared" si="75"/>
        <v>0.72025000000011263</v>
      </c>
      <c r="R753" s="2">
        <f t="shared" si="76"/>
        <v>0.3154174078780671</v>
      </c>
      <c r="S753" s="2">
        <f t="shared" si="77"/>
        <v>0.40483259212204553</v>
      </c>
    </row>
    <row r="754" spans="2:19" x14ac:dyDescent="0.25">
      <c r="B754" s="1">
        <f t="shared" si="78"/>
        <v>748</v>
      </c>
      <c r="C754" s="1">
        <v>1213</v>
      </c>
      <c r="D754" s="13">
        <v>146</v>
      </c>
      <c r="E754" s="1" t="s">
        <v>11</v>
      </c>
      <c r="F754" s="2">
        <v>4.1749999999999998</v>
      </c>
      <c r="G754" s="1" t="s">
        <v>12</v>
      </c>
      <c r="H754" s="1" t="s">
        <v>13</v>
      </c>
      <c r="I754" s="1" t="s">
        <v>14</v>
      </c>
      <c r="J754" s="14">
        <v>0.57012731481481482</v>
      </c>
      <c r="K754" s="15">
        <v>45514</v>
      </c>
      <c r="M754" s="2">
        <v>4.1050000000000004</v>
      </c>
      <c r="O754" s="2">
        <f t="shared" si="73"/>
        <v>4.04</v>
      </c>
      <c r="P754" s="2">
        <f t="shared" si="74"/>
        <v>63.09771283354511</v>
      </c>
      <c r="Q754" s="2">
        <f t="shared" si="75"/>
        <v>0.74549999999998406</v>
      </c>
      <c r="R754" s="2">
        <f t="shared" si="76"/>
        <v>0.31555972045742658</v>
      </c>
      <c r="S754" s="2">
        <f t="shared" si="77"/>
        <v>0.42994027954255748</v>
      </c>
    </row>
    <row r="755" spans="2:19" x14ac:dyDescent="0.25">
      <c r="B755" s="1">
        <f t="shared" si="78"/>
        <v>749</v>
      </c>
      <c r="C755" s="1">
        <v>1216</v>
      </c>
      <c r="D755" s="13">
        <v>152.19999999999999</v>
      </c>
      <c r="E755" s="1" t="s">
        <v>11</v>
      </c>
      <c r="F755" s="2">
        <v>4.18</v>
      </c>
      <c r="G755" s="1" t="s">
        <v>12</v>
      </c>
      <c r="H755" s="1" t="s">
        <v>13</v>
      </c>
      <c r="I755" s="1" t="s">
        <v>14</v>
      </c>
      <c r="J755" s="14">
        <v>0.57013888888888886</v>
      </c>
      <c r="K755" s="15">
        <v>45514</v>
      </c>
      <c r="M755" s="2">
        <v>4.1100000000000003</v>
      </c>
      <c r="O755" s="2">
        <f t="shared" si="73"/>
        <v>4.0449999999999999</v>
      </c>
      <c r="P755" s="2">
        <f t="shared" si="74"/>
        <v>63.126175349428209</v>
      </c>
      <c r="Q755" s="2">
        <f t="shared" si="75"/>
        <v>0.7707499999999835</v>
      </c>
      <c r="R755" s="2">
        <f t="shared" si="76"/>
        <v>0.31570203303684202</v>
      </c>
      <c r="S755" s="2">
        <f t="shared" si="77"/>
        <v>0.45504796696314148</v>
      </c>
    </row>
    <row r="756" spans="2:19" x14ac:dyDescent="0.25">
      <c r="B756" s="1">
        <f t="shared" si="78"/>
        <v>750</v>
      </c>
      <c r="C756" s="1">
        <v>1218</v>
      </c>
      <c r="D756" s="13">
        <v>156.1</v>
      </c>
      <c r="E756" s="1" t="s">
        <v>11</v>
      </c>
      <c r="F756" s="2">
        <v>4.1849999999999996</v>
      </c>
      <c r="G756" s="1" t="s">
        <v>12</v>
      </c>
      <c r="H756" s="1" t="s">
        <v>13</v>
      </c>
      <c r="I756" s="1" t="s">
        <v>14</v>
      </c>
      <c r="J756" s="14">
        <v>0.57013888888888886</v>
      </c>
      <c r="K756" s="15">
        <v>45514</v>
      </c>
      <c r="M756" s="2">
        <v>4.1150000000000002</v>
      </c>
      <c r="O756" s="2">
        <f t="shared" si="73"/>
        <v>4.05</v>
      </c>
      <c r="P756" s="2">
        <f t="shared" si="74"/>
        <v>63.154637865311308</v>
      </c>
      <c r="Q756" s="2">
        <f t="shared" si="75"/>
        <v>0.79374999999998308</v>
      </c>
      <c r="R756" s="2">
        <f t="shared" si="76"/>
        <v>0.31584434561625757</v>
      </c>
      <c r="S756" s="2">
        <f t="shared" si="77"/>
        <v>0.47790565438372551</v>
      </c>
    </row>
    <row r="757" spans="2:19" x14ac:dyDescent="0.25">
      <c r="B757" s="1">
        <f t="shared" si="78"/>
        <v>751</v>
      </c>
      <c r="C757" s="1">
        <v>1221</v>
      </c>
      <c r="D757" s="13">
        <v>161.4</v>
      </c>
      <c r="E757" s="1" t="s">
        <v>11</v>
      </c>
      <c r="F757" s="2">
        <v>4.1900000000000004</v>
      </c>
      <c r="G757" s="1" t="s">
        <v>12</v>
      </c>
      <c r="H757" s="1" t="s">
        <v>13</v>
      </c>
      <c r="I757" s="1" t="s">
        <v>14</v>
      </c>
      <c r="J757" s="14">
        <v>0.57013888888888886</v>
      </c>
      <c r="K757" s="15">
        <v>45514</v>
      </c>
      <c r="M757" s="2">
        <v>4.12</v>
      </c>
      <c r="O757" s="2">
        <f t="shared" si="73"/>
        <v>4.0549999999999997</v>
      </c>
      <c r="P757" s="2">
        <f t="shared" si="74"/>
        <v>63.183100381194407</v>
      </c>
      <c r="Q757" s="2">
        <f t="shared" si="75"/>
        <v>0.81999999999998252</v>
      </c>
      <c r="R757" s="2">
        <f t="shared" si="76"/>
        <v>0.31598665819567306</v>
      </c>
      <c r="S757" s="2">
        <f t="shared" si="77"/>
        <v>0.50401334180430946</v>
      </c>
    </row>
    <row r="758" spans="2:19" x14ac:dyDescent="0.25">
      <c r="B758" s="1">
        <f t="shared" si="78"/>
        <v>752</v>
      </c>
      <c r="C758" s="1">
        <v>1224</v>
      </c>
      <c r="D758" s="13">
        <v>166.6</v>
      </c>
      <c r="E758" s="1" t="s">
        <v>11</v>
      </c>
      <c r="F758" s="2">
        <v>4.1950000000000003</v>
      </c>
      <c r="G758" s="1" t="s">
        <v>12</v>
      </c>
      <c r="H758" s="1" t="s">
        <v>13</v>
      </c>
      <c r="I758" s="1" t="s">
        <v>14</v>
      </c>
      <c r="J758" s="14">
        <v>0.57013888888888886</v>
      </c>
      <c r="K758" s="15">
        <v>45514</v>
      </c>
      <c r="M758" s="2">
        <v>4.125</v>
      </c>
      <c r="O758" s="2">
        <f t="shared" si="73"/>
        <v>4.0599999999999996</v>
      </c>
      <c r="P758" s="2">
        <f t="shared" si="74"/>
        <v>63.211562897077513</v>
      </c>
      <c r="Q758" s="2">
        <f t="shared" si="75"/>
        <v>-343.61250000000001</v>
      </c>
      <c r="R758" s="2">
        <f t="shared" si="76"/>
        <v>-212.31694726810676</v>
      </c>
      <c r="S758" s="2">
        <f t="shared" si="77"/>
        <v>-131.29555273189325</v>
      </c>
    </row>
    <row r="759" spans="2:19" x14ac:dyDescent="0.25">
      <c r="B759" s="1">
        <f t="shared" si="78"/>
        <v>753</v>
      </c>
      <c r="O759" s="2">
        <f t="shared" si="73"/>
        <v>-6.5000000000000002E-2</v>
      </c>
      <c r="P759" s="2">
        <f t="shared" si="74"/>
        <v>39.729987293519699</v>
      </c>
      <c r="Q759" s="2">
        <f t="shared" si="75"/>
        <v>0</v>
      </c>
      <c r="R759" s="2">
        <f t="shared" si="76"/>
        <v>0</v>
      </c>
      <c r="S759" s="2">
        <f t="shared" si="77"/>
        <v>0</v>
      </c>
    </row>
    <row r="760" spans="2:19" x14ac:dyDescent="0.25">
      <c r="B760" s="1">
        <f t="shared" si="78"/>
        <v>754</v>
      </c>
      <c r="O760" s="2">
        <f t="shared" si="73"/>
        <v>-6.5000000000000002E-2</v>
      </c>
      <c r="P760" s="2">
        <f t="shared" si="74"/>
        <v>39.729987293519699</v>
      </c>
      <c r="Q760" s="2">
        <f t="shared" si="75"/>
        <v>0</v>
      </c>
      <c r="R760" s="2">
        <f t="shared" si="76"/>
        <v>0</v>
      </c>
      <c r="S760" s="2">
        <f t="shared" si="77"/>
        <v>0</v>
      </c>
    </row>
    <row r="761" spans="2:19" x14ac:dyDescent="0.25">
      <c r="B761" s="1">
        <f t="shared" si="78"/>
        <v>755</v>
      </c>
      <c r="O761" s="2">
        <f t="shared" si="73"/>
        <v>-6.5000000000000002E-2</v>
      </c>
      <c r="P761" s="2">
        <f t="shared" si="74"/>
        <v>39.729987293519699</v>
      </c>
      <c r="Q761" s="2">
        <f t="shared" si="75"/>
        <v>0</v>
      </c>
      <c r="R761" s="2">
        <f t="shared" si="76"/>
        <v>0</v>
      </c>
      <c r="S761" s="2">
        <f t="shared" si="77"/>
        <v>0</v>
      </c>
    </row>
    <row r="762" spans="2:19" x14ac:dyDescent="0.25">
      <c r="B762" s="1">
        <f t="shared" si="78"/>
        <v>756</v>
      </c>
      <c r="O762" s="2">
        <f t="shared" si="73"/>
        <v>-6.5000000000000002E-2</v>
      </c>
      <c r="P762" s="2">
        <f t="shared" si="74"/>
        <v>39.729987293519699</v>
      </c>
      <c r="Q762" s="2">
        <f t="shared" si="75"/>
        <v>0</v>
      </c>
      <c r="R762" s="2">
        <f t="shared" si="76"/>
        <v>0</v>
      </c>
      <c r="S762" s="2">
        <f t="shared" si="77"/>
        <v>0</v>
      </c>
    </row>
    <row r="763" spans="2:19" x14ac:dyDescent="0.25">
      <c r="B763" s="1">
        <f t="shared" si="78"/>
        <v>757</v>
      </c>
      <c r="O763" s="2">
        <f t="shared" si="73"/>
        <v>-6.5000000000000002E-2</v>
      </c>
      <c r="P763" s="2">
        <f t="shared" si="74"/>
        <v>39.729987293519699</v>
      </c>
      <c r="Q763" s="2">
        <f t="shared" si="75"/>
        <v>0</v>
      </c>
      <c r="R763" s="2">
        <f t="shared" si="76"/>
        <v>0</v>
      </c>
      <c r="S763" s="2">
        <f t="shared" si="77"/>
        <v>0</v>
      </c>
    </row>
    <row r="764" spans="2:19" x14ac:dyDescent="0.25">
      <c r="B764" s="1">
        <f t="shared" si="78"/>
        <v>758</v>
      </c>
      <c r="O764" s="2">
        <f t="shared" si="73"/>
        <v>-6.5000000000000002E-2</v>
      </c>
      <c r="P764" s="2">
        <f t="shared" si="74"/>
        <v>39.729987293519699</v>
      </c>
      <c r="Q764" s="2">
        <f t="shared" si="75"/>
        <v>0</v>
      </c>
      <c r="R764" s="2">
        <f t="shared" si="76"/>
        <v>0</v>
      </c>
      <c r="S764" s="2">
        <f t="shared" si="77"/>
        <v>0</v>
      </c>
    </row>
    <row r="765" spans="2:19" x14ac:dyDescent="0.25">
      <c r="B765" s="1">
        <f t="shared" si="78"/>
        <v>759</v>
      </c>
      <c r="O765" s="2">
        <f t="shared" si="73"/>
        <v>-6.5000000000000002E-2</v>
      </c>
      <c r="P765" s="2">
        <f t="shared" si="74"/>
        <v>39.729987293519699</v>
      </c>
      <c r="Q765" s="2">
        <f t="shared" si="75"/>
        <v>0</v>
      </c>
      <c r="R765" s="2">
        <f t="shared" si="76"/>
        <v>0</v>
      </c>
      <c r="S765" s="2">
        <f t="shared" si="77"/>
        <v>0</v>
      </c>
    </row>
    <row r="766" spans="2:19" x14ac:dyDescent="0.25">
      <c r="B766" s="1">
        <f t="shared" si="78"/>
        <v>760</v>
      </c>
      <c r="O766" s="2">
        <f t="shared" si="73"/>
        <v>-6.5000000000000002E-2</v>
      </c>
      <c r="P766" s="2">
        <f t="shared" si="74"/>
        <v>39.729987293519699</v>
      </c>
      <c r="Q766" s="2">
        <f t="shared" si="75"/>
        <v>0</v>
      </c>
      <c r="R766" s="2">
        <f t="shared" si="76"/>
        <v>0</v>
      </c>
      <c r="S766" s="2">
        <f t="shared" si="77"/>
        <v>0</v>
      </c>
    </row>
    <row r="767" spans="2:19" x14ac:dyDescent="0.25">
      <c r="B767" s="1">
        <f t="shared" si="78"/>
        <v>761</v>
      </c>
      <c r="O767" s="2">
        <f t="shared" si="73"/>
        <v>-6.5000000000000002E-2</v>
      </c>
      <c r="P767" s="2">
        <f t="shared" si="74"/>
        <v>39.729987293519699</v>
      </c>
      <c r="Q767" s="2">
        <f t="shared" si="75"/>
        <v>0</v>
      </c>
      <c r="R767" s="2">
        <f t="shared" si="76"/>
        <v>0</v>
      </c>
      <c r="S767" s="2">
        <f t="shared" si="77"/>
        <v>0</v>
      </c>
    </row>
    <row r="768" spans="2:19" x14ac:dyDescent="0.25">
      <c r="B768" s="1">
        <f t="shared" si="78"/>
        <v>762</v>
      </c>
      <c r="O768" s="2">
        <f t="shared" si="73"/>
        <v>-6.5000000000000002E-2</v>
      </c>
      <c r="P768" s="2">
        <f t="shared" si="74"/>
        <v>39.729987293519699</v>
      </c>
      <c r="Q768" s="2">
        <f t="shared" si="75"/>
        <v>0</v>
      </c>
      <c r="R768" s="2">
        <f t="shared" si="76"/>
        <v>0</v>
      </c>
      <c r="S768" s="2">
        <f t="shared" si="77"/>
        <v>0</v>
      </c>
    </row>
    <row r="769" spans="2:19" x14ac:dyDescent="0.25">
      <c r="B769" s="1">
        <f t="shared" si="78"/>
        <v>763</v>
      </c>
      <c r="O769" s="2">
        <f t="shared" si="73"/>
        <v>-6.5000000000000002E-2</v>
      </c>
      <c r="P769" s="2">
        <f t="shared" si="74"/>
        <v>39.729987293519699</v>
      </c>
      <c r="Q769" s="2">
        <f t="shared" si="75"/>
        <v>0</v>
      </c>
      <c r="R769" s="2">
        <f t="shared" si="76"/>
        <v>0</v>
      </c>
      <c r="S769" s="2">
        <f t="shared" si="77"/>
        <v>0</v>
      </c>
    </row>
    <row r="770" spans="2:19" x14ac:dyDescent="0.25">
      <c r="B770" s="1">
        <f t="shared" si="78"/>
        <v>764</v>
      </c>
      <c r="O770" s="2">
        <f t="shared" si="73"/>
        <v>-6.5000000000000002E-2</v>
      </c>
      <c r="P770" s="2">
        <f t="shared" si="74"/>
        <v>39.729987293519699</v>
      </c>
      <c r="Q770" s="2">
        <f t="shared" si="75"/>
        <v>0</v>
      </c>
      <c r="R770" s="2">
        <f t="shared" si="76"/>
        <v>0</v>
      </c>
      <c r="S770" s="2">
        <f t="shared" si="77"/>
        <v>0</v>
      </c>
    </row>
    <row r="771" spans="2:19" x14ac:dyDescent="0.25">
      <c r="B771" s="1">
        <f t="shared" si="78"/>
        <v>765</v>
      </c>
      <c r="O771" s="2">
        <f t="shared" si="73"/>
        <v>-6.5000000000000002E-2</v>
      </c>
      <c r="P771" s="2">
        <f t="shared" si="74"/>
        <v>39.729987293519699</v>
      </c>
      <c r="Q771" s="2">
        <f t="shared" si="75"/>
        <v>0</v>
      </c>
      <c r="R771" s="2">
        <f t="shared" si="76"/>
        <v>0</v>
      </c>
      <c r="S771" s="2">
        <f t="shared" si="77"/>
        <v>0</v>
      </c>
    </row>
    <row r="772" spans="2:19" x14ac:dyDescent="0.25">
      <c r="B772" s="1">
        <f t="shared" si="78"/>
        <v>766</v>
      </c>
      <c r="O772" s="2">
        <f t="shared" si="73"/>
        <v>-6.5000000000000002E-2</v>
      </c>
      <c r="P772" s="2">
        <f t="shared" si="74"/>
        <v>39.729987293519699</v>
      </c>
      <c r="Q772" s="2">
        <f t="shared" si="75"/>
        <v>0</v>
      </c>
      <c r="R772" s="2">
        <f t="shared" si="76"/>
        <v>0</v>
      </c>
      <c r="S772" s="2">
        <f t="shared" si="77"/>
        <v>0</v>
      </c>
    </row>
    <row r="773" spans="2:19" x14ac:dyDescent="0.25">
      <c r="B773" s="1">
        <f t="shared" si="78"/>
        <v>767</v>
      </c>
      <c r="O773" s="2">
        <f t="shared" si="73"/>
        <v>-6.5000000000000002E-2</v>
      </c>
      <c r="P773" s="2">
        <f t="shared" si="74"/>
        <v>39.729987293519699</v>
      </c>
      <c r="Q773" s="2">
        <f t="shared" si="75"/>
        <v>0</v>
      </c>
      <c r="R773" s="2">
        <f t="shared" si="76"/>
        <v>0</v>
      </c>
      <c r="S773" s="2">
        <f t="shared" si="77"/>
        <v>0</v>
      </c>
    </row>
    <row r="774" spans="2:19" x14ac:dyDescent="0.25">
      <c r="B774" s="1">
        <f t="shared" si="78"/>
        <v>768</v>
      </c>
      <c r="O774" s="2">
        <f t="shared" si="73"/>
        <v>-6.5000000000000002E-2</v>
      </c>
      <c r="P774" s="2">
        <f t="shared" si="74"/>
        <v>39.729987293519699</v>
      </c>
      <c r="Q774" s="2">
        <f t="shared" si="75"/>
        <v>0</v>
      </c>
      <c r="R774" s="2">
        <f t="shared" si="76"/>
        <v>0</v>
      </c>
      <c r="S774" s="2">
        <f t="shared" si="77"/>
        <v>0</v>
      </c>
    </row>
    <row r="775" spans="2:19" x14ac:dyDescent="0.25">
      <c r="B775" s="1">
        <f t="shared" si="78"/>
        <v>769</v>
      </c>
      <c r="O775" s="2">
        <f t="shared" si="73"/>
        <v>-6.5000000000000002E-2</v>
      </c>
      <c r="P775" s="2">
        <f t="shared" si="74"/>
        <v>39.729987293519699</v>
      </c>
      <c r="Q775" s="2">
        <f t="shared" si="75"/>
        <v>0</v>
      </c>
      <c r="R775" s="2">
        <f t="shared" si="76"/>
        <v>0</v>
      </c>
      <c r="S775" s="2">
        <f t="shared" si="77"/>
        <v>0</v>
      </c>
    </row>
    <row r="776" spans="2:19" x14ac:dyDescent="0.25">
      <c r="B776" s="1">
        <f t="shared" si="78"/>
        <v>770</v>
      </c>
      <c r="O776" s="2">
        <f t="shared" ref="O776:O794" si="79">M776-$X$23</f>
        <v>-6.5000000000000002E-2</v>
      </c>
      <c r="P776" s="2">
        <f t="shared" ref="P776:P794" si="80">O776*$AC$21+$Y$23</f>
        <v>39.729987293519699</v>
      </c>
      <c r="Q776" s="2">
        <f t="shared" ref="Q776:Q793" si="81">((D776+D777)/2)*(M777-M776)</f>
        <v>0</v>
      </c>
      <c r="R776" s="2">
        <f t="shared" ref="R776:R793" si="82">((P776+P777)/2)*(O777-O776)</f>
        <v>0</v>
      </c>
      <c r="S776" s="2">
        <f t="shared" ref="S776:S793" si="83">Q776-R776</f>
        <v>0</v>
      </c>
    </row>
    <row r="777" spans="2:19" x14ac:dyDescent="0.25">
      <c r="B777" s="1">
        <f t="shared" ref="B777:B794" si="84">B776+1</f>
        <v>771</v>
      </c>
      <c r="O777" s="2">
        <f t="shared" si="79"/>
        <v>-6.5000000000000002E-2</v>
      </c>
      <c r="P777" s="2">
        <f t="shared" si="80"/>
        <v>39.729987293519699</v>
      </c>
      <c r="Q777" s="2">
        <f t="shared" si="81"/>
        <v>0</v>
      </c>
      <c r="R777" s="2">
        <f t="shared" si="82"/>
        <v>0</v>
      </c>
      <c r="S777" s="2">
        <f t="shared" si="83"/>
        <v>0</v>
      </c>
    </row>
    <row r="778" spans="2:19" x14ac:dyDescent="0.25">
      <c r="B778" s="1">
        <f t="shared" si="84"/>
        <v>772</v>
      </c>
      <c r="O778" s="2">
        <f t="shared" si="79"/>
        <v>-6.5000000000000002E-2</v>
      </c>
      <c r="P778" s="2">
        <f t="shared" si="80"/>
        <v>39.729987293519699</v>
      </c>
      <c r="Q778" s="2">
        <f t="shared" si="81"/>
        <v>0</v>
      </c>
      <c r="R778" s="2">
        <f t="shared" si="82"/>
        <v>0</v>
      </c>
      <c r="S778" s="2">
        <f t="shared" si="83"/>
        <v>0</v>
      </c>
    </row>
    <row r="779" spans="2:19" x14ac:dyDescent="0.25">
      <c r="B779" s="1">
        <f t="shared" si="84"/>
        <v>773</v>
      </c>
      <c r="O779" s="2">
        <f t="shared" si="79"/>
        <v>-6.5000000000000002E-2</v>
      </c>
      <c r="P779" s="2">
        <f t="shared" si="80"/>
        <v>39.729987293519699</v>
      </c>
      <c r="Q779" s="2">
        <f t="shared" si="81"/>
        <v>0</v>
      </c>
      <c r="R779" s="2">
        <f t="shared" si="82"/>
        <v>0</v>
      </c>
      <c r="S779" s="2">
        <f t="shared" si="83"/>
        <v>0</v>
      </c>
    </row>
    <row r="780" spans="2:19" x14ac:dyDescent="0.25">
      <c r="B780" s="1">
        <f t="shared" si="84"/>
        <v>774</v>
      </c>
      <c r="O780" s="2">
        <f t="shared" si="79"/>
        <v>-6.5000000000000002E-2</v>
      </c>
      <c r="P780" s="2">
        <f t="shared" si="80"/>
        <v>39.729987293519699</v>
      </c>
      <c r="Q780" s="2">
        <f t="shared" si="81"/>
        <v>0</v>
      </c>
      <c r="R780" s="2">
        <f t="shared" si="82"/>
        <v>0</v>
      </c>
      <c r="S780" s="2">
        <f t="shared" si="83"/>
        <v>0</v>
      </c>
    </row>
    <row r="781" spans="2:19" x14ac:dyDescent="0.25">
      <c r="B781" s="1">
        <f t="shared" si="84"/>
        <v>775</v>
      </c>
      <c r="O781" s="2">
        <f t="shared" si="79"/>
        <v>-6.5000000000000002E-2</v>
      </c>
      <c r="P781" s="2">
        <f t="shared" si="80"/>
        <v>39.729987293519699</v>
      </c>
      <c r="Q781" s="2">
        <f t="shared" si="81"/>
        <v>0</v>
      </c>
      <c r="R781" s="2">
        <f t="shared" si="82"/>
        <v>0</v>
      </c>
      <c r="S781" s="2">
        <f t="shared" si="83"/>
        <v>0</v>
      </c>
    </row>
    <row r="782" spans="2:19" x14ac:dyDescent="0.25">
      <c r="B782" s="1">
        <f t="shared" si="84"/>
        <v>776</v>
      </c>
      <c r="O782" s="2">
        <f t="shared" si="79"/>
        <v>-6.5000000000000002E-2</v>
      </c>
      <c r="P782" s="2">
        <f t="shared" si="80"/>
        <v>39.729987293519699</v>
      </c>
      <c r="Q782" s="2">
        <f t="shared" si="81"/>
        <v>0</v>
      </c>
      <c r="R782" s="2">
        <f t="shared" si="82"/>
        <v>0</v>
      </c>
      <c r="S782" s="2">
        <f t="shared" si="83"/>
        <v>0</v>
      </c>
    </row>
    <row r="783" spans="2:19" x14ac:dyDescent="0.25">
      <c r="B783" s="1">
        <f t="shared" si="84"/>
        <v>777</v>
      </c>
      <c r="O783" s="2">
        <f t="shared" si="79"/>
        <v>-6.5000000000000002E-2</v>
      </c>
      <c r="P783" s="2">
        <f t="shared" si="80"/>
        <v>39.729987293519699</v>
      </c>
      <c r="Q783" s="2">
        <f t="shared" si="81"/>
        <v>0</v>
      </c>
      <c r="R783" s="2">
        <f t="shared" si="82"/>
        <v>0</v>
      </c>
      <c r="S783" s="2">
        <f t="shared" si="83"/>
        <v>0</v>
      </c>
    </row>
    <row r="784" spans="2:19" x14ac:dyDescent="0.25">
      <c r="B784" s="1">
        <f t="shared" si="84"/>
        <v>778</v>
      </c>
      <c r="O784" s="2">
        <f t="shared" si="79"/>
        <v>-6.5000000000000002E-2</v>
      </c>
      <c r="P784" s="2">
        <f t="shared" si="80"/>
        <v>39.729987293519699</v>
      </c>
      <c r="Q784" s="2">
        <f t="shared" si="81"/>
        <v>0</v>
      </c>
      <c r="R784" s="2">
        <f t="shared" si="82"/>
        <v>0</v>
      </c>
      <c r="S784" s="2">
        <f t="shared" si="83"/>
        <v>0</v>
      </c>
    </row>
    <row r="785" spans="2:20" x14ac:dyDescent="0.25">
      <c r="B785" s="1">
        <f t="shared" si="84"/>
        <v>779</v>
      </c>
      <c r="O785" s="2">
        <f t="shared" si="79"/>
        <v>-6.5000000000000002E-2</v>
      </c>
      <c r="P785" s="2">
        <f t="shared" si="80"/>
        <v>39.729987293519699</v>
      </c>
      <c r="Q785" s="2">
        <f t="shared" si="81"/>
        <v>0</v>
      </c>
      <c r="R785" s="2">
        <f t="shared" si="82"/>
        <v>0</v>
      </c>
      <c r="S785" s="2">
        <f t="shared" si="83"/>
        <v>0</v>
      </c>
    </row>
    <row r="786" spans="2:20" x14ac:dyDescent="0.25">
      <c r="B786" s="1">
        <f t="shared" si="84"/>
        <v>780</v>
      </c>
      <c r="O786" s="2">
        <f t="shared" si="79"/>
        <v>-6.5000000000000002E-2</v>
      </c>
      <c r="P786" s="2">
        <f t="shared" si="80"/>
        <v>39.729987293519699</v>
      </c>
      <c r="Q786" s="2">
        <f t="shared" si="81"/>
        <v>0</v>
      </c>
      <c r="R786" s="2">
        <f t="shared" si="82"/>
        <v>0</v>
      </c>
      <c r="S786" s="2">
        <f t="shared" si="83"/>
        <v>0</v>
      </c>
    </row>
    <row r="787" spans="2:20" x14ac:dyDescent="0.25">
      <c r="B787" s="1">
        <f t="shared" si="84"/>
        <v>781</v>
      </c>
      <c r="O787" s="2">
        <f t="shared" si="79"/>
        <v>-6.5000000000000002E-2</v>
      </c>
      <c r="P787" s="2">
        <f t="shared" si="80"/>
        <v>39.729987293519699</v>
      </c>
      <c r="Q787" s="2">
        <f t="shared" si="81"/>
        <v>0</v>
      </c>
      <c r="R787" s="2">
        <f t="shared" si="82"/>
        <v>0</v>
      </c>
      <c r="S787" s="2">
        <f t="shared" si="83"/>
        <v>0</v>
      </c>
    </row>
    <row r="788" spans="2:20" x14ac:dyDescent="0.25">
      <c r="B788" s="1">
        <f t="shared" si="84"/>
        <v>782</v>
      </c>
      <c r="O788" s="2">
        <f t="shared" si="79"/>
        <v>-6.5000000000000002E-2</v>
      </c>
      <c r="P788" s="2">
        <f t="shared" si="80"/>
        <v>39.729987293519699</v>
      </c>
      <c r="Q788" s="2">
        <f t="shared" si="81"/>
        <v>0</v>
      </c>
      <c r="R788" s="2">
        <f t="shared" si="82"/>
        <v>0</v>
      </c>
      <c r="S788" s="2">
        <f t="shared" si="83"/>
        <v>0</v>
      </c>
    </row>
    <row r="789" spans="2:20" x14ac:dyDescent="0.25">
      <c r="B789" s="1">
        <f t="shared" si="84"/>
        <v>783</v>
      </c>
      <c r="O789" s="2">
        <f t="shared" si="79"/>
        <v>-6.5000000000000002E-2</v>
      </c>
      <c r="P789" s="2">
        <f t="shared" si="80"/>
        <v>39.729987293519699</v>
      </c>
      <c r="Q789" s="2">
        <f t="shared" si="81"/>
        <v>0</v>
      </c>
      <c r="R789" s="2">
        <f t="shared" si="82"/>
        <v>0</v>
      </c>
      <c r="S789" s="2">
        <f t="shared" si="83"/>
        <v>0</v>
      </c>
    </row>
    <row r="790" spans="2:20" x14ac:dyDescent="0.25">
      <c r="B790" s="1">
        <f t="shared" si="84"/>
        <v>784</v>
      </c>
      <c r="O790" s="2">
        <f t="shared" si="79"/>
        <v>-6.5000000000000002E-2</v>
      </c>
      <c r="P790" s="2">
        <f t="shared" si="80"/>
        <v>39.729987293519699</v>
      </c>
      <c r="Q790" s="2">
        <f t="shared" si="81"/>
        <v>0</v>
      </c>
      <c r="R790" s="2">
        <f t="shared" si="82"/>
        <v>0</v>
      </c>
      <c r="S790" s="2">
        <f t="shared" si="83"/>
        <v>0</v>
      </c>
    </row>
    <row r="791" spans="2:20" x14ac:dyDescent="0.25">
      <c r="B791" s="1">
        <f t="shared" si="84"/>
        <v>785</v>
      </c>
      <c r="O791" s="2">
        <f t="shared" si="79"/>
        <v>-6.5000000000000002E-2</v>
      </c>
      <c r="P791" s="2">
        <f t="shared" si="80"/>
        <v>39.729987293519699</v>
      </c>
      <c r="Q791" s="2">
        <f t="shared" si="81"/>
        <v>0</v>
      </c>
      <c r="R791" s="2">
        <f t="shared" si="82"/>
        <v>0</v>
      </c>
      <c r="S791" s="2">
        <f t="shared" si="83"/>
        <v>0</v>
      </c>
    </row>
    <row r="792" spans="2:20" x14ac:dyDescent="0.25">
      <c r="B792" s="1">
        <f t="shared" si="84"/>
        <v>786</v>
      </c>
      <c r="O792" s="2">
        <f t="shared" si="79"/>
        <v>-6.5000000000000002E-2</v>
      </c>
      <c r="P792" s="2">
        <f t="shared" si="80"/>
        <v>39.729987293519699</v>
      </c>
      <c r="Q792" s="2">
        <f t="shared" si="81"/>
        <v>0</v>
      </c>
      <c r="R792" s="2">
        <f t="shared" si="82"/>
        <v>0</v>
      </c>
      <c r="S792" s="2">
        <f t="shared" si="83"/>
        <v>0</v>
      </c>
    </row>
    <row r="793" spans="2:20" x14ac:dyDescent="0.25">
      <c r="B793" s="1">
        <f t="shared" si="84"/>
        <v>787</v>
      </c>
      <c r="O793" s="2">
        <f t="shared" si="79"/>
        <v>-6.5000000000000002E-2</v>
      </c>
      <c r="P793" s="2">
        <f t="shared" si="80"/>
        <v>39.729987293519699</v>
      </c>
      <c r="Q793" s="2">
        <f t="shared" si="81"/>
        <v>0</v>
      </c>
      <c r="R793" s="2">
        <f t="shared" si="82"/>
        <v>0</v>
      </c>
      <c r="S793" s="2">
        <f t="shared" si="83"/>
        <v>0</v>
      </c>
    </row>
    <row r="794" spans="2:20" x14ac:dyDescent="0.25">
      <c r="B794" s="1">
        <f t="shared" si="84"/>
        <v>788</v>
      </c>
      <c r="O794" s="2">
        <f t="shared" si="79"/>
        <v>-6.5000000000000002E-2</v>
      </c>
      <c r="P794" s="2">
        <f t="shared" si="80"/>
        <v>39.729987293519699</v>
      </c>
    </row>
    <row r="795" spans="2:20" x14ac:dyDescent="0.25"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25"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25"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25"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25"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25"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3:20" x14ac:dyDescent="0.25"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3:20" x14ac:dyDescent="0.25"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3:20" x14ac:dyDescent="0.25"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3:20" x14ac:dyDescent="0.25"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3:20" x14ac:dyDescent="0.25"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3:20" x14ac:dyDescent="0.25"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3:20" x14ac:dyDescent="0.25"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3:20" x14ac:dyDescent="0.25"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3:20" x14ac:dyDescent="0.25"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3:20" x14ac:dyDescent="0.25"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3:20" x14ac:dyDescent="0.25"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3:20" x14ac:dyDescent="0.25"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3:20" x14ac:dyDescent="0.25"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3:20" x14ac:dyDescent="0.25"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3:20" x14ac:dyDescent="0.25"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3:20" x14ac:dyDescent="0.25"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3:20" x14ac:dyDescent="0.25"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3:20" x14ac:dyDescent="0.25"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3:20" x14ac:dyDescent="0.25"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3:20" x14ac:dyDescent="0.25"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3:20" x14ac:dyDescent="0.25"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3:20" x14ac:dyDescent="0.25"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3:20" x14ac:dyDescent="0.25"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3:20" x14ac:dyDescent="0.25"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3:20" x14ac:dyDescent="0.25"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3:20" x14ac:dyDescent="0.25"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3:20" x14ac:dyDescent="0.25"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3:20" x14ac:dyDescent="0.25"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3:20" x14ac:dyDescent="0.25"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3:20" x14ac:dyDescent="0.25"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3:20" x14ac:dyDescent="0.25"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3:20" x14ac:dyDescent="0.25"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3:20" x14ac:dyDescent="0.25"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3:20" x14ac:dyDescent="0.25"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3:20" x14ac:dyDescent="0.25"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3:20" x14ac:dyDescent="0.25"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3:20" x14ac:dyDescent="0.25"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3:20" x14ac:dyDescent="0.25"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3:20" x14ac:dyDescent="0.25"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3:20" x14ac:dyDescent="0.25"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3:20" x14ac:dyDescent="0.25"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3:20" x14ac:dyDescent="0.25"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3:20" x14ac:dyDescent="0.25"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3:20" x14ac:dyDescent="0.25"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3:20" x14ac:dyDescent="0.25"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3:20" x14ac:dyDescent="0.25"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3:20" x14ac:dyDescent="0.25"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3:20" x14ac:dyDescent="0.25"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3:20" x14ac:dyDescent="0.25"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3:20" x14ac:dyDescent="0.25"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3:20" x14ac:dyDescent="0.25"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3:20" x14ac:dyDescent="0.25"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3:20" x14ac:dyDescent="0.25"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3:20" x14ac:dyDescent="0.25"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3:20" x14ac:dyDescent="0.25"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3:20" x14ac:dyDescent="0.25"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3:20" x14ac:dyDescent="0.25"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3:20" x14ac:dyDescent="0.25"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3:20" x14ac:dyDescent="0.25"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3:20" x14ac:dyDescent="0.25"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3:20" x14ac:dyDescent="0.25"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3:20" x14ac:dyDescent="0.25"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3:20" x14ac:dyDescent="0.25"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3:20" x14ac:dyDescent="0.25"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3:20" x14ac:dyDescent="0.25"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3:20" x14ac:dyDescent="0.25"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3:20" x14ac:dyDescent="0.25"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3:20" x14ac:dyDescent="0.25"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3:20" x14ac:dyDescent="0.25"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3:20" x14ac:dyDescent="0.25"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3:20" x14ac:dyDescent="0.25"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3:20" x14ac:dyDescent="0.25"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3:20" x14ac:dyDescent="0.25"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3:20" x14ac:dyDescent="0.25"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3:20" x14ac:dyDescent="0.25"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3:20" x14ac:dyDescent="0.25"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3:20" x14ac:dyDescent="0.25"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3:20" x14ac:dyDescent="0.25"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3:20" x14ac:dyDescent="0.25"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3:20" x14ac:dyDescent="0.25"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3:20" x14ac:dyDescent="0.25"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3:20" x14ac:dyDescent="0.25"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3:20" x14ac:dyDescent="0.25"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3:20" x14ac:dyDescent="0.25"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3:20" x14ac:dyDescent="0.25"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3:20" x14ac:dyDescent="0.25"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3:20" x14ac:dyDescent="0.25"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3:20" x14ac:dyDescent="0.25"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3:20" x14ac:dyDescent="0.25"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3:20" x14ac:dyDescent="0.25"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3:20" x14ac:dyDescent="0.25"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3:20" x14ac:dyDescent="0.25"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3:20" x14ac:dyDescent="0.25"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3:20" x14ac:dyDescent="0.25"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3:20" x14ac:dyDescent="0.25"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3:20" x14ac:dyDescent="0.25"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3:20" x14ac:dyDescent="0.25"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3:20" x14ac:dyDescent="0.25"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3:20" x14ac:dyDescent="0.25"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3:20" x14ac:dyDescent="0.25"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3:20" x14ac:dyDescent="0.25"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3:20" x14ac:dyDescent="0.25"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3:20" x14ac:dyDescent="0.25"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3:20" x14ac:dyDescent="0.25"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3:20" x14ac:dyDescent="0.25"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3:20" x14ac:dyDescent="0.25"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3:20" x14ac:dyDescent="0.25"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3:20" x14ac:dyDescent="0.25"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3:20" x14ac:dyDescent="0.25"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3:20" x14ac:dyDescent="0.25"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3:20" x14ac:dyDescent="0.25"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3:20" x14ac:dyDescent="0.25"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3:20" x14ac:dyDescent="0.25"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3:20" x14ac:dyDescent="0.25"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3:20" x14ac:dyDescent="0.25"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3:20" x14ac:dyDescent="0.25"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3:20" x14ac:dyDescent="0.25"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3:20" x14ac:dyDescent="0.25"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3:20" x14ac:dyDescent="0.25"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3:20" x14ac:dyDescent="0.25"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3:20" x14ac:dyDescent="0.25"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3:20" x14ac:dyDescent="0.25"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3:20" x14ac:dyDescent="0.25"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3:20" x14ac:dyDescent="0.25"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3:20" x14ac:dyDescent="0.25"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3:20" x14ac:dyDescent="0.25"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3:20" x14ac:dyDescent="0.25"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3:20" x14ac:dyDescent="0.25"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3:20" x14ac:dyDescent="0.25"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3:20" x14ac:dyDescent="0.25"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3:20" x14ac:dyDescent="0.25"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3:20" x14ac:dyDescent="0.25"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3:20" x14ac:dyDescent="0.25"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3:20" x14ac:dyDescent="0.25"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3:20" x14ac:dyDescent="0.25"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3:20" x14ac:dyDescent="0.25"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3:20" x14ac:dyDescent="0.25"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3:20" x14ac:dyDescent="0.25"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3:20" x14ac:dyDescent="0.25"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3:20" x14ac:dyDescent="0.25"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3:20" x14ac:dyDescent="0.25"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3:20" x14ac:dyDescent="0.25"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3:20" x14ac:dyDescent="0.25"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3:20" x14ac:dyDescent="0.25"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3:20" x14ac:dyDescent="0.25"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3:20" x14ac:dyDescent="0.25"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3:20" x14ac:dyDescent="0.25"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3:20" x14ac:dyDescent="0.25"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3:20" x14ac:dyDescent="0.25"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3:20" x14ac:dyDescent="0.25"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3:20" x14ac:dyDescent="0.25"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3:20" x14ac:dyDescent="0.25"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3:20" x14ac:dyDescent="0.25"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3:20" x14ac:dyDescent="0.25"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3:20" x14ac:dyDescent="0.25"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3:20" x14ac:dyDescent="0.25"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3:20" x14ac:dyDescent="0.25"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3:20" x14ac:dyDescent="0.25"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3:20" x14ac:dyDescent="0.25"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3:20" x14ac:dyDescent="0.25"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3:20" x14ac:dyDescent="0.25"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3:20" x14ac:dyDescent="0.25"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3:20" x14ac:dyDescent="0.25"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3:20" x14ac:dyDescent="0.25"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3:20" x14ac:dyDescent="0.25"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3:20" x14ac:dyDescent="0.25"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3:20" x14ac:dyDescent="0.25"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3:20" x14ac:dyDescent="0.25"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3:20" x14ac:dyDescent="0.25"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3:20" x14ac:dyDescent="0.25"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3:20" x14ac:dyDescent="0.25"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3:20" x14ac:dyDescent="0.25"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3:20" x14ac:dyDescent="0.25"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3:20" x14ac:dyDescent="0.25"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3:20" x14ac:dyDescent="0.25"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3:20" x14ac:dyDescent="0.25"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3:20" x14ac:dyDescent="0.25"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3:20" x14ac:dyDescent="0.25"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3:20" x14ac:dyDescent="0.25"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3:20" x14ac:dyDescent="0.25"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3:20" x14ac:dyDescent="0.25"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3:20" x14ac:dyDescent="0.25"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3:20" x14ac:dyDescent="0.25"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3:20" x14ac:dyDescent="0.25"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3:20" x14ac:dyDescent="0.25"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3:20" x14ac:dyDescent="0.25"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3:20" x14ac:dyDescent="0.25"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3:20" x14ac:dyDescent="0.25"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3:20" x14ac:dyDescent="0.25"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3:20" x14ac:dyDescent="0.25"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3:20" x14ac:dyDescent="0.25"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3:20" x14ac:dyDescent="0.25"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3:20" x14ac:dyDescent="0.25"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3:20" x14ac:dyDescent="0.25"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3:20" x14ac:dyDescent="0.25"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3:20" x14ac:dyDescent="0.25"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3:20" x14ac:dyDescent="0.25"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3:20" x14ac:dyDescent="0.25"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3:20" x14ac:dyDescent="0.25"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3:20" x14ac:dyDescent="0.25"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3:20" x14ac:dyDescent="0.25"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3:20" x14ac:dyDescent="0.25"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3:20" x14ac:dyDescent="0.25"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3:20" x14ac:dyDescent="0.25"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3:20" x14ac:dyDescent="0.25"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3:20" x14ac:dyDescent="0.25"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3:20" x14ac:dyDescent="0.25"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3:20" x14ac:dyDescent="0.25"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3:20" x14ac:dyDescent="0.25"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3:20" x14ac:dyDescent="0.25"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3:20" x14ac:dyDescent="0.25"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3:20" x14ac:dyDescent="0.25"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3:20" x14ac:dyDescent="0.25"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3:20" x14ac:dyDescent="0.25"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3:20" x14ac:dyDescent="0.25"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3:20" x14ac:dyDescent="0.25"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3:20" x14ac:dyDescent="0.25"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3:20" x14ac:dyDescent="0.25"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3:20" x14ac:dyDescent="0.25"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3:20" x14ac:dyDescent="0.25"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3:20" x14ac:dyDescent="0.25"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3:20" x14ac:dyDescent="0.25"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3:20" x14ac:dyDescent="0.25"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3:20" x14ac:dyDescent="0.25"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3:20" x14ac:dyDescent="0.25"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3:20" x14ac:dyDescent="0.25"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3:20" x14ac:dyDescent="0.25"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3:20" x14ac:dyDescent="0.25"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3:20" x14ac:dyDescent="0.25"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3:20" x14ac:dyDescent="0.25"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3:20" x14ac:dyDescent="0.25"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3:20" x14ac:dyDescent="0.25"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3:20" x14ac:dyDescent="0.25"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3:20" x14ac:dyDescent="0.25"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3:20" x14ac:dyDescent="0.25"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3:20" x14ac:dyDescent="0.25"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3:20" x14ac:dyDescent="0.25"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3:20" x14ac:dyDescent="0.25"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3:20" x14ac:dyDescent="0.25"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3:20" x14ac:dyDescent="0.25"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3:20" x14ac:dyDescent="0.25"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3:20" x14ac:dyDescent="0.25"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3:20" x14ac:dyDescent="0.25"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3:20" x14ac:dyDescent="0.25"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3:20" x14ac:dyDescent="0.25"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3:20" x14ac:dyDescent="0.25"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3:20" x14ac:dyDescent="0.25"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3:20" x14ac:dyDescent="0.25"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3:20" x14ac:dyDescent="0.25"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3:20" x14ac:dyDescent="0.25"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3:20" x14ac:dyDescent="0.25"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3:20" x14ac:dyDescent="0.25"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3:20" x14ac:dyDescent="0.25"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3:20" x14ac:dyDescent="0.25"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3:20" x14ac:dyDescent="0.25"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3:20" x14ac:dyDescent="0.25"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3:20" x14ac:dyDescent="0.25"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3:20" x14ac:dyDescent="0.25"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3:20" x14ac:dyDescent="0.25"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3:20" x14ac:dyDescent="0.25"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3:20" x14ac:dyDescent="0.25"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3:20" x14ac:dyDescent="0.25"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3:20" x14ac:dyDescent="0.25"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3:20" x14ac:dyDescent="0.25"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3:20" x14ac:dyDescent="0.25"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3:20" x14ac:dyDescent="0.25"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3:20" x14ac:dyDescent="0.25"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3:20" x14ac:dyDescent="0.25"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3:20" x14ac:dyDescent="0.25"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3:20" x14ac:dyDescent="0.25"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3:20" x14ac:dyDescent="0.25"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3:20" x14ac:dyDescent="0.25"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3:20" x14ac:dyDescent="0.25"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3:20" x14ac:dyDescent="0.25"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3:20" x14ac:dyDescent="0.25"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3:20" x14ac:dyDescent="0.25"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3:20" x14ac:dyDescent="0.25"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3:20" x14ac:dyDescent="0.25"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3:20" x14ac:dyDescent="0.25"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3:20" x14ac:dyDescent="0.25"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3:20" x14ac:dyDescent="0.25"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3:20" x14ac:dyDescent="0.25"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3:20" x14ac:dyDescent="0.25"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3:20" x14ac:dyDescent="0.25"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3:20" x14ac:dyDescent="0.25"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3:20" x14ac:dyDescent="0.25"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3:20" x14ac:dyDescent="0.25"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3:20" x14ac:dyDescent="0.25"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3:20" x14ac:dyDescent="0.25"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3:20" x14ac:dyDescent="0.25"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3:20" x14ac:dyDescent="0.25"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3:20" x14ac:dyDescent="0.25"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3:20" x14ac:dyDescent="0.25"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3:20" x14ac:dyDescent="0.25"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3:20" x14ac:dyDescent="0.25"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3:20" x14ac:dyDescent="0.25"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3:20" x14ac:dyDescent="0.25"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3:20" x14ac:dyDescent="0.25"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3:20" x14ac:dyDescent="0.25"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3:20" x14ac:dyDescent="0.25"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3:20" x14ac:dyDescent="0.25"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3:20" x14ac:dyDescent="0.25"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3:20" x14ac:dyDescent="0.25"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3:20" x14ac:dyDescent="0.25"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3:20" x14ac:dyDescent="0.25"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3:20" x14ac:dyDescent="0.25"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3:20" x14ac:dyDescent="0.25"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3:20" x14ac:dyDescent="0.25"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3:20" x14ac:dyDescent="0.25"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3:20" x14ac:dyDescent="0.25"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</sheetData>
  <mergeCells count="2">
    <mergeCell ref="D2:K2"/>
    <mergeCell ref="D3:K3"/>
  </mergeCells>
  <conditionalFormatting sqref="C1:M4 C5:S5 C6:M1048576">
    <cfRule type="expression" dxfId="4" priority="1">
      <formula>$M1=$X$23</formula>
    </cfRule>
    <cfRule type="expression" dxfId="3" priority="4">
      <formula>$M1=$X$29</formula>
    </cfRule>
    <cfRule type="expression" dxfId="2" priority="5">
      <formula>$M1=$X$41</formula>
    </cfRule>
  </conditionalFormatting>
  <conditionalFormatting sqref="C6:M1048576 C1:M4 C5:S5">
    <cfRule type="expression" dxfId="1" priority="3">
      <formula>$M1=$X$28</formula>
    </cfRule>
  </conditionalFormatting>
  <conditionalFormatting sqref="M7:P7 M8:N280 R7:T7 S8:T21 O8:P794 R8:R794 T22:T280 S22:S793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Tactility</vt:lpstr>
      <vt:lpstr>TactilityF</vt:lpstr>
      <vt:lpstr>TEST</vt:lpstr>
      <vt:lpstr>TEST2</vt:lpstr>
    </vt:vector>
  </TitlesOfParts>
  <Company>Schneller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Rudzinski</dc:creator>
  <cp:lastModifiedBy>Benjamin Rudzinski</cp:lastModifiedBy>
  <dcterms:created xsi:type="dcterms:W3CDTF">2024-12-31T13:48:27Z</dcterms:created>
  <dcterms:modified xsi:type="dcterms:W3CDTF">2025-07-05T19:21:49Z</dcterms:modified>
</cp:coreProperties>
</file>